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sty\OneDrive\Desktop\project_regions\regions_pj\"/>
    </mc:Choice>
  </mc:AlternateContent>
  <bookViews>
    <workbookView xWindow="0" yWindow="0" windowWidth="17844" windowHeight="6600" firstSheet="1" activeTab="6"/>
  </bookViews>
  <sheets>
    <sheet name="Свод 01.11" sheetId="18" state="hidden" r:id="rId1"/>
    <sheet name="Свод" sheetId="6" r:id="rId2"/>
    <sheet name="Субъект" sheetId="3" r:id="rId3"/>
    <sheet name="Штаб" sheetId="16" r:id="rId4"/>
    <sheet name="Радар олд" sheetId="21" r:id="rId5"/>
    <sheet name="РО - регионы" sheetId="14" r:id="rId6"/>
    <sheet name="Спецтехника" sheetId="10" r:id="rId7"/>
    <sheet name="МНО" sheetId="2" r:id="rId8"/>
    <sheet name="Контейнеры" sheetId="5" r:id="rId9"/>
    <sheet name="ДК МНО" sheetId="15" r:id="rId10"/>
    <sheet name="РО - зоны" sheetId="12" r:id="rId11"/>
    <sheet name="Захоронение" sheetId="9" r:id="rId12"/>
    <sheet name="Обработка" sheetId="7" r:id="rId13"/>
    <sheet name="Утилизация" sheetId="8" r:id="rId14"/>
    <sheet name="Радар" sheetId="22" r:id="rId15"/>
    <sheet name="ДК ИП" sheetId="17" r:id="rId16"/>
    <sheet name="Округа" sheetId="19" state="hidden" r:id="rId17"/>
  </sheets>
  <definedNames>
    <definedName name="_xlnm._FilterDatabase" localSheetId="1" hidden="1">Свод!$A$10:$CC$99</definedName>
    <definedName name="_xlnm._FilterDatabase" localSheetId="2" hidden="1">Субъект!$B$13:$C$19</definedName>
    <definedName name="_xlnm._FilterDatabase" localSheetId="3" hidden="1">Штаб!$B$15:$J$104</definedName>
    <definedName name="_xlnm.Print_Titles" localSheetId="0">'Свод 01.11'!$5:$8</definedName>
    <definedName name="_xlnm.Print_Area" localSheetId="1">Свод!$B$5:$BD$99</definedName>
    <definedName name="_xlnm.Print_Area" localSheetId="0">'Свод 01.11'!$B$1:$BD$99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7" i="10" l="1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6" i="10"/>
  <c r="AB10" i="6" l="1"/>
  <c r="D89" i="9" l="1"/>
  <c r="C89" i="9" s="1"/>
  <c r="BY84" i="6" s="1"/>
  <c r="K89" i="9"/>
  <c r="I266" i="12"/>
  <c r="H266" i="12"/>
  <c r="I265" i="12"/>
  <c r="H265" i="12"/>
  <c r="I264" i="12"/>
  <c r="H264" i="12"/>
  <c r="I263" i="12"/>
  <c r="H263" i="12"/>
  <c r="I262" i="12"/>
  <c r="H262" i="12"/>
  <c r="I261" i="12"/>
  <c r="H261" i="12"/>
  <c r="I260" i="12"/>
  <c r="H260" i="12"/>
  <c r="I259" i="12"/>
  <c r="H259" i="12"/>
  <c r="I258" i="12"/>
  <c r="H258" i="12"/>
  <c r="I257" i="12"/>
  <c r="H257" i="12"/>
  <c r="I256" i="12"/>
  <c r="H256" i="12"/>
  <c r="I255" i="12"/>
  <c r="H255" i="12"/>
  <c r="I254" i="12"/>
  <c r="H254" i="12"/>
  <c r="I253" i="12"/>
  <c r="H253" i="12"/>
  <c r="I252" i="12"/>
  <c r="H252" i="12"/>
  <c r="I251" i="12"/>
  <c r="H251" i="12"/>
  <c r="I250" i="12"/>
  <c r="H250" i="12"/>
  <c r="I249" i="12"/>
  <c r="H249" i="12"/>
  <c r="I248" i="12"/>
  <c r="H248" i="12"/>
  <c r="I247" i="12"/>
  <c r="H247" i="12"/>
  <c r="I246" i="12"/>
  <c r="H246" i="12"/>
  <c r="I245" i="12"/>
  <c r="H245" i="12"/>
  <c r="I244" i="12"/>
  <c r="H244" i="12"/>
  <c r="I243" i="12"/>
  <c r="H243" i="12"/>
  <c r="I242" i="12"/>
  <c r="H242" i="12"/>
  <c r="I241" i="12"/>
  <c r="H241" i="12"/>
  <c r="I240" i="12"/>
  <c r="H240" i="12"/>
  <c r="I239" i="12"/>
  <c r="H239" i="12"/>
  <c r="I238" i="12"/>
  <c r="H238" i="12"/>
  <c r="I237" i="12"/>
  <c r="H237" i="12"/>
  <c r="I236" i="12"/>
  <c r="H236" i="12"/>
  <c r="I235" i="12"/>
  <c r="H235" i="12"/>
  <c r="I234" i="12"/>
  <c r="H234" i="12"/>
  <c r="I233" i="12"/>
  <c r="H233" i="12"/>
  <c r="I232" i="12"/>
  <c r="H232" i="12"/>
  <c r="I231" i="12"/>
  <c r="H231" i="12"/>
  <c r="I230" i="12"/>
  <c r="H230" i="12"/>
  <c r="I229" i="12"/>
  <c r="H229" i="12"/>
  <c r="I228" i="12"/>
  <c r="H228" i="12"/>
  <c r="I227" i="12"/>
  <c r="H227" i="12"/>
  <c r="I226" i="12"/>
  <c r="H226" i="12"/>
  <c r="I225" i="12"/>
  <c r="H225" i="12"/>
  <c r="I224" i="12"/>
  <c r="H224" i="12"/>
  <c r="I223" i="12"/>
  <c r="H223" i="12"/>
  <c r="I222" i="12"/>
  <c r="H222" i="12"/>
  <c r="I221" i="12"/>
  <c r="H221" i="12"/>
  <c r="I220" i="12"/>
  <c r="H220" i="12"/>
  <c r="I219" i="12"/>
  <c r="H219" i="12"/>
  <c r="I218" i="12"/>
  <c r="H218" i="12"/>
  <c r="I217" i="12"/>
  <c r="H217" i="12"/>
  <c r="I216" i="12"/>
  <c r="H216" i="12"/>
  <c r="I215" i="12"/>
  <c r="H215" i="12"/>
  <c r="I214" i="12"/>
  <c r="H214" i="12"/>
  <c r="I213" i="12"/>
  <c r="H213" i="12"/>
  <c r="I212" i="12"/>
  <c r="H212" i="12"/>
  <c r="I211" i="12"/>
  <c r="H211" i="12"/>
  <c r="I210" i="12"/>
  <c r="H210" i="12"/>
  <c r="I209" i="12"/>
  <c r="H209" i="12"/>
  <c r="I208" i="12"/>
  <c r="H208" i="12"/>
  <c r="I207" i="12"/>
  <c r="H207" i="12"/>
  <c r="I206" i="12"/>
  <c r="H206" i="12"/>
  <c r="I205" i="12"/>
  <c r="H205" i="12"/>
  <c r="I204" i="12"/>
  <c r="H204" i="12"/>
  <c r="I203" i="12"/>
  <c r="H203" i="12"/>
  <c r="I202" i="12"/>
  <c r="H202" i="12"/>
  <c r="I201" i="12"/>
  <c r="H201" i="12"/>
  <c r="I200" i="12"/>
  <c r="H200" i="12"/>
  <c r="I199" i="12"/>
  <c r="H199" i="12"/>
  <c r="I198" i="12"/>
  <c r="H198" i="12"/>
  <c r="I197" i="12"/>
  <c r="H197" i="12"/>
  <c r="I196" i="12"/>
  <c r="H196" i="12"/>
  <c r="I195" i="12"/>
  <c r="H195" i="12"/>
  <c r="I194" i="12"/>
  <c r="H194" i="12"/>
  <c r="I193" i="12"/>
  <c r="H193" i="12"/>
  <c r="I192" i="12"/>
  <c r="H192" i="12"/>
  <c r="I191" i="12"/>
  <c r="H191" i="12"/>
  <c r="I190" i="12"/>
  <c r="H190" i="12"/>
  <c r="I189" i="12"/>
  <c r="H189" i="12"/>
  <c r="I188" i="12"/>
  <c r="H188" i="12"/>
  <c r="I187" i="12"/>
  <c r="H187" i="12"/>
  <c r="I186" i="12"/>
  <c r="H186" i="12"/>
  <c r="I185" i="12"/>
  <c r="H185" i="12"/>
  <c r="I184" i="12"/>
  <c r="H184" i="12"/>
  <c r="I183" i="12"/>
  <c r="H183" i="12"/>
  <c r="I182" i="12"/>
  <c r="H182" i="12"/>
  <c r="I181" i="12"/>
  <c r="H181" i="12"/>
  <c r="I180" i="12"/>
  <c r="H180" i="12"/>
  <c r="I179" i="12"/>
  <c r="H179" i="12"/>
  <c r="I178" i="12"/>
  <c r="H178" i="12"/>
  <c r="I177" i="12"/>
  <c r="H177" i="12"/>
  <c r="I176" i="12"/>
  <c r="H176" i="12"/>
  <c r="I175" i="12"/>
  <c r="H175" i="12"/>
  <c r="I174" i="12"/>
  <c r="H174" i="12"/>
  <c r="I173" i="12"/>
  <c r="H173" i="12"/>
  <c r="I172" i="12"/>
  <c r="H172" i="12"/>
  <c r="I171" i="12"/>
  <c r="H171" i="12"/>
  <c r="I170" i="12"/>
  <c r="H170" i="12"/>
  <c r="I169" i="12"/>
  <c r="H169" i="12"/>
  <c r="I168" i="12"/>
  <c r="H168" i="12"/>
  <c r="I167" i="12"/>
  <c r="H167" i="12"/>
  <c r="I166" i="12"/>
  <c r="H166" i="12"/>
  <c r="I165" i="12"/>
  <c r="H165" i="12"/>
  <c r="I164" i="12"/>
  <c r="H164" i="12"/>
  <c r="I163" i="12"/>
  <c r="H163" i="12"/>
  <c r="I162" i="12"/>
  <c r="H162" i="12"/>
  <c r="I161" i="12"/>
  <c r="H161" i="12"/>
  <c r="I160" i="12"/>
  <c r="H160" i="12"/>
  <c r="I159" i="12"/>
  <c r="H159" i="12"/>
  <c r="I158" i="12"/>
  <c r="H158" i="12"/>
  <c r="I157" i="12"/>
  <c r="H157" i="12"/>
  <c r="I156" i="12"/>
  <c r="H156" i="12"/>
  <c r="I155" i="12"/>
  <c r="H155" i="12"/>
  <c r="I154" i="12"/>
  <c r="H154" i="12"/>
  <c r="I153" i="12"/>
  <c r="H153" i="12"/>
  <c r="I152" i="12"/>
  <c r="H152" i="12"/>
  <c r="I151" i="12"/>
  <c r="H151" i="12"/>
  <c r="I150" i="12"/>
  <c r="H150" i="12"/>
  <c r="I149" i="12"/>
  <c r="H149" i="12"/>
  <c r="I148" i="12"/>
  <c r="H148" i="12"/>
  <c r="I147" i="12"/>
  <c r="H147" i="12"/>
  <c r="I146" i="12"/>
  <c r="H146" i="12"/>
  <c r="I145" i="12"/>
  <c r="H145" i="12"/>
  <c r="I144" i="12"/>
  <c r="H144" i="12"/>
  <c r="I143" i="12"/>
  <c r="H143" i="12"/>
  <c r="I142" i="12"/>
  <c r="H142" i="12"/>
  <c r="I141" i="12"/>
  <c r="H141" i="12"/>
  <c r="I140" i="12"/>
  <c r="H140" i="12"/>
  <c r="I139" i="12"/>
  <c r="H139" i="12"/>
  <c r="I138" i="12"/>
  <c r="H138" i="12"/>
  <c r="I137" i="12"/>
  <c r="H137" i="12"/>
  <c r="I136" i="12"/>
  <c r="H136" i="12"/>
  <c r="I135" i="12"/>
  <c r="H135" i="12"/>
  <c r="I134" i="12"/>
  <c r="H134" i="12"/>
  <c r="I133" i="12"/>
  <c r="H133" i="12"/>
  <c r="I132" i="12"/>
  <c r="H132" i="12"/>
  <c r="I131" i="12"/>
  <c r="H131" i="12"/>
  <c r="I130" i="12"/>
  <c r="H130" i="12"/>
  <c r="I129" i="12"/>
  <c r="H129" i="12"/>
  <c r="I128" i="12"/>
  <c r="H128" i="12"/>
  <c r="I127" i="12"/>
  <c r="H127" i="12"/>
  <c r="I126" i="12"/>
  <c r="H126" i="12"/>
  <c r="I125" i="12"/>
  <c r="H125" i="12"/>
  <c r="I124" i="12"/>
  <c r="H124" i="12"/>
  <c r="I123" i="12"/>
  <c r="H123" i="12"/>
  <c r="I122" i="12"/>
  <c r="H122" i="12"/>
  <c r="I121" i="12"/>
  <c r="H121" i="12"/>
  <c r="I120" i="12"/>
  <c r="H120" i="12"/>
  <c r="I119" i="12"/>
  <c r="H119" i="12"/>
  <c r="I118" i="12"/>
  <c r="H118" i="12"/>
  <c r="I117" i="12"/>
  <c r="H117" i="12"/>
  <c r="I116" i="12"/>
  <c r="H116" i="12"/>
  <c r="I115" i="12"/>
  <c r="H115" i="12"/>
  <c r="I114" i="12"/>
  <c r="H114" i="12"/>
  <c r="I113" i="12"/>
  <c r="H113" i="12"/>
  <c r="I112" i="12"/>
  <c r="H112" i="12"/>
  <c r="I111" i="12"/>
  <c r="H111" i="12"/>
  <c r="I110" i="12"/>
  <c r="H110" i="12"/>
  <c r="I109" i="12"/>
  <c r="H109" i="12"/>
  <c r="I108" i="12"/>
  <c r="H108" i="12"/>
  <c r="I107" i="12"/>
  <c r="H107" i="12"/>
  <c r="I106" i="12"/>
  <c r="H106" i="12"/>
  <c r="I105" i="12"/>
  <c r="H105" i="12"/>
  <c r="I104" i="12"/>
  <c r="H104" i="12"/>
  <c r="I103" i="12"/>
  <c r="H103" i="12"/>
  <c r="I102" i="12"/>
  <c r="H102" i="12"/>
  <c r="I101" i="12"/>
  <c r="H101" i="12"/>
  <c r="I100" i="12"/>
  <c r="H100" i="12"/>
  <c r="I99" i="12"/>
  <c r="H99" i="12"/>
  <c r="I98" i="12"/>
  <c r="H98" i="12"/>
  <c r="I97" i="12"/>
  <c r="H97" i="12"/>
  <c r="I96" i="12"/>
  <c r="H96" i="12"/>
  <c r="I95" i="12"/>
  <c r="H95" i="12"/>
  <c r="I94" i="12"/>
  <c r="H94" i="12"/>
  <c r="I93" i="12"/>
  <c r="H93" i="12"/>
  <c r="I92" i="12"/>
  <c r="H92" i="12"/>
  <c r="I91" i="12"/>
  <c r="H91" i="12"/>
  <c r="I90" i="12"/>
  <c r="H90" i="12"/>
  <c r="I89" i="12"/>
  <c r="H89" i="12"/>
  <c r="I88" i="12"/>
  <c r="H88" i="12"/>
  <c r="I87" i="12"/>
  <c r="H87" i="12"/>
  <c r="I86" i="12"/>
  <c r="H86" i="12"/>
  <c r="I85" i="12"/>
  <c r="H85" i="12"/>
  <c r="I84" i="12"/>
  <c r="H84" i="12"/>
  <c r="I83" i="12"/>
  <c r="H83" i="12"/>
  <c r="I82" i="12"/>
  <c r="H82" i="12"/>
  <c r="I81" i="12"/>
  <c r="H81" i="12"/>
  <c r="I80" i="12"/>
  <c r="H80" i="12"/>
  <c r="I79" i="12"/>
  <c r="H79" i="12"/>
  <c r="I78" i="12"/>
  <c r="H78" i="12"/>
  <c r="I77" i="12"/>
  <c r="H77" i="12"/>
  <c r="I76" i="12"/>
  <c r="H76" i="12"/>
  <c r="I75" i="12"/>
  <c r="H75" i="12"/>
  <c r="I74" i="12"/>
  <c r="H74" i="12"/>
  <c r="I73" i="12"/>
  <c r="H73" i="12"/>
  <c r="I72" i="12"/>
  <c r="H72" i="12"/>
  <c r="I71" i="12"/>
  <c r="H71" i="12"/>
  <c r="I70" i="12"/>
  <c r="H70" i="12"/>
  <c r="I69" i="12"/>
  <c r="H69" i="12"/>
  <c r="I68" i="12"/>
  <c r="H68" i="12"/>
  <c r="I67" i="12"/>
  <c r="H67" i="12"/>
  <c r="I66" i="12"/>
  <c r="H66" i="12"/>
  <c r="I65" i="12"/>
  <c r="H65" i="12"/>
  <c r="I64" i="12"/>
  <c r="H64" i="12"/>
  <c r="I63" i="12"/>
  <c r="H63" i="12"/>
  <c r="I62" i="12"/>
  <c r="H62" i="12"/>
  <c r="I61" i="12"/>
  <c r="H61" i="12"/>
  <c r="I60" i="12"/>
  <c r="H60" i="12"/>
  <c r="I59" i="12"/>
  <c r="H59" i="12"/>
  <c r="I58" i="12"/>
  <c r="H58" i="12"/>
  <c r="I57" i="12"/>
  <c r="H57" i="12"/>
  <c r="I56" i="12"/>
  <c r="H56" i="12"/>
  <c r="I55" i="12"/>
  <c r="H55" i="12"/>
  <c r="I54" i="12"/>
  <c r="H54" i="12"/>
  <c r="I53" i="12"/>
  <c r="H53" i="12"/>
  <c r="I52" i="12"/>
  <c r="H52" i="12"/>
  <c r="I51" i="12"/>
  <c r="H51" i="12"/>
  <c r="I50" i="12"/>
  <c r="H50" i="12"/>
  <c r="I49" i="12"/>
  <c r="H49" i="12"/>
  <c r="I48" i="12"/>
  <c r="H48" i="12"/>
  <c r="I47" i="12"/>
  <c r="H47" i="12"/>
  <c r="I46" i="12"/>
  <c r="H46" i="12"/>
  <c r="I45" i="12"/>
  <c r="H45" i="12"/>
  <c r="I44" i="12"/>
  <c r="H44" i="12"/>
  <c r="I43" i="12"/>
  <c r="H43" i="12"/>
  <c r="I42" i="12"/>
  <c r="H42" i="12"/>
  <c r="I41" i="12"/>
  <c r="H41" i="12"/>
  <c r="I40" i="12"/>
  <c r="H40" i="12"/>
  <c r="I39" i="12"/>
  <c r="H39" i="12"/>
  <c r="I38" i="12"/>
  <c r="H38" i="12"/>
  <c r="I37" i="12"/>
  <c r="H37" i="12"/>
  <c r="I36" i="12"/>
  <c r="H36" i="12"/>
  <c r="I35" i="12"/>
  <c r="H35" i="12"/>
  <c r="I34" i="12"/>
  <c r="H34" i="12"/>
  <c r="I33" i="12"/>
  <c r="H33" i="12"/>
  <c r="I32" i="12"/>
  <c r="H32" i="12"/>
  <c r="I31" i="12"/>
  <c r="H31" i="12"/>
  <c r="I30" i="12"/>
  <c r="H30" i="12"/>
  <c r="I29" i="12"/>
  <c r="H29" i="12"/>
  <c r="I28" i="12"/>
  <c r="H28" i="12"/>
  <c r="I27" i="12"/>
  <c r="H27" i="12"/>
  <c r="I26" i="12"/>
  <c r="H26" i="12"/>
  <c r="I25" i="12"/>
  <c r="H25" i="12"/>
  <c r="I24" i="12"/>
  <c r="H24" i="12"/>
  <c r="I23" i="12"/>
  <c r="H23" i="12"/>
  <c r="I22" i="12"/>
  <c r="H22" i="12"/>
  <c r="I21" i="12"/>
  <c r="H21" i="12"/>
  <c r="I20" i="12"/>
  <c r="H20" i="12"/>
  <c r="I19" i="12"/>
  <c r="H19" i="12"/>
  <c r="I18" i="12"/>
  <c r="H18" i="12"/>
  <c r="I17" i="12"/>
  <c r="H17" i="12"/>
  <c r="I16" i="12"/>
  <c r="H16" i="12"/>
  <c r="I15" i="12"/>
  <c r="H15" i="12"/>
  <c r="I14" i="12"/>
  <c r="H14" i="12"/>
  <c r="I13" i="12"/>
  <c r="H13" i="12"/>
  <c r="I12" i="12"/>
  <c r="H12" i="12"/>
  <c r="I11" i="12"/>
  <c r="H11" i="12"/>
  <c r="H10" i="12"/>
  <c r="H9" i="12"/>
  <c r="I8" i="12"/>
  <c r="H8" i="12"/>
  <c r="G16" i="22" l="1"/>
  <c r="G17" i="22"/>
  <c r="D17" i="22" s="1"/>
  <c r="G18" i="22"/>
  <c r="BC13" i="6" s="1"/>
  <c r="G19" i="22"/>
  <c r="BC14" i="6" s="1"/>
  <c r="G20" i="22"/>
  <c r="BC15" i="6" s="1"/>
  <c r="G21" i="22"/>
  <c r="G22" i="22"/>
  <c r="BC17" i="6" s="1"/>
  <c r="G23" i="22"/>
  <c r="BC18" i="6" s="1"/>
  <c r="G24" i="22"/>
  <c r="BC19" i="6" s="1"/>
  <c r="G25" i="22"/>
  <c r="G26" i="22"/>
  <c r="G27" i="22"/>
  <c r="BC22" i="6" s="1"/>
  <c r="G28" i="22"/>
  <c r="BC23" i="6" s="1"/>
  <c r="G29" i="22"/>
  <c r="BC24" i="6" s="1"/>
  <c r="G30" i="22"/>
  <c r="BC25" i="6" s="1"/>
  <c r="G31" i="22"/>
  <c r="BC26" i="6" s="1"/>
  <c r="G32" i="22"/>
  <c r="BC27" i="6" s="1"/>
  <c r="G33" i="22"/>
  <c r="G34" i="22"/>
  <c r="BC29" i="6" s="1"/>
  <c r="G35" i="22"/>
  <c r="BC30" i="6" s="1"/>
  <c r="G36" i="22"/>
  <c r="BC31" i="6" s="1"/>
  <c r="G37" i="22"/>
  <c r="G38" i="22"/>
  <c r="G39" i="22"/>
  <c r="BC34" i="6" s="1"/>
  <c r="G40" i="22"/>
  <c r="BC35" i="6" s="1"/>
  <c r="G41" i="22"/>
  <c r="BC36" i="6" s="1"/>
  <c r="G42" i="22"/>
  <c r="BC37" i="6" s="1"/>
  <c r="G43" i="22"/>
  <c r="BC38" i="6" s="1"/>
  <c r="G44" i="22"/>
  <c r="BC39" i="6" s="1"/>
  <c r="G45" i="22"/>
  <c r="G46" i="22"/>
  <c r="BC41" i="6" s="1"/>
  <c r="G47" i="22"/>
  <c r="BC42" i="6" s="1"/>
  <c r="G48" i="22"/>
  <c r="BC43" i="6" s="1"/>
  <c r="G49" i="22"/>
  <c r="G50" i="22"/>
  <c r="G51" i="22"/>
  <c r="BC46" i="6" s="1"/>
  <c r="G52" i="22"/>
  <c r="BC47" i="6" s="1"/>
  <c r="G53" i="22"/>
  <c r="BC48" i="6" s="1"/>
  <c r="G54" i="22"/>
  <c r="BC49" i="6" s="1"/>
  <c r="G55" i="22"/>
  <c r="BC50" i="6" s="1"/>
  <c r="G56" i="22"/>
  <c r="BC51" i="6" s="1"/>
  <c r="G57" i="22"/>
  <c r="G58" i="22"/>
  <c r="BC53" i="6" s="1"/>
  <c r="G59" i="22"/>
  <c r="BC54" i="6" s="1"/>
  <c r="G60" i="22"/>
  <c r="BC55" i="6" s="1"/>
  <c r="G61" i="22"/>
  <c r="G62" i="22"/>
  <c r="G63" i="22"/>
  <c r="G64" i="22"/>
  <c r="BC59" i="6" s="1"/>
  <c r="G65" i="22"/>
  <c r="BC60" i="6" s="1"/>
  <c r="G66" i="22"/>
  <c r="BC61" i="6" s="1"/>
  <c r="G67" i="22"/>
  <c r="BC62" i="6" s="1"/>
  <c r="G68" i="22"/>
  <c r="BC63" i="6" s="1"/>
  <c r="G69" i="22"/>
  <c r="G70" i="22"/>
  <c r="BC65" i="6" s="1"/>
  <c r="G71" i="22"/>
  <c r="BC66" i="6" s="1"/>
  <c r="G72" i="22"/>
  <c r="BC67" i="6" s="1"/>
  <c r="G73" i="22"/>
  <c r="G74" i="22"/>
  <c r="G75" i="22"/>
  <c r="BC70" i="6" s="1"/>
  <c r="G76" i="22"/>
  <c r="BC71" i="6" s="1"/>
  <c r="G77" i="22"/>
  <c r="BC72" i="6" s="1"/>
  <c r="G78" i="22"/>
  <c r="BC73" i="6" s="1"/>
  <c r="G79" i="22"/>
  <c r="BC74" i="6" s="1"/>
  <c r="G80" i="22"/>
  <c r="BC75" i="6" s="1"/>
  <c r="G81" i="22"/>
  <c r="G82" i="22"/>
  <c r="BC77" i="6" s="1"/>
  <c r="G83" i="22"/>
  <c r="BC78" i="6" s="1"/>
  <c r="G84" i="22"/>
  <c r="BC79" i="6" s="1"/>
  <c r="G85" i="22"/>
  <c r="G86" i="22"/>
  <c r="G87" i="22"/>
  <c r="BC82" i="6" s="1"/>
  <c r="G88" i="22"/>
  <c r="BC83" i="6" s="1"/>
  <c r="G89" i="22"/>
  <c r="BC84" i="6" s="1"/>
  <c r="G90" i="22"/>
  <c r="BC85" i="6" s="1"/>
  <c r="G91" i="22"/>
  <c r="BC86" i="6" s="1"/>
  <c r="G92" i="22"/>
  <c r="BC87" i="6" s="1"/>
  <c r="G93" i="22"/>
  <c r="G94" i="22"/>
  <c r="BC89" i="6" s="1"/>
  <c r="G95" i="22"/>
  <c r="BC90" i="6" s="1"/>
  <c r="G96" i="22"/>
  <c r="BC91" i="6" s="1"/>
  <c r="G97" i="22"/>
  <c r="BC92" i="6" s="1"/>
  <c r="G98" i="22"/>
  <c r="BC93" i="6" s="1"/>
  <c r="G99" i="22"/>
  <c r="BC94" i="6" s="1"/>
  <c r="G100" i="22"/>
  <c r="BC95" i="6" s="1"/>
  <c r="G101" i="22"/>
  <c r="BC96" i="6" s="1"/>
  <c r="G102" i="22"/>
  <c r="BC97" i="6" s="1"/>
  <c r="G103" i="22"/>
  <c r="BC98" i="6" s="1"/>
  <c r="G104" i="22"/>
  <c r="BC99" i="6" s="1"/>
  <c r="F15" i="22"/>
  <c r="E15" i="22"/>
  <c r="BC64" i="18"/>
  <c r="BC85" i="18"/>
  <c r="BC96" i="18"/>
  <c r="BC97" i="18"/>
  <c r="BC98" i="18"/>
  <c r="BC99" i="18"/>
  <c r="D4" i="21"/>
  <c r="E4" i="21" s="1"/>
  <c r="BC86" i="18" s="1"/>
  <c r="D5" i="21"/>
  <c r="E5" i="21" s="1"/>
  <c r="BC69" i="18" s="1"/>
  <c r="D6" i="21"/>
  <c r="E6" i="21" s="1"/>
  <c r="BC58" i="18" s="1"/>
  <c r="D7" i="21"/>
  <c r="E7" i="21" s="1"/>
  <c r="BC44" i="18" s="1"/>
  <c r="D8" i="21"/>
  <c r="E8" i="21" s="1"/>
  <c r="BC30" i="18" s="1"/>
  <c r="D9" i="21"/>
  <c r="E9" i="21" s="1"/>
  <c r="BC50" i="18" s="1"/>
  <c r="D10" i="21"/>
  <c r="E10" i="21" s="1"/>
  <c r="BC25" i="18" s="1"/>
  <c r="D11" i="21"/>
  <c r="E11" i="21" s="1"/>
  <c r="BC45" i="18" s="1"/>
  <c r="D12" i="21"/>
  <c r="E12" i="21" s="1"/>
  <c r="BC73" i="18" s="1"/>
  <c r="D13" i="21"/>
  <c r="E13" i="21" s="1"/>
  <c r="BC11" i="18" s="1"/>
  <c r="D14" i="21"/>
  <c r="E14" i="21" s="1"/>
  <c r="BC13" i="18" s="1"/>
  <c r="D15" i="21"/>
  <c r="E15" i="21" s="1"/>
  <c r="BC55" i="18" s="1"/>
  <c r="D16" i="21"/>
  <c r="E16" i="21" s="1"/>
  <c r="BC67" i="18" s="1"/>
  <c r="D17" i="21"/>
  <c r="E17" i="21" s="1"/>
  <c r="BC91" i="18" s="1"/>
  <c r="D18" i="21"/>
  <c r="E18" i="21" s="1"/>
  <c r="BC21" i="18" s="1"/>
  <c r="D19" i="21"/>
  <c r="E19" i="21" s="1"/>
  <c r="BC84" i="18" s="1"/>
  <c r="D20" i="21"/>
  <c r="E20" i="21" s="1"/>
  <c r="BC63" i="18" s="1"/>
  <c r="D21" i="21"/>
  <c r="E21" i="21" s="1"/>
  <c r="BC56" i="18" s="1"/>
  <c r="D22" i="21"/>
  <c r="E22" i="21" s="1"/>
  <c r="BC26" i="18" s="1"/>
  <c r="D23" i="21"/>
  <c r="E23" i="21" s="1"/>
  <c r="BC70" i="18" s="1"/>
  <c r="D24" i="21"/>
  <c r="E24" i="21" s="1"/>
  <c r="BC74" i="18" s="1"/>
  <c r="D25" i="21"/>
  <c r="E25" i="21" s="1"/>
  <c r="BC46" i="18" s="1"/>
  <c r="D26" i="21"/>
  <c r="E26" i="21" s="1"/>
  <c r="BC17" i="18" s="1"/>
  <c r="D27" i="21"/>
  <c r="E27" i="21" s="1"/>
  <c r="BC28" i="18" s="1"/>
  <c r="D28" i="21"/>
  <c r="E28" i="21" s="1"/>
  <c r="BC77" i="18" s="1"/>
  <c r="D29" i="21"/>
  <c r="E29" i="21" s="1"/>
  <c r="BC78" i="18" s="1"/>
  <c r="D30" i="21"/>
  <c r="E30" i="21" s="1"/>
  <c r="BC68" i="18" s="1"/>
  <c r="D31" i="21"/>
  <c r="E31" i="21" s="1"/>
  <c r="BC18" i="18" s="1"/>
  <c r="D32" i="21"/>
  <c r="E32" i="21" s="1"/>
  <c r="BC31" i="18" s="1"/>
  <c r="D33" i="21"/>
  <c r="E33" i="21" s="1"/>
  <c r="BC40" i="18" s="1"/>
  <c r="D34" i="21"/>
  <c r="E34" i="21" s="1"/>
  <c r="BC89" i="18" s="1"/>
  <c r="D35" i="21"/>
  <c r="E35" i="21" s="1"/>
  <c r="BC12" i="18" s="1"/>
  <c r="D36" i="21"/>
  <c r="E36" i="21" s="1"/>
  <c r="BC14" i="18" s="1"/>
  <c r="D37" i="21"/>
  <c r="E37" i="21" s="1"/>
  <c r="BC32" i="18" s="1"/>
  <c r="D38" i="21"/>
  <c r="E38" i="21" s="1"/>
  <c r="BC29" i="18" s="1"/>
  <c r="D39" i="21"/>
  <c r="E39" i="21" s="1"/>
  <c r="BC60" i="18" s="1"/>
  <c r="D40" i="21"/>
  <c r="E40" i="21" s="1"/>
  <c r="BC75" i="18" s="1"/>
  <c r="D41" i="21"/>
  <c r="E41" i="21" s="1"/>
  <c r="BC33" i="18" s="1"/>
  <c r="D42" i="21"/>
  <c r="E42" i="21" s="1"/>
  <c r="BC48" i="18" s="1"/>
  <c r="D43" i="21"/>
  <c r="E43" i="21" s="1"/>
  <c r="BC61" i="18" s="1"/>
  <c r="D44" i="21"/>
  <c r="E44" i="21" s="1"/>
  <c r="BC79" i="18" s="1"/>
  <c r="D45" i="21"/>
  <c r="E45" i="21" s="1"/>
  <c r="BC80" i="18" s="1"/>
  <c r="D46" i="21"/>
  <c r="E46" i="21" s="1"/>
  <c r="BC34" i="18" s="1"/>
  <c r="D47" i="21"/>
  <c r="E47" i="21" s="1"/>
  <c r="BC35" i="18" s="1"/>
  <c r="D48" i="21"/>
  <c r="E48" i="21" s="1"/>
  <c r="BC83" i="18" s="1"/>
  <c r="D49" i="21"/>
  <c r="E49" i="21" s="1"/>
  <c r="BC27" i="18" s="1"/>
  <c r="D50" i="21"/>
  <c r="E50" i="21" s="1"/>
  <c r="BC93" i="18" s="1"/>
  <c r="D51" i="21"/>
  <c r="E51" i="21" s="1"/>
  <c r="BC72" i="18" s="1"/>
  <c r="D52" i="21"/>
  <c r="E52" i="21" s="1"/>
  <c r="BC94" i="18" s="1"/>
  <c r="D53" i="21"/>
  <c r="E53" i="21" s="1"/>
  <c r="BC57" i="18" s="1"/>
  <c r="D54" i="21"/>
  <c r="E54" i="21" s="1"/>
  <c r="BC49" i="18" s="1"/>
  <c r="D55" i="21"/>
  <c r="E55" i="21" s="1"/>
  <c r="BC36" i="18" s="1"/>
  <c r="D56" i="21"/>
  <c r="E56" i="21" s="1"/>
  <c r="BC37" i="18" s="1"/>
  <c r="D57" i="21"/>
  <c r="E57" i="21" s="1"/>
  <c r="BC47" i="18" s="1"/>
  <c r="D58" i="21"/>
  <c r="E58" i="21" s="1"/>
  <c r="BC52" i="18" s="1"/>
  <c r="D59" i="21"/>
  <c r="E59" i="21" s="1"/>
  <c r="BC95" i="18" s="1"/>
  <c r="D60" i="21"/>
  <c r="E60" i="21" s="1"/>
  <c r="BC87" i="18" s="1"/>
  <c r="D61" i="21"/>
  <c r="E61" i="21" s="1"/>
  <c r="BC16" i="18" s="1"/>
  <c r="D62" i="21"/>
  <c r="E62" i="21" s="1"/>
  <c r="BC90" i="18" s="1"/>
  <c r="D63" i="21"/>
  <c r="E63" i="21" s="1"/>
  <c r="BC88" i="18" s="1"/>
  <c r="D64" i="21"/>
  <c r="E64" i="21" s="1"/>
  <c r="BC76" i="18" s="1"/>
  <c r="D65" i="21"/>
  <c r="E65" i="21" s="1"/>
  <c r="BC71" i="18" s="1"/>
  <c r="D66" i="21"/>
  <c r="E66" i="21" s="1"/>
  <c r="BC39" i="18" s="1"/>
  <c r="D68" i="21"/>
  <c r="E68" i="21" s="1"/>
  <c r="BC41" i="18" s="1"/>
  <c r="D69" i="21"/>
  <c r="E69" i="21" s="1"/>
  <c r="BC66" i="18" s="1"/>
  <c r="D71" i="21"/>
  <c r="E71" i="21" s="1"/>
  <c r="BC59" i="18" s="1"/>
  <c r="D72" i="21"/>
  <c r="E72" i="21" s="1"/>
  <c r="BC42" i="18" s="1"/>
  <c r="D73" i="21"/>
  <c r="E73" i="21" s="1"/>
  <c r="BC43" i="18" s="1"/>
  <c r="D74" i="21"/>
  <c r="E74" i="21" s="1"/>
  <c r="BC62" i="18" s="1"/>
  <c r="D75" i="21"/>
  <c r="E75" i="21" s="1"/>
  <c r="BC92" i="18" s="1"/>
  <c r="D76" i="21"/>
  <c r="E76" i="21" s="1"/>
  <c r="BC53" i="18" s="1"/>
  <c r="D77" i="21"/>
  <c r="E77" i="21" s="1"/>
  <c r="BC15" i="18" s="1"/>
  <c r="D78" i="21"/>
  <c r="E78" i="21" s="1"/>
  <c r="BC23" i="18" s="1"/>
  <c r="D79" i="21"/>
  <c r="E79" i="21" s="1"/>
  <c r="BC38" i="18" s="1"/>
  <c r="D80" i="21"/>
  <c r="E80" i="21" s="1"/>
  <c r="BC65" i="18" s="1"/>
  <c r="D81" i="21"/>
  <c r="E81" i="21" s="1"/>
  <c r="BC81" i="18" s="1"/>
  <c r="D82" i="21"/>
  <c r="E82" i="21" s="1"/>
  <c r="BC24" i="18" s="1"/>
  <c r="D83" i="21"/>
  <c r="E83" i="21" s="1"/>
  <c r="BC19" i="18" s="1"/>
  <c r="D84" i="21"/>
  <c r="E84" i="21" s="1"/>
  <c r="BC54" i="18" s="1"/>
  <c r="D85" i="21"/>
  <c r="E85" i="21" s="1"/>
  <c r="BC22" i="18" s="1"/>
  <c r="D86" i="21"/>
  <c r="E86" i="21" s="1"/>
  <c r="BC51" i="18" s="1"/>
  <c r="D87" i="21"/>
  <c r="E87" i="21" s="1"/>
  <c r="BC20" i="18" s="1"/>
  <c r="D3" i="21"/>
  <c r="E3" i="21" s="1"/>
  <c r="BC82" i="18" s="1"/>
  <c r="Q34" i="2"/>
  <c r="Q21" i="5"/>
  <c r="Q38" i="2"/>
  <c r="Q19" i="5"/>
  <c r="Q23" i="2"/>
  <c r="G15" i="22" l="1"/>
  <c r="BC10" i="6" s="1"/>
  <c r="D25" i="22"/>
  <c r="D95" i="22"/>
  <c r="D83" i="22"/>
  <c r="C83" i="22" s="1"/>
  <c r="CA78" i="6" s="1"/>
  <c r="D71" i="22"/>
  <c r="D59" i="22"/>
  <c r="D47" i="22"/>
  <c r="D35" i="22"/>
  <c r="BC57" i="6"/>
  <c r="D94" i="22"/>
  <c r="C94" i="22" s="1"/>
  <c r="CA89" i="6" s="1"/>
  <c r="D82" i="22"/>
  <c r="C82" i="22" s="1"/>
  <c r="CA77" i="6" s="1"/>
  <c r="D70" i="22"/>
  <c r="D58" i="22"/>
  <c r="C58" i="22" s="1"/>
  <c r="CA53" i="6" s="1"/>
  <c r="D46" i="22"/>
  <c r="D34" i="22"/>
  <c r="D22" i="22"/>
  <c r="C22" i="22" s="1"/>
  <c r="CA17" i="6" s="1"/>
  <c r="BC45" i="6"/>
  <c r="D102" i="22"/>
  <c r="C102" i="22" s="1"/>
  <c r="CA97" i="6" s="1"/>
  <c r="D90" i="22"/>
  <c r="D78" i="22"/>
  <c r="D66" i="22"/>
  <c r="D54" i="22"/>
  <c r="D42" i="22"/>
  <c r="C42" i="22" s="1"/>
  <c r="CA37" i="6" s="1"/>
  <c r="D30" i="22"/>
  <c r="C30" i="22" s="1"/>
  <c r="CA25" i="6" s="1"/>
  <c r="BC81" i="6"/>
  <c r="BC33" i="6"/>
  <c r="BC69" i="6"/>
  <c r="BC21" i="6"/>
  <c r="D99" i="22"/>
  <c r="D87" i="22"/>
  <c r="D75" i="22"/>
  <c r="D63" i="22"/>
  <c r="D51" i="22"/>
  <c r="D39" i="22"/>
  <c r="D27" i="22"/>
  <c r="C27" i="22" s="1"/>
  <c r="CA22" i="6" s="1"/>
  <c r="BC58" i="6"/>
  <c r="D98" i="22"/>
  <c r="C98" i="22" s="1"/>
  <c r="CA93" i="6" s="1"/>
  <c r="D86" i="22"/>
  <c r="D74" i="22"/>
  <c r="C74" i="22" s="1"/>
  <c r="CA69" i="6" s="1"/>
  <c r="D38" i="22"/>
  <c r="D26" i="22"/>
  <c r="D96" i="22"/>
  <c r="C96" i="22" s="1"/>
  <c r="CA91" i="6" s="1"/>
  <c r="D84" i="22"/>
  <c r="D72" i="22"/>
  <c r="D60" i="22"/>
  <c r="D48" i="22"/>
  <c r="D36" i="22"/>
  <c r="BC80" i="6"/>
  <c r="BC68" i="6"/>
  <c r="BC56" i="6"/>
  <c r="BC44" i="6"/>
  <c r="BC32" i="6"/>
  <c r="BC20" i="6"/>
  <c r="D62" i="22"/>
  <c r="D23" i="22"/>
  <c r="D93" i="22"/>
  <c r="C93" i="22" s="1"/>
  <c r="CA88" i="6" s="1"/>
  <c r="D81" i="22"/>
  <c r="C81" i="22" s="1"/>
  <c r="CA76" i="6" s="1"/>
  <c r="D69" i="22"/>
  <c r="C69" i="22" s="1"/>
  <c r="CA64" i="6" s="1"/>
  <c r="D57" i="22"/>
  <c r="C57" i="22" s="1"/>
  <c r="CA52" i="6" s="1"/>
  <c r="D45" i="22"/>
  <c r="D33" i="22"/>
  <c r="C33" i="22" s="1"/>
  <c r="CA28" i="6" s="1"/>
  <c r="D21" i="22"/>
  <c r="C21" i="22" s="1"/>
  <c r="CA16" i="6" s="1"/>
  <c r="D85" i="22"/>
  <c r="D49" i="22"/>
  <c r="C49" i="22" s="1"/>
  <c r="CA44" i="6" s="1"/>
  <c r="D104" i="22"/>
  <c r="D92" i="22"/>
  <c r="D80" i="22"/>
  <c r="D68" i="22"/>
  <c r="D56" i="22"/>
  <c r="D44" i="22"/>
  <c r="C44" i="22" s="1"/>
  <c r="CA39" i="6" s="1"/>
  <c r="D32" i="22"/>
  <c r="C32" i="22" s="1"/>
  <c r="CA27" i="6" s="1"/>
  <c r="D20" i="22"/>
  <c r="BC11" i="6"/>
  <c r="BC88" i="6"/>
  <c r="BC76" i="6"/>
  <c r="BC64" i="6"/>
  <c r="BC52" i="6"/>
  <c r="BC40" i="6"/>
  <c r="BC28" i="6"/>
  <c r="BC16" i="6"/>
  <c r="D97" i="22"/>
  <c r="C97" i="22" s="1"/>
  <c r="CA92" i="6" s="1"/>
  <c r="D73" i="22"/>
  <c r="D61" i="22"/>
  <c r="C61" i="22" s="1"/>
  <c r="CA56" i="6" s="1"/>
  <c r="D37" i="22"/>
  <c r="C37" i="22" s="1"/>
  <c r="CA32" i="6" s="1"/>
  <c r="D103" i="22"/>
  <c r="D91" i="22"/>
  <c r="D79" i="22"/>
  <c r="D67" i="22"/>
  <c r="D55" i="22"/>
  <c r="D43" i="22"/>
  <c r="C43" i="22" s="1"/>
  <c r="CA38" i="6" s="1"/>
  <c r="D31" i="22"/>
  <c r="C31" i="22" s="1"/>
  <c r="CA26" i="6" s="1"/>
  <c r="D19" i="22"/>
  <c r="C19" i="22" s="1"/>
  <c r="CA14" i="6" s="1"/>
  <c r="BC12" i="6"/>
  <c r="D50" i="22"/>
  <c r="D101" i="22"/>
  <c r="C101" i="22" s="1"/>
  <c r="CA96" i="6" s="1"/>
  <c r="D89" i="22"/>
  <c r="D77" i="22"/>
  <c r="D65" i="22"/>
  <c r="C65" i="22" s="1"/>
  <c r="CA60" i="6" s="1"/>
  <c r="D53" i="22"/>
  <c r="C53" i="22" s="1"/>
  <c r="CA48" i="6" s="1"/>
  <c r="D41" i="22"/>
  <c r="D29" i="22"/>
  <c r="C29" i="22" s="1"/>
  <c r="CA24" i="6" s="1"/>
  <c r="D100" i="22"/>
  <c r="D88" i="22"/>
  <c r="C88" i="22" s="1"/>
  <c r="CA83" i="6" s="1"/>
  <c r="D76" i="22"/>
  <c r="C76" i="22" s="1"/>
  <c r="CA71" i="6" s="1"/>
  <c r="D64" i="22"/>
  <c r="C64" i="22" s="1"/>
  <c r="CA59" i="6" s="1"/>
  <c r="D52" i="22"/>
  <c r="D40" i="22"/>
  <c r="D28" i="22"/>
  <c r="C28" i="22" s="1"/>
  <c r="CA23" i="6" s="1"/>
  <c r="C75" i="22"/>
  <c r="CA70" i="6" s="1"/>
  <c r="C63" i="22"/>
  <c r="CA58" i="6" s="1"/>
  <c r="C17" i="22"/>
  <c r="CA12" i="6" s="1"/>
  <c r="D88" i="21"/>
  <c r="E88" i="21" s="1"/>
  <c r="I15" i="2"/>
  <c r="G9" i="22" l="1"/>
  <c r="D18" i="22" s="1"/>
  <c r="C18" i="22" s="1"/>
  <c r="CA13" i="6" s="1"/>
  <c r="D24" i="22"/>
  <c r="C24" i="22" s="1"/>
  <c r="CA19" i="6" s="1"/>
  <c r="C70" i="22"/>
  <c r="CA65" i="6" s="1"/>
  <c r="C39" i="22"/>
  <c r="CA34" i="6" s="1"/>
  <c r="C78" i="22"/>
  <c r="CA73" i="6" s="1"/>
  <c r="C72" i="22"/>
  <c r="CA67" i="6" s="1"/>
  <c r="C55" i="22"/>
  <c r="CA50" i="6" s="1"/>
  <c r="C91" i="22"/>
  <c r="CA86" i="6" s="1"/>
  <c r="C20" i="22"/>
  <c r="CA15" i="6" s="1"/>
  <c r="C56" i="22"/>
  <c r="CA51" i="6" s="1"/>
  <c r="C92" i="22"/>
  <c r="CA87" i="6" s="1"/>
  <c r="C51" i="22"/>
  <c r="CA46" i="6" s="1"/>
  <c r="C87" i="22"/>
  <c r="CA82" i="6" s="1"/>
  <c r="C38" i="22"/>
  <c r="CA33" i="6" s="1"/>
  <c r="C84" i="22"/>
  <c r="CA79" i="6" s="1"/>
  <c r="C26" i="22"/>
  <c r="CA21" i="6" s="1"/>
  <c r="C62" i="22"/>
  <c r="CA57" i="6" s="1"/>
  <c r="C100" i="22"/>
  <c r="CA95" i="6" s="1"/>
  <c r="C77" i="22"/>
  <c r="CA72" i="6" s="1"/>
  <c r="C90" i="22"/>
  <c r="CA85" i="6" s="1"/>
  <c r="C36" i="22"/>
  <c r="CA31" i="6" s="1"/>
  <c r="C68" i="22"/>
  <c r="CA63" i="6" s="1"/>
  <c r="C52" i="22"/>
  <c r="CA47" i="6" s="1"/>
  <c r="C95" i="22"/>
  <c r="CA90" i="6" s="1"/>
  <c r="C25" i="22"/>
  <c r="CA20" i="6" s="1"/>
  <c r="C89" i="22"/>
  <c r="CA84" i="6" s="1"/>
  <c r="C34" i="22"/>
  <c r="CA29" i="6" s="1"/>
  <c r="C73" i="22"/>
  <c r="CA68" i="6" s="1"/>
  <c r="C45" i="22"/>
  <c r="CA40" i="6" s="1"/>
  <c r="C23" i="22"/>
  <c r="CA18" i="6" s="1"/>
  <c r="C40" i="22"/>
  <c r="CA35" i="6" s="1"/>
  <c r="C104" i="22"/>
  <c r="CA99" i="6" s="1"/>
  <c r="C60" i="22"/>
  <c r="CA55" i="6" s="1"/>
  <c r="C41" i="22"/>
  <c r="CA36" i="6" s="1"/>
  <c r="C79" i="22"/>
  <c r="CA74" i="6" s="1"/>
  <c r="C48" i="22"/>
  <c r="CA43" i="6" s="1"/>
  <c r="C80" i="22"/>
  <c r="CA75" i="6" s="1"/>
  <c r="C103" i="22"/>
  <c r="CA98" i="6" s="1"/>
  <c r="C67" i="22"/>
  <c r="CA62" i="6" s="1"/>
  <c r="C99" i="22"/>
  <c r="CA94" i="6" s="1"/>
  <c r="C35" i="22"/>
  <c r="CA30" i="6" s="1"/>
  <c r="C59" i="22"/>
  <c r="CA54" i="6" s="1"/>
  <c r="C46" i="22"/>
  <c r="CA41" i="6" s="1"/>
  <c r="C71" i="22"/>
  <c r="CA66" i="6" s="1"/>
  <c r="C66" i="22"/>
  <c r="CA61" i="6" s="1"/>
  <c r="C47" i="22"/>
  <c r="CA42" i="6" s="1"/>
  <c r="C85" i="22"/>
  <c r="CA80" i="6" s="1"/>
  <c r="C54" i="22"/>
  <c r="CA49" i="6" s="1"/>
  <c r="C50" i="22"/>
  <c r="CA45" i="6" s="1"/>
  <c r="C86" i="22"/>
  <c r="CA81" i="6" s="1"/>
  <c r="B1" i="18"/>
  <c r="C1" i="18" s="1"/>
  <c r="D1" i="18" s="1"/>
  <c r="E1" i="18" s="1"/>
  <c r="F1" i="18" s="1"/>
  <c r="G1" i="18" s="1"/>
  <c r="H1" i="18" s="1"/>
  <c r="I1" i="18" s="1"/>
  <c r="J1" i="18" s="1"/>
  <c r="K1" i="18" s="1"/>
  <c r="L1" i="18" s="1"/>
  <c r="M1" i="18" s="1"/>
  <c r="N1" i="18" s="1"/>
  <c r="O1" i="18" s="1"/>
  <c r="P1" i="18" s="1"/>
  <c r="Q1" i="18" s="1"/>
  <c r="R1" i="18" s="1"/>
  <c r="S1" i="18" s="1"/>
  <c r="T1" i="18" s="1"/>
  <c r="U1" i="18" s="1"/>
  <c r="V1" i="18" s="1"/>
  <c r="W1" i="18" s="1"/>
  <c r="X1" i="18" s="1"/>
  <c r="Y1" i="18" s="1"/>
  <c r="Z1" i="18" s="1"/>
  <c r="AA1" i="18" s="1"/>
  <c r="AB1" i="18" s="1"/>
  <c r="AC1" i="18" s="1"/>
  <c r="AD1" i="18" s="1"/>
  <c r="AE1" i="18" s="1"/>
  <c r="AF1" i="18" s="1"/>
  <c r="AG1" i="18" s="1"/>
  <c r="AH1" i="18" s="1"/>
  <c r="AI1" i="18" s="1"/>
  <c r="AJ1" i="18" s="1"/>
  <c r="AK1" i="18" s="1"/>
  <c r="AL1" i="18" s="1"/>
  <c r="AM1" i="18" s="1"/>
  <c r="AN1" i="18" s="1"/>
  <c r="AO1" i="18" s="1"/>
  <c r="AP1" i="18" s="1"/>
  <c r="AQ1" i="18" s="1"/>
  <c r="AR1" i="18" s="1"/>
  <c r="AS1" i="18" s="1"/>
  <c r="AT1" i="18" s="1"/>
  <c r="AU1" i="18" s="1"/>
  <c r="AV1" i="18" s="1"/>
  <c r="AW1" i="18" s="1"/>
  <c r="AX1" i="18" s="1"/>
  <c r="AY1" i="18" s="1"/>
  <c r="AZ1" i="18" s="1"/>
  <c r="BA1" i="18" s="1"/>
  <c r="BB1" i="18" s="1"/>
  <c r="BC1" i="18" s="1"/>
  <c r="BD1" i="18" s="1"/>
  <c r="BE1" i="18" s="1"/>
  <c r="BF1" i="18" s="1"/>
  <c r="G7" i="22" l="1"/>
  <c r="D16" i="22" s="1"/>
  <c r="C16" i="22" s="1"/>
  <c r="CA11" i="6" s="1"/>
  <c r="BX99" i="18"/>
  <c r="BW99" i="18"/>
  <c r="BV99" i="18"/>
  <c r="BU99" i="18"/>
  <c r="BS99" i="18"/>
  <c r="BR99" i="18"/>
  <c r="BQ99" i="18"/>
  <c r="BP99" i="18"/>
  <c r="BO99" i="18"/>
  <c r="BN99" i="18"/>
  <c r="BI99" i="18"/>
  <c r="BB99" i="18"/>
  <c r="AU99" i="18"/>
  <c r="AS99" i="18"/>
  <c r="AQ99" i="18"/>
  <c r="AO99" i="18"/>
  <c r="AG99" i="18"/>
  <c r="AF99" i="18"/>
  <c r="AE99" i="18"/>
  <c r="Z99" i="18"/>
  <c r="Y99" i="18"/>
  <c r="X99" i="18"/>
  <c r="O99" i="18"/>
  <c r="BX98" i="18"/>
  <c r="BW98" i="18"/>
  <c r="BV98" i="18"/>
  <c r="BU98" i="18"/>
  <c r="BS98" i="18"/>
  <c r="BR98" i="18"/>
  <c r="BQ98" i="18"/>
  <c r="BP98" i="18"/>
  <c r="BO98" i="18"/>
  <c r="BN98" i="18"/>
  <c r="BI98" i="18"/>
  <c r="BB98" i="18"/>
  <c r="AU98" i="18"/>
  <c r="AS98" i="18"/>
  <c r="AQ98" i="18"/>
  <c r="AO98" i="18"/>
  <c r="AG98" i="18"/>
  <c r="AF98" i="18"/>
  <c r="AE98" i="18"/>
  <c r="Z98" i="18"/>
  <c r="Y98" i="18"/>
  <c r="X98" i="18"/>
  <c r="O98" i="18"/>
  <c r="BX97" i="18"/>
  <c r="BW97" i="18"/>
  <c r="BV97" i="18"/>
  <c r="BU97" i="18"/>
  <c r="BS97" i="18"/>
  <c r="BR97" i="18"/>
  <c r="BQ97" i="18"/>
  <c r="BP97" i="18"/>
  <c r="BO97" i="18"/>
  <c r="BN97" i="18"/>
  <c r="BI97" i="18"/>
  <c r="BB97" i="18"/>
  <c r="AU97" i="18"/>
  <c r="AS97" i="18"/>
  <c r="AQ97" i="18"/>
  <c r="AO97" i="18"/>
  <c r="AG97" i="18"/>
  <c r="AF97" i="18"/>
  <c r="AE97" i="18"/>
  <c r="Z97" i="18"/>
  <c r="Y97" i="18"/>
  <c r="X97" i="18"/>
  <c r="O97" i="18"/>
  <c r="BX96" i="18"/>
  <c r="BW96" i="18"/>
  <c r="BV96" i="18"/>
  <c r="BU96" i="18"/>
  <c r="BS96" i="18"/>
  <c r="BR96" i="18"/>
  <c r="BQ96" i="18"/>
  <c r="BP96" i="18"/>
  <c r="BO96" i="18"/>
  <c r="BN96" i="18"/>
  <c r="BI96" i="18"/>
  <c r="BB96" i="18"/>
  <c r="AU96" i="18"/>
  <c r="AS96" i="18"/>
  <c r="AQ96" i="18"/>
  <c r="AO96" i="18"/>
  <c r="AG96" i="18"/>
  <c r="AF96" i="18"/>
  <c r="AE96" i="18"/>
  <c r="Z96" i="18"/>
  <c r="Y96" i="18"/>
  <c r="X96" i="18"/>
  <c r="O96" i="18"/>
  <c r="BB95" i="18"/>
  <c r="AU95" i="18"/>
  <c r="AS95" i="18"/>
  <c r="AQ95" i="18"/>
  <c r="AO95" i="18"/>
  <c r="AF95" i="18"/>
  <c r="AE95" i="18"/>
  <c r="Y95" i="18"/>
  <c r="X95" i="18"/>
  <c r="O95" i="18"/>
  <c r="BB94" i="18"/>
  <c r="AU94" i="18"/>
  <c r="AS94" i="18"/>
  <c r="AQ94" i="18"/>
  <c r="AO94" i="18"/>
  <c r="AF94" i="18"/>
  <c r="AE94" i="18"/>
  <c r="Y94" i="18"/>
  <c r="X94" i="18"/>
  <c r="O94" i="18"/>
  <c r="BB93" i="18"/>
  <c r="AU93" i="18"/>
  <c r="AS93" i="18"/>
  <c r="AQ93" i="18"/>
  <c r="AO93" i="18"/>
  <c r="AF93" i="18"/>
  <c r="AE93" i="18"/>
  <c r="Y93" i="18"/>
  <c r="X93" i="18"/>
  <c r="O93" i="18"/>
  <c r="BB92" i="18"/>
  <c r="AU92" i="18"/>
  <c r="AS92" i="18"/>
  <c r="AQ92" i="18"/>
  <c r="AO92" i="18"/>
  <c r="AF92" i="18"/>
  <c r="AE92" i="18"/>
  <c r="Y92" i="18"/>
  <c r="X92" i="18"/>
  <c r="O92" i="18"/>
  <c r="BB91" i="18"/>
  <c r="AU91" i="18"/>
  <c r="AS91" i="18"/>
  <c r="AQ91" i="18"/>
  <c r="AO91" i="18"/>
  <c r="AF91" i="18"/>
  <c r="AE91" i="18"/>
  <c r="Y91" i="18"/>
  <c r="X91" i="18"/>
  <c r="O91" i="18"/>
  <c r="BB90" i="18"/>
  <c r="AU90" i="18"/>
  <c r="AS90" i="18"/>
  <c r="AQ90" i="18"/>
  <c r="AO90" i="18"/>
  <c r="AF90" i="18"/>
  <c r="AE90" i="18"/>
  <c r="Y90" i="18"/>
  <c r="X90" i="18"/>
  <c r="O90" i="18"/>
  <c r="BB89" i="18"/>
  <c r="AU89" i="18"/>
  <c r="AS89" i="18"/>
  <c r="AQ89" i="18"/>
  <c r="AO89" i="18"/>
  <c r="AF89" i="18"/>
  <c r="AE89" i="18"/>
  <c r="Y89" i="18"/>
  <c r="X89" i="18"/>
  <c r="O89" i="18"/>
  <c r="BB88" i="18"/>
  <c r="AU88" i="18"/>
  <c r="AS88" i="18"/>
  <c r="AQ88" i="18"/>
  <c r="AO88" i="18"/>
  <c r="AF88" i="18"/>
  <c r="AE88" i="18"/>
  <c r="Y88" i="18"/>
  <c r="X88" i="18"/>
  <c r="O88" i="18"/>
  <c r="BB87" i="18"/>
  <c r="AU87" i="18"/>
  <c r="AS87" i="18"/>
  <c r="AQ87" i="18"/>
  <c r="AO87" i="18"/>
  <c r="AF87" i="18"/>
  <c r="AE87" i="18"/>
  <c r="Y87" i="18"/>
  <c r="X87" i="18"/>
  <c r="O87" i="18"/>
  <c r="BB86" i="18"/>
  <c r="AU86" i="18"/>
  <c r="AS86" i="18"/>
  <c r="AQ86" i="18"/>
  <c r="AO86" i="18"/>
  <c r="AF86" i="18"/>
  <c r="AE86" i="18"/>
  <c r="Y86" i="18"/>
  <c r="X86" i="18"/>
  <c r="O86" i="18"/>
  <c r="BB85" i="18"/>
  <c r="AU85" i="18"/>
  <c r="AS85" i="18"/>
  <c r="AQ85" i="18"/>
  <c r="AO85" i="18"/>
  <c r="AF85" i="18"/>
  <c r="AE85" i="18"/>
  <c r="Y85" i="18"/>
  <c r="X85" i="18"/>
  <c r="O85" i="18"/>
  <c r="BB84" i="18"/>
  <c r="AU84" i="18"/>
  <c r="AS84" i="18"/>
  <c r="AQ84" i="18"/>
  <c r="AO84" i="18"/>
  <c r="AF84" i="18"/>
  <c r="AE84" i="18"/>
  <c r="Y84" i="18"/>
  <c r="X84" i="18"/>
  <c r="O84" i="18"/>
  <c r="BB83" i="18"/>
  <c r="AU83" i="18"/>
  <c r="AS83" i="18"/>
  <c r="AQ83" i="18"/>
  <c r="AO83" i="18"/>
  <c r="AF83" i="18"/>
  <c r="AE83" i="18"/>
  <c r="Y83" i="18"/>
  <c r="X83" i="18"/>
  <c r="O83" i="18"/>
  <c r="BB82" i="18"/>
  <c r="AU82" i="18"/>
  <c r="AS82" i="18"/>
  <c r="AQ82" i="18"/>
  <c r="AO82" i="18"/>
  <c r="AF82" i="18"/>
  <c r="AE82" i="18"/>
  <c r="Y82" i="18"/>
  <c r="X82" i="18"/>
  <c r="P82" i="18"/>
  <c r="O82" i="18"/>
  <c r="BB81" i="18"/>
  <c r="AU81" i="18"/>
  <c r="AS81" i="18"/>
  <c r="AQ81" i="18"/>
  <c r="AO81" i="18"/>
  <c r="AF81" i="18"/>
  <c r="AE81" i="18"/>
  <c r="Y81" i="18"/>
  <c r="X81" i="18"/>
  <c r="O81" i="18"/>
  <c r="BB80" i="18"/>
  <c r="AU80" i="18"/>
  <c r="AS80" i="18"/>
  <c r="AQ80" i="18"/>
  <c r="AO80" i="18"/>
  <c r="AF80" i="18"/>
  <c r="AE80" i="18"/>
  <c r="Y80" i="18"/>
  <c r="X80" i="18"/>
  <c r="O80" i="18"/>
  <c r="BB79" i="18"/>
  <c r="AU79" i="18"/>
  <c r="AS79" i="18"/>
  <c r="AQ79" i="18"/>
  <c r="AO79" i="18"/>
  <c r="AF79" i="18"/>
  <c r="AE79" i="18"/>
  <c r="Y79" i="18"/>
  <c r="X79" i="18"/>
  <c r="O79" i="18"/>
  <c r="BB78" i="18"/>
  <c r="AU78" i="18"/>
  <c r="AS78" i="18"/>
  <c r="AQ78" i="18"/>
  <c r="AO78" i="18"/>
  <c r="AF78" i="18"/>
  <c r="AE78" i="18"/>
  <c r="Y78" i="18"/>
  <c r="X78" i="18"/>
  <c r="O78" i="18"/>
  <c r="BB77" i="18"/>
  <c r="AU77" i="18"/>
  <c r="AS77" i="18"/>
  <c r="AQ77" i="18"/>
  <c r="AO77" i="18"/>
  <c r="AF77" i="18"/>
  <c r="AE77" i="18"/>
  <c r="Y77" i="18"/>
  <c r="X77" i="18"/>
  <c r="O77" i="18"/>
  <c r="BB76" i="18"/>
  <c r="AU76" i="18"/>
  <c r="AS76" i="18"/>
  <c r="AQ76" i="18"/>
  <c r="AO76" i="18"/>
  <c r="AF76" i="18"/>
  <c r="AE76" i="18"/>
  <c r="Y76" i="18"/>
  <c r="X76" i="18"/>
  <c r="O76" i="18"/>
  <c r="BB75" i="18"/>
  <c r="AU75" i="18"/>
  <c r="AS75" i="18"/>
  <c r="AQ75" i="18"/>
  <c r="AO75" i="18"/>
  <c r="AF75" i="18"/>
  <c r="AE75" i="18"/>
  <c r="Y75" i="18"/>
  <c r="X75" i="18"/>
  <c r="O75" i="18"/>
  <c r="BB74" i="18"/>
  <c r="AU74" i="18"/>
  <c r="AS74" i="18"/>
  <c r="AQ74" i="18"/>
  <c r="AO74" i="18"/>
  <c r="AF74" i="18"/>
  <c r="AE74" i="18"/>
  <c r="Y74" i="18"/>
  <c r="X74" i="18"/>
  <c r="O74" i="18"/>
  <c r="BB73" i="18"/>
  <c r="AU73" i="18"/>
  <c r="AS73" i="18"/>
  <c r="AQ73" i="18"/>
  <c r="AO73" i="18"/>
  <c r="AF73" i="18"/>
  <c r="AE73" i="18"/>
  <c r="Y73" i="18"/>
  <c r="X73" i="18"/>
  <c r="O73" i="18"/>
  <c r="BB72" i="18"/>
  <c r="AU72" i="18"/>
  <c r="AS72" i="18"/>
  <c r="AQ72" i="18"/>
  <c r="AO72" i="18"/>
  <c r="AF72" i="18"/>
  <c r="AE72" i="18"/>
  <c r="Y72" i="18"/>
  <c r="X72" i="18"/>
  <c r="O72" i="18"/>
  <c r="BB71" i="18"/>
  <c r="AU71" i="18"/>
  <c r="AS71" i="18"/>
  <c r="AQ71" i="18"/>
  <c r="AO71" i="18"/>
  <c r="AF71" i="18"/>
  <c r="AE71" i="18"/>
  <c r="Y71" i="18"/>
  <c r="X71" i="18"/>
  <c r="O71" i="18"/>
  <c r="BB70" i="18"/>
  <c r="AU70" i="18"/>
  <c r="AS70" i="18"/>
  <c r="AQ70" i="18"/>
  <c r="AO70" i="18"/>
  <c r="AF70" i="18"/>
  <c r="AE70" i="18"/>
  <c r="Y70" i="18"/>
  <c r="X70" i="18"/>
  <c r="O70" i="18"/>
  <c r="BB69" i="18"/>
  <c r="AU69" i="18"/>
  <c r="AS69" i="18"/>
  <c r="AQ69" i="18"/>
  <c r="AO69" i="18"/>
  <c r="AF69" i="18"/>
  <c r="AE69" i="18"/>
  <c r="Y69" i="18"/>
  <c r="X69" i="18"/>
  <c r="O69" i="18"/>
  <c r="BB68" i="18"/>
  <c r="AU68" i="18"/>
  <c r="AS68" i="18"/>
  <c r="AQ68" i="18"/>
  <c r="AO68" i="18"/>
  <c r="AF68" i="18"/>
  <c r="AE68" i="18"/>
  <c r="Y68" i="18"/>
  <c r="X68" i="18"/>
  <c r="O68" i="18"/>
  <c r="BB67" i="18"/>
  <c r="AU67" i="18"/>
  <c r="AS67" i="18"/>
  <c r="AQ67" i="18"/>
  <c r="AO67" i="18"/>
  <c r="AF67" i="18"/>
  <c r="AE67" i="18"/>
  <c r="Y67" i="18"/>
  <c r="X67" i="18"/>
  <c r="O67" i="18"/>
  <c r="BB66" i="18"/>
  <c r="AU66" i="18"/>
  <c r="AS66" i="18"/>
  <c r="AQ66" i="18"/>
  <c r="AO66" i="18"/>
  <c r="AF66" i="18"/>
  <c r="AE66" i="18"/>
  <c r="Y66" i="18"/>
  <c r="X66" i="18"/>
  <c r="O66" i="18"/>
  <c r="BB65" i="18"/>
  <c r="AU65" i="18"/>
  <c r="AS65" i="18"/>
  <c r="AQ65" i="18"/>
  <c r="AO65" i="18"/>
  <c r="AF65" i="18"/>
  <c r="AE65" i="18"/>
  <c r="Y65" i="18"/>
  <c r="X65" i="18"/>
  <c r="O65" i="18"/>
  <c r="BB64" i="18"/>
  <c r="AU64" i="18"/>
  <c r="AS64" i="18"/>
  <c r="AQ64" i="18"/>
  <c r="AO64" i="18"/>
  <c r="AF64" i="18"/>
  <c r="AE64" i="18"/>
  <c r="Y64" i="18"/>
  <c r="X64" i="18"/>
  <c r="O64" i="18"/>
  <c r="BB63" i="18"/>
  <c r="AU63" i="18"/>
  <c r="AS63" i="18"/>
  <c r="AQ63" i="18"/>
  <c r="AO63" i="18"/>
  <c r="AF63" i="18"/>
  <c r="AE63" i="18"/>
  <c r="Y63" i="18"/>
  <c r="X63" i="18"/>
  <c r="O63" i="18"/>
  <c r="BB62" i="18"/>
  <c r="AU62" i="18"/>
  <c r="AS62" i="18"/>
  <c r="AQ62" i="18"/>
  <c r="AO62" i="18"/>
  <c r="AF62" i="18"/>
  <c r="AE62" i="18"/>
  <c r="Y62" i="18"/>
  <c r="X62" i="18"/>
  <c r="O62" i="18"/>
  <c r="BB61" i="18"/>
  <c r="AU61" i="18"/>
  <c r="AS61" i="18"/>
  <c r="AQ61" i="18"/>
  <c r="AO61" i="18"/>
  <c r="AF61" i="18"/>
  <c r="AE61" i="18"/>
  <c r="Y61" i="18"/>
  <c r="X61" i="18"/>
  <c r="O61" i="18"/>
  <c r="BB60" i="18"/>
  <c r="AU60" i="18"/>
  <c r="AS60" i="18"/>
  <c r="AQ60" i="18"/>
  <c r="AO60" i="18"/>
  <c r="AF60" i="18"/>
  <c r="AE60" i="18"/>
  <c r="Y60" i="18"/>
  <c r="X60" i="18"/>
  <c r="O60" i="18"/>
  <c r="BB59" i="18"/>
  <c r="AU59" i="18"/>
  <c r="AS59" i="18"/>
  <c r="AQ59" i="18"/>
  <c r="AO59" i="18"/>
  <c r="AF59" i="18"/>
  <c r="AE59" i="18"/>
  <c r="Y59" i="18"/>
  <c r="X59" i="18"/>
  <c r="O59" i="18"/>
  <c r="BB58" i="18"/>
  <c r="AU58" i="18"/>
  <c r="AS58" i="18"/>
  <c r="AQ58" i="18"/>
  <c r="AO58" i="18"/>
  <c r="AF58" i="18"/>
  <c r="AE58" i="18"/>
  <c r="Y58" i="18"/>
  <c r="X58" i="18"/>
  <c r="O58" i="18"/>
  <c r="BB57" i="18"/>
  <c r="AU57" i="18"/>
  <c r="AS57" i="18"/>
  <c r="AQ57" i="18"/>
  <c r="AO57" i="18"/>
  <c r="AF57" i="18"/>
  <c r="AE57" i="18"/>
  <c r="Y57" i="18"/>
  <c r="X57" i="18"/>
  <c r="O57" i="18"/>
  <c r="BB56" i="18"/>
  <c r="AU56" i="18"/>
  <c r="AS56" i="18"/>
  <c r="AQ56" i="18"/>
  <c r="AO56" i="18"/>
  <c r="AF56" i="18"/>
  <c r="AE56" i="18"/>
  <c r="Y56" i="18"/>
  <c r="X56" i="18"/>
  <c r="O56" i="18"/>
  <c r="BS55" i="18"/>
  <c r="BR55" i="18"/>
  <c r="BQ55" i="18"/>
  <c r="BP55" i="18"/>
  <c r="BO55" i="18"/>
  <c r="BN55" i="18"/>
  <c r="BB55" i="18"/>
  <c r="AU55" i="18"/>
  <c r="AS55" i="18"/>
  <c r="AQ55" i="18"/>
  <c r="AO55" i="18"/>
  <c r="AG55" i="18"/>
  <c r="AF55" i="18"/>
  <c r="AE55" i="18"/>
  <c r="Z55" i="18"/>
  <c r="Y55" i="18"/>
  <c r="X55" i="18"/>
  <c r="O55" i="18"/>
  <c r="BB54" i="18"/>
  <c r="AU54" i="18"/>
  <c r="AS54" i="18"/>
  <c r="AQ54" i="18"/>
  <c r="AO54" i="18"/>
  <c r="AF54" i="18"/>
  <c r="AE54" i="18"/>
  <c r="Y54" i="18"/>
  <c r="X54" i="18"/>
  <c r="O54" i="18"/>
  <c r="BB53" i="18"/>
  <c r="AU53" i="18"/>
  <c r="AS53" i="18"/>
  <c r="AQ53" i="18"/>
  <c r="AO53" i="18"/>
  <c r="AF53" i="18"/>
  <c r="AE53" i="18"/>
  <c r="Y53" i="18"/>
  <c r="X53" i="18"/>
  <c r="O53" i="18"/>
  <c r="BB52" i="18"/>
  <c r="AU52" i="18"/>
  <c r="AS52" i="18"/>
  <c r="AQ52" i="18"/>
  <c r="AO52" i="18"/>
  <c r="AF52" i="18"/>
  <c r="AE52" i="18"/>
  <c r="Y52" i="18"/>
  <c r="X52" i="18"/>
  <c r="O52" i="18"/>
  <c r="BB51" i="18"/>
  <c r="AU51" i="18"/>
  <c r="AS51" i="18"/>
  <c r="AQ51" i="18"/>
  <c r="AO51" i="18"/>
  <c r="AF51" i="18"/>
  <c r="AE51" i="18"/>
  <c r="Y51" i="18"/>
  <c r="X51" i="18"/>
  <c r="O51" i="18"/>
  <c r="BB50" i="18"/>
  <c r="AU50" i="18"/>
  <c r="AS50" i="18"/>
  <c r="AQ50" i="18"/>
  <c r="AO50" i="18"/>
  <c r="AF50" i="18"/>
  <c r="AE50" i="18"/>
  <c r="Y50" i="18"/>
  <c r="X50" i="18"/>
  <c r="O50" i="18"/>
  <c r="BB49" i="18"/>
  <c r="AU49" i="18"/>
  <c r="AS49" i="18"/>
  <c r="AQ49" i="18"/>
  <c r="AO49" i="18"/>
  <c r="AF49" i="18"/>
  <c r="AE49" i="18"/>
  <c r="Y49" i="18"/>
  <c r="X49" i="18"/>
  <c r="O49" i="18"/>
  <c r="BB48" i="18"/>
  <c r="AU48" i="18"/>
  <c r="AS48" i="18"/>
  <c r="AQ48" i="18"/>
  <c r="AO48" i="18"/>
  <c r="AF48" i="18"/>
  <c r="AE48" i="18"/>
  <c r="Y48" i="18"/>
  <c r="X48" i="18"/>
  <c r="O48" i="18"/>
  <c r="BB47" i="18"/>
  <c r="AU47" i="18"/>
  <c r="AS47" i="18"/>
  <c r="AQ47" i="18"/>
  <c r="AO47" i="18"/>
  <c r="AF47" i="18"/>
  <c r="AE47" i="18"/>
  <c r="Y47" i="18"/>
  <c r="X47" i="18"/>
  <c r="O47" i="18"/>
  <c r="BB46" i="18"/>
  <c r="AU46" i="18"/>
  <c r="AS46" i="18"/>
  <c r="AQ46" i="18"/>
  <c r="AO46" i="18"/>
  <c r="AF46" i="18"/>
  <c r="AE46" i="18"/>
  <c r="Y46" i="18"/>
  <c r="X46" i="18"/>
  <c r="O46" i="18"/>
  <c r="BB45" i="18"/>
  <c r="AU45" i="18"/>
  <c r="AS45" i="18"/>
  <c r="AQ45" i="18"/>
  <c r="AO45" i="18"/>
  <c r="AF45" i="18"/>
  <c r="AE45" i="18"/>
  <c r="Y45" i="18"/>
  <c r="X45" i="18"/>
  <c r="O45" i="18"/>
  <c r="BB44" i="18"/>
  <c r="AU44" i="18"/>
  <c r="AS44" i="18"/>
  <c r="AQ44" i="18"/>
  <c r="AO44" i="18"/>
  <c r="AF44" i="18"/>
  <c r="AE44" i="18"/>
  <c r="Y44" i="18"/>
  <c r="X44" i="18"/>
  <c r="O44" i="18"/>
  <c r="BB43" i="18"/>
  <c r="AU43" i="18"/>
  <c r="AS43" i="18"/>
  <c r="AQ43" i="18"/>
  <c r="AO43" i="18"/>
  <c r="AF43" i="18"/>
  <c r="AE43" i="18"/>
  <c r="Y43" i="18"/>
  <c r="X43" i="18"/>
  <c r="O43" i="18"/>
  <c r="BB42" i="18"/>
  <c r="AU42" i="18"/>
  <c r="AS42" i="18"/>
  <c r="AQ42" i="18"/>
  <c r="AO42" i="18"/>
  <c r="AF42" i="18"/>
  <c r="AE42" i="18"/>
  <c r="Y42" i="18"/>
  <c r="X42" i="18"/>
  <c r="O42" i="18"/>
  <c r="BB41" i="18"/>
  <c r="AU41" i="18"/>
  <c r="AS41" i="18"/>
  <c r="AQ41" i="18"/>
  <c r="AO41" i="18"/>
  <c r="AF41" i="18"/>
  <c r="AE41" i="18"/>
  <c r="Y41" i="18"/>
  <c r="X41" i="18"/>
  <c r="O41" i="18"/>
  <c r="BB40" i="18"/>
  <c r="AU40" i="18"/>
  <c r="AS40" i="18"/>
  <c r="AQ40" i="18"/>
  <c r="AO40" i="18"/>
  <c r="AF40" i="18"/>
  <c r="AE40" i="18"/>
  <c r="Y40" i="18"/>
  <c r="X40" i="18"/>
  <c r="O40" i="18"/>
  <c r="BB39" i="18"/>
  <c r="AU39" i="18"/>
  <c r="AS39" i="18"/>
  <c r="AQ39" i="18"/>
  <c r="AO39" i="18"/>
  <c r="AF39" i="18"/>
  <c r="AE39" i="18"/>
  <c r="Y39" i="18"/>
  <c r="X39" i="18"/>
  <c r="O39" i="18"/>
  <c r="BB38" i="18"/>
  <c r="AU38" i="18"/>
  <c r="AS38" i="18"/>
  <c r="AQ38" i="18"/>
  <c r="AO38" i="18"/>
  <c r="AF38" i="18"/>
  <c r="AE38" i="18"/>
  <c r="Y38" i="18"/>
  <c r="X38" i="18"/>
  <c r="O38" i="18"/>
  <c r="BB37" i="18"/>
  <c r="AU37" i="18"/>
  <c r="AS37" i="18"/>
  <c r="AQ37" i="18"/>
  <c r="AO37" i="18"/>
  <c r="AF37" i="18"/>
  <c r="AE37" i="18"/>
  <c r="Y37" i="18"/>
  <c r="X37" i="18"/>
  <c r="O37" i="18"/>
  <c r="BB36" i="18"/>
  <c r="AU36" i="18"/>
  <c r="AS36" i="18"/>
  <c r="AQ36" i="18"/>
  <c r="AO36" i="18"/>
  <c r="AF36" i="18"/>
  <c r="AE36" i="18"/>
  <c r="Y36" i="18"/>
  <c r="X36" i="18"/>
  <c r="O36" i="18"/>
  <c r="BB35" i="18"/>
  <c r="AU35" i="18"/>
  <c r="AS35" i="18"/>
  <c r="AQ35" i="18"/>
  <c r="AO35" i="18"/>
  <c r="AF35" i="18"/>
  <c r="AE35" i="18"/>
  <c r="Y35" i="18"/>
  <c r="X35" i="18"/>
  <c r="O35" i="18"/>
  <c r="BB34" i="18"/>
  <c r="AU34" i="18"/>
  <c r="AS34" i="18"/>
  <c r="AQ34" i="18"/>
  <c r="AO34" i="18"/>
  <c r="AF34" i="18"/>
  <c r="AE34" i="18"/>
  <c r="Y34" i="18"/>
  <c r="X34" i="18"/>
  <c r="O34" i="18"/>
  <c r="BB33" i="18"/>
  <c r="AU33" i="18"/>
  <c r="AS33" i="18"/>
  <c r="AQ33" i="18"/>
  <c r="AO33" i="18"/>
  <c r="AF33" i="18"/>
  <c r="AE33" i="18"/>
  <c r="Y33" i="18"/>
  <c r="X33" i="18"/>
  <c r="O33" i="18"/>
  <c r="BB32" i="18"/>
  <c r="AU32" i="18"/>
  <c r="AS32" i="18"/>
  <c r="AQ32" i="18"/>
  <c r="AO32" i="18"/>
  <c r="AF32" i="18"/>
  <c r="AE32" i="18"/>
  <c r="Y32" i="18"/>
  <c r="X32" i="18"/>
  <c r="O32" i="18"/>
  <c r="BB31" i="18"/>
  <c r="AU31" i="18"/>
  <c r="AS31" i="18"/>
  <c r="AQ31" i="18"/>
  <c r="AO31" i="18"/>
  <c r="AF31" i="18"/>
  <c r="AE31" i="18"/>
  <c r="Y31" i="18"/>
  <c r="X31" i="18"/>
  <c r="O31" i="18"/>
  <c r="BB30" i="18"/>
  <c r="AU30" i="18"/>
  <c r="AS30" i="18"/>
  <c r="AQ30" i="18"/>
  <c r="AO30" i="18"/>
  <c r="AF30" i="18"/>
  <c r="AE30" i="18"/>
  <c r="Y30" i="18"/>
  <c r="X30" i="18"/>
  <c r="O30" i="18"/>
  <c r="BB29" i="18"/>
  <c r="AU29" i="18"/>
  <c r="AS29" i="18"/>
  <c r="AQ29" i="18"/>
  <c r="AO29" i="18"/>
  <c r="AF29" i="18"/>
  <c r="AE29" i="18"/>
  <c r="Y29" i="18"/>
  <c r="X29" i="18"/>
  <c r="O29" i="18"/>
  <c r="BB28" i="18"/>
  <c r="AU28" i="18"/>
  <c r="AS28" i="18"/>
  <c r="AQ28" i="18"/>
  <c r="AO28" i="18"/>
  <c r="AF28" i="18"/>
  <c r="AE28" i="18"/>
  <c r="Y28" i="18"/>
  <c r="X28" i="18"/>
  <c r="O28" i="18"/>
  <c r="BB27" i="18"/>
  <c r="AU27" i="18"/>
  <c r="AS27" i="18"/>
  <c r="AQ27" i="18"/>
  <c r="AO27" i="18"/>
  <c r="AF27" i="18"/>
  <c r="AE27" i="18"/>
  <c r="Y27" i="18"/>
  <c r="X27" i="18"/>
  <c r="O27" i="18"/>
  <c r="BB26" i="18"/>
  <c r="AU26" i="18"/>
  <c r="AS26" i="18"/>
  <c r="AQ26" i="18"/>
  <c r="AO26" i="18"/>
  <c r="AF26" i="18"/>
  <c r="AE26" i="18"/>
  <c r="Y26" i="18"/>
  <c r="X26" i="18"/>
  <c r="O26" i="18"/>
  <c r="BB25" i="18"/>
  <c r="AU25" i="18"/>
  <c r="AS25" i="18"/>
  <c r="AQ25" i="18"/>
  <c r="AO25" i="18"/>
  <c r="AF25" i="18"/>
  <c r="AE25" i="18"/>
  <c r="Y25" i="18"/>
  <c r="X25" i="18"/>
  <c r="O25" i="18"/>
  <c r="BB24" i="18"/>
  <c r="AU24" i="18"/>
  <c r="AS24" i="18"/>
  <c r="AQ24" i="18"/>
  <c r="AO24" i="18"/>
  <c r="AF24" i="18"/>
  <c r="AE24" i="18"/>
  <c r="Y24" i="18"/>
  <c r="X24" i="18"/>
  <c r="O24" i="18"/>
  <c r="BB23" i="18"/>
  <c r="AU23" i="18"/>
  <c r="AS23" i="18"/>
  <c r="AQ23" i="18"/>
  <c r="AO23" i="18"/>
  <c r="AF23" i="18"/>
  <c r="AE23" i="18"/>
  <c r="Y23" i="18"/>
  <c r="X23" i="18"/>
  <c r="O23" i="18"/>
  <c r="BB22" i="18"/>
  <c r="AU22" i="18"/>
  <c r="AS22" i="18"/>
  <c r="AQ22" i="18"/>
  <c r="AO22" i="18"/>
  <c r="AF22" i="18"/>
  <c r="AE22" i="18"/>
  <c r="Y22" i="18"/>
  <c r="X22" i="18"/>
  <c r="O22" i="18"/>
  <c r="BB21" i="18"/>
  <c r="AU21" i="18"/>
  <c r="AS21" i="18"/>
  <c r="AQ21" i="18"/>
  <c r="AO21" i="18"/>
  <c r="AF21" i="18"/>
  <c r="AE21" i="18"/>
  <c r="Y21" i="18"/>
  <c r="X21" i="18"/>
  <c r="O21" i="18"/>
  <c r="BB20" i="18"/>
  <c r="AU20" i="18"/>
  <c r="AS20" i="18"/>
  <c r="AQ20" i="18"/>
  <c r="AO20" i="18"/>
  <c r="AF20" i="18"/>
  <c r="AE20" i="18"/>
  <c r="Y20" i="18"/>
  <c r="X20" i="18"/>
  <c r="O20" i="18"/>
  <c r="BB19" i="18"/>
  <c r="AU19" i="18"/>
  <c r="AS19" i="18"/>
  <c r="AQ19" i="18"/>
  <c r="AO19" i="18"/>
  <c r="AF19" i="18"/>
  <c r="AE19" i="18"/>
  <c r="Y19" i="18"/>
  <c r="X19" i="18"/>
  <c r="O19" i="18"/>
  <c r="BB18" i="18"/>
  <c r="AU18" i="18"/>
  <c r="AS18" i="18"/>
  <c r="AQ18" i="18"/>
  <c r="AO18" i="18"/>
  <c r="AF18" i="18"/>
  <c r="AE18" i="18"/>
  <c r="Y18" i="18"/>
  <c r="X18" i="18"/>
  <c r="O18" i="18"/>
  <c r="BB17" i="18"/>
  <c r="AU17" i="18"/>
  <c r="AS17" i="18"/>
  <c r="AQ17" i="18"/>
  <c r="AO17" i="18"/>
  <c r="AF17" i="18"/>
  <c r="AE17" i="18"/>
  <c r="Y17" i="18"/>
  <c r="X17" i="18"/>
  <c r="O17" i="18"/>
  <c r="BB16" i="18"/>
  <c r="AU16" i="18"/>
  <c r="AS16" i="18"/>
  <c r="AQ16" i="18"/>
  <c r="AO16" i="18"/>
  <c r="AF16" i="18"/>
  <c r="AE16" i="18"/>
  <c r="Y16" i="18"/>
  <c r="X16" i="18"/>
  <c r="O16" i="18"/>
  <c r="BB15" i="18"/>
  <c r="AU15" i="18"/>
  <c r="AS15" i="18"/>
  <c r="AQ15" i="18"/>
  <c r="AO15" i="18"/>
  <c r="AF15" i="18"/>
  <c r="AE15" i="18"/>
  <c r="Y15" i="18"/>
  <c r="X15" i="18"/>
  <c r="O15" i="18"/>
  <c r="BB14" i="18"/>
  <c r="AU14" i="18"/>
  <c r="AS14" i="18"/>
  <c r="AQ14" i="18"/>
  <c r="AO14" i="18"/>
  <c r="AF14" i="18"/>
  <c r="AE14" i="18"/>
  <c r="Y14" i="18"/>
  <c r="X14" i="18"/>
  <c r="O14" i="18"/>
  <c r="BS13" i="18"/>
  <c r="BR13" i="18"/>
  <c r="BQ13" i="18"/>
  <c r="BP13" i="18"/>
  <c r="BO13" i="18"/>
  <c r="BN13" i="18"/>
  <c r="BB13" i="18"/>
  <c r="AU13" i="18"/>
  <c r="AS13" i="18"/>
  <c r="AQ13" i="18"/>
  <c r="AO13" i="18"/>
  <c r="AG13" i="18"/>
  <c r="AF13" i="18"/>
  <c r="AE13" i="18"/>
  <c r="Z13" i="18"/>
  <c r="Y13" i="18"/>
  <c r="X13" i="18"/>
  <c r="O13" i="18"/>
  <c r="BB12" i="18"/>
  <c r="AU12" i="18"/>
  <c r="AS12" i="18"/>
  <c r="AQ12" i="18"/>
  <c r="AO12" i="18"/>
  <c r="AF12" i="18"/>
  <c r="AE12" i="18"/>
  <c r="Y12" i="18"/>
  <c r="X12" i="18"/>
  <c r="O12" i="18"/>
  <c r="BS11" i="18"/>
  <c r="BR11" i="18"/>
  <c r="BQ11" i="18"/>
  <c r="BP11" i="18"/>
  <c r="BO11" i="18"/>
  <c r="BN11" i="18"/>
  <c r="BB11" i="18"/>
  <c r="AU11" i="18"/>
  <c r="AS11" i="18"/>
  <c r="AQ11" i="18"/>
  <c r="AO11" i="18"/>
  <c r="AG11" i="18"/>
  <c r="AF11" i="18"/>
  <c r="AE11" i="18"/>
  <c r="Z11" i="18"/>
  <c r="Y11" i="18"/>
  <c r="X11" i="18"/>
  <c r="O11" i="18"/>
  <c r="B11" i="18"/>
  <c r="B12" i="18" s="1"/>
  <c r="B13" i="18" s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B46" i="18" s="1"/>
  <c r="B47" i="18" s="1"/>
  <c r="B48" i="18" s="1"/>
  <c r="B49" i="18" s="1"/>
  <c r="B50" i="18" s="1"/>
  <c r="B51" i="18" s="1"/>
  <c r="B52" i="18" s="1"/>
  <c r="B53" i="18" s="1"/>
  <c r="B54" i="18" s="1"/>
  <c r="B55" i="18" s="1"/>
  <c r="B56" i="18" s="1"/>
  <c r="B57" i="18" s="1"/>
  <c r="B58" i="18" s="1"/>
  <c r="B59" i="18" s="1"/>
  <c r="B60" i="18" s="1"/>
  <c r="B61" i="18" s="1"/>
  <c r="B62" i="18" s="1"/>
  <c r="B63" i="18" s="1"/>
  <c r="B64" i="18" s="1"/>
  <c r="B65" i="18" s="1"/>
  <c r="B66" i="18" s="1"/>
  <c r="B67" i="18" s="1"/>
  <c r="B68" i="18" s="1"/>
  <c r="B69" i="18" s="1"/>
  <c r="B70" i="18" s="1"/>
  <c r="B71" i="18" s="1"/>
  <c r="B72" i="18" s="1"/>
  <c r="B73" i="18" s="1"/>
  <c r="B74" i="18" s="1"/>
  <c r="B75" i="18" s="1"/>
  <c r="B76" i="18" s="1"/>
  <c r="B77" i="18" s="1"/>
  <c r="B78" i="18" s="1"/>
  <c r="B79" i="18" s="1"/>
  <c r="B80" i="18" s="1"/>
  <c r="AU10" i="18"/>
  <c r="AV98" i="18" s="1"/>
  <c r="AS10" i="18"/>
  <c r="AT14" i="18" s="1"/>
  <c r="AQ10" i="18"/>
  <c r="AO10" i="18"/>
  <c r="AP14" i="18" s="1"/>
  <c r="C8" i="18"/>
  <c r="D8" i="18" s="1"/>
  <c r="E8" i="18" s="1"/>
  <c r="F8" i="18" s="1"/>
  <c r="G8" i="18" s="1"/>
  <c r="H8" i="18" s="1"/>
  <c r="I8" i="18" s="1"/>
  <c r="J8" i="18" s="1"/>
  <c r="K8" i="18" s="1"/>
  <c r="L8" i="18" s="1"/>
  <c r="M8" i="18" s="1"/>
  <c r="N8" i="18" s="1"/>
  <c r="O8" i="18" s="1"/>
  <c r="P8" i="18" s="1"/>
  <c r="Q8" i="18" s="1"/>
  <c r="R8" i="18" s="1"/>
  <c r="S8" i="18" s="1"/>
  <c r="T8" i="18" s="1"/>
  <c r="U8" i="18" s="1"/>
  <c r="V8" i="18" s="1"/>
  <c r="W8" i="18" s="1"/>
  <c r="X8" i="18" s="1"/>
  <c r="Y8" i="18" s="1"/>
  <c r="Z8" i="18" s="1"/>
  <c r="AB8" i="18" s="1"/>
  <c r="AC8" i="18" s="1"/>
  <c r="AD8" i="18" s="1"/>
  <c r="AE8" i="18" s="1"/>
  <c r="AF8" i="18" s="1"/>
  <c r="AG8" i="18" s="1"/>
  <c r="AH8" i="18" s="1"/>
  <c r="AI8" i="18" s="1"/>
  <c r="AJ8" i="18" s="1"/>
  <c r="AK8" i="18" s="1"/>
  <c r="AL8" i="18" s="1"/>
  <c r="AM8" i="18" s="1"/>
  <c r="AN8" i="18" s="1"/>
  <c r="AO8" i="18" s="1"/>
  <c r="AP8" i="18" s="1"/>
  <c r="AQ8" i="18" s="1"/>
  <c r="AR8" i="18" s="1"/>
  <c r="AS8" i="18" s="1"/>
  <c r="AT8" i="18" s="1"/>
  <c r="AU8" i="18" s="1"/>
  <c r="AV8" i="18" s="1"/>
  <c r="AW8" i="18" s="1"/>
  <c r="AX8" i="18" s="1"/>
  <c r="AY8" i="18" s="1"/>
  <c r="AZ8" i="18" s="1"/>
  <c r="BA8" i="18" s="1"/>
  <c r="BB8" i="18" s="1"/>
  <c r="BC8" i="18" s="1"/>
  <c r="BD8" i="18" s="1"/>
  <c r="CA5" i="18"/>
  <c r="BG1" i="18"/>
  <c r="BH1" i="18" s="1"/>
  <c r="BI1" i="18" s="1"/>
  <c r="BJ1" i="18" s="1"/>
  <c r="BK1" i="18" s="1"/>
  <c r="BL1" i="18" s="1"/>
  <c r="BM1" i="18" s="1"/>
  <c r="BN1" i="18" s="1"/>
  <c r="BO1" i="18" s="1"/>
  <c r="BP1" i="18" s="1"/>
  <c r="BQ1" i="18" s="1"/>
  <c r="BR1" i="18" s="1"/>
  <c r="BS1" i="18" s="1"/>
  <c r="BT1" i="18" s="1"/>
  <c r="BU1" i="18" s="1"/>
  <c r="BV1" i="18" s="1"/>
  <c r="BW1" i="18" s="1"/>
  <c r="BX1" i="18" s="1"/>
  <c r="BY1" i="18" s="1"/>
  <c r="BZ1" i="18" s="1"/>
  <c r="CA1" i="18" s="1"/>
  <c r="B1" i="6"/>
  <c r="C1" i="6" s="1"/>
  <c r="D1" i="6" s="1"/>
  <c r="E1" i="6" s="1"/>
  <c r="F1" i="6" s="1"/>
  <c r="G1" i="6" s="1"/>
  <c r="H1" i="6" s="1"/>
  <c r="I1" i="6" s="1"/>
  <c r="J1" i="6" s="1"/>
  <c r="K1" i="6" s="1"/>
  <c r="L1" i="6" s="1"/>
  <c r="M1" i="6" s="1"/>
  <c r="N1" i="6" s="1"/>
  <c r="O1" i="6" s="1"/>
  <c r="P1" i="6" s="1"/>
  <c r="Q1" i="6" s="1"/>
  <c r="R1" i="6" s="1"/>
  <c r="S1" i="6" s="1"/>
  <c r="T1" i="6" s="1"/>
  <c r="U1" i="6" s="1"/>
  <c r="V1" i="6" s="1"/>
  <c r="W1" i="6" s="1"/>
  <c r="X1" i="6" s="1"/>
  <c r="Y1" i="6" s="1"/>
  <c r="Z1" i="6" s="1"/>
  <c r="AA1" i="6" s="1"/>
  <c r="AB1" i="6" s="1"/>
  <c r="AC1" i="6" s="1"/>
  <c r="AD1" i="6" s="1"/>
  <c r="AE1" i="6" s="1"/>
  <c r="AF1" i="6" s="1"/>
  <c r="AG1" i="6" s="1"/>
  <c r="AH1" i="6" s="1"/>
  <c r="AI1" i="6" s="1"/>
  <c r="AJ1" i="6" s="1"/>
  <c r="AK1" i="6" s="1"/>
  <c r="AL1" i="6" s="1"/>
  <c r="AM1" i="6" s="1"/>
  <c r="AN1" i="6" s="1"/>
  <c r="AO1" i="6" s="1"/>
  <c r="AP1" i="6" s="1"/>
  <c r="AQ1" i="6" s="1"/>
  <c r="AR1" i="6" s="1"/>
  <c r="AS1" i="6" s="1"/>
  <c r="AT1" i="6" s="1"/>
  <c r="AU1" i="6" s="1"/>
  <c r="AV1" i="6" s="1"/>
  <c r="AW1" i="6" s="1"/>
  <c r="AX1" i="6" s="1"/>
  <c r="AY1" i="6" s="1"/>
  <c r="AZ1" i="6" s="1"/>
  <c r="BA1" i="6" s="1"/>
  <c r="BB1" i="6" s="1"/>
  <c r="BC1" i="6" s="1"/>
  <c r="BD1" i="6" s="1"/>
  <c r="BE1" i="6" s="1"/>
  <c r="BF1" i="6" s="1"/>
  <c r="BG1" i="6" s="1"/>
  <c r="BH1" i="6" s="1"/>
  <c r="BI1" i="6" s="1"/>
  <c r="BJ1" i="6" s="1"/>
  <c r="BK1" i="6" s="1"/>
  <c r="BL1" i="6" s="1"/>
  <c r="BM1" i="6" s="1"/>
  <c r="BN1" i="6" s="1"/>
  <c r="BO1" i="6" s="1"/>
  <c r="BP1" i="6" s="1"/>
  <c r="BQ1" i="6" s="1"/>
  <c r="BR1" i="6" s="1"/>
  <c r="BS1" i="6" s="1"/>
  <c r="BT1" i="6" s="1"/>
  <c r="BU1" i="6" s="1"/>
  <c r="BV1" i="6" s="1"/>
  <c r="BW1" i="6" s="1"/>
  <c r="BX1" i="6" s="1"/>
  <c r="BY1" i="6" s="1"/>
  <c r="BZ1" i="6" s="1"/>
  <c r="CA1" i="6" s="1"/>
  <c r="CB1" i="6" s="1"/>
  <c r="CC1" i="6" s="1"/>
  <c r="Q17" i="9"/>
  <c r="AW86" i="18" s="1"/>
  <c r="Q18" i="9"/>
  <c r="AW69" i="18" s="1"/>
  <c r="Q19" i="9"/>
  <c r="AW58" i="18" s="1"/>
  <c r="Q20" i="9"/>
  <c r="AW44" i="18" s="1"/>
  <c r="Q21" i="9"/>
  <c r="AW30" i="18" s="1"/>
  <c r="Q22" i="9"/>
  <c r="AW50" i="18" s="1"/>
  <c r="Q23" i="9"/>
  <c r="AW25" i="18" s="1"/>
  <c r="Q24" i="9"/>
  <c r="AW45" i="18" s="1"/>
  <c r="Q25" i="9"/>
  <c r="AW73" i="18" s="1"/>
  <c r="Q26" i="9"/>
  <c r="AW11" i="18" s="1"/>
  <c r="Q27" i="9"/>
  <c r="AW13" i="18" s="1"/>
  <c r="Q28" i="9"/>
  <c r="AW55" i="18" s="1"/>
  <c r="Q29" i="9"/>
  <c r="Q30" i="9"/>
  <c r="AW67" i="18" s="1"/>
  <c r="Q31" i="9"/>
  <c r="AW91" i="18" s="1"/>
  <c r="Q32" i="9"/>
  <c r="Q33" i="9"/>
  <c r="AW21" i="18" s="1"/>
  <c r="Q34" i="9"/>
  <c r="AW84" i="18" s="1"/>
  <c r="Q35" i="9"/>
  <c r="AW63" i="18" s="1"/>
  <c r="Q36" i="9"/>
  <c r="AW56" i="18" s="1"/>
  <c r="Q37" i="9"/>
  <c r="AW26" i="18" s="1"/>
  <c r="Q38" i="9"/>
  <c r="AW70" i="18" s="1"/>
  <c r="Q39" i="9"/>
  <c r="AW74" i="18" s="1"/>
  <c r="Q40" i="9"/>
  <c r="AW46" i="18" s="1"/>
  <c r="Q41" i="9"/>
  <c r="AW17" i="18" s="1"/>
  <c r="Q42" i="9"/>
  <c r="AW28" i="18" s="1"/>
  <c r="Q43" i="9"/>
  <c r="AW77" i="18" s="1"/>
  <c r="Q44" i="9"/>
  <c r="AW78" i="18" s="1"/>
  <c r="Q45" i="9"/>
  <c r="AW68" i="18" s="1"/>
  <c r="Q46" i="9"/>
  <c r="AW18" i="18" s="1"/>
  <c r="Q47" i="9"/>
  <c r="AW31" i="18" s="1"/>
  <c r="Q48" i="9"/>
  <c r="AW40" i="18" s="1"/>
  <c r="Q49" i="9"/>
  <c r="Q50" i="9"/>
  <c r="AW89" i="18" s="1"/>
  <c r="Q51" i="9"/>
  <c r="AW12" i="18" s="1"/>
  <c r="Q52" i="9"/>
  <c r="AW14" i="18" s="1"/>
  <c r="Q53" i="9"/>
  <c r="AW64" i="18" s="1"/>
  <c r="Q54" i="9"/>
  <c r="AW32" i="18" s="1"/>
  <c r="Q55" i="9"/>
  <c r="AW29" i="18" s="1"/>
  <c r="Q56" i="9"/>
  <c r="AW60" i="18" s="1"/>
  <c r="Q57" i="9"/>
  <c r="AW75" i="18" s="1"/>
  <c r="Q58" i="9"/>
  <c r="AW33" i="18" s="1"/>
  <c r="Q59" i="9"/>
  <c r="AW48" i="18" s="1"/>
  <c r="Q60" i="9"/>
  <c r="AW61" i="18" s="1"/>
  <c r="Q61" i="9"/>
  <c r="AW79" i="18" s="1"/>
  <c r="Q62" i="9"/>
  <c r="AW80" i="18" s="1"/>
  <c r="Q63" i="9"/>
  <c r="AW34" i="18" s="1"/>
  <c r="Q64" i="9"/>
  <c r="AW35" i="18" s="1"/>
  <c r="Q65" i="9"/>
  <c r="AW83" i="18" s="1"/>
  <c r="Q66" i="9"/>
  <c r="AW27" i="18" s="1"/>
  <c r="Q67" i="9"/>
  <c r="AW93" i="18" s="1"/>
  <c r="Q68" i="9"/>
  <c r="AW72" i="18" s="1"/>
  <c r="Q69" i="9"/>
  <c r="AW94" i="18" s="1"/>
  <c r="Q70" i="9"/>
  <c r="AW57" i="18" s="1"/>
  <c r="Q71" i="9"/>
  <c r="AW49" i="18" s="1"/>
  <c r="Q72" i="9"/>
  <c r="AW36" i="18" s="1"/>
  <c r="Q73" i="9"/>
  <c r="AW37" i="18" s="1"/>
  <c r="Q74" i="9"/>
  <c r="AW47" i="18" s="1"/>
  <c r="Q75" i="9"/>
  <c r="AW52" i="18" s="1"/>
  <c r="Q76" i="9"/>
  <c r="AW95" i="18" s="1"/>
  <c r="Q77" i="9"/>
  <c r="AW87" i="18" s="1"/>
  <c r="Q78" i="9"/>
  <c r="AW16" i="18" s="1"/>
  <c r="Q79" i="9"/>
  <c r="AW90" i="18" s="1"/>
  <c r="Q80" i="9"/>
  <c r="AW88" i="18" s="1"/>
  <c r="Q81" i="9"/>
  <c r="AW76" i="18" s="1"/>
  <c r="Q82" i="9"/>
  <c r="AW71" i="18" s="1"/>
  <c r="Q83" i="9"/>
  <c r="AW39" i="18" s="1"/>
  <c r="Q84" i="9"/>
  <c r="AW41" i="18" s="1"/>
  <c r="Q85" i="9"/>
  <c r="AW66" i="18" s="1"/>
  <c r="Q86" i="9"/>
  <c r="AW59" i="18" s="1"/>
  <c r="Q87" i="9"/>
  <c r="AW42" i="18" s="1"/>
  <c r="Q88" i="9"/>
  <c r="AW43" i="18" s="1"/>
  <c r="AW62" i="18"/>
  <c r="Q90" i="9"/>
  <c r="AW92" i="18" s="1"/>
  <c r="Q91" i="9"/>
  <c r="AW53" i="18" s="1"/>
  <c r="Q92" i="9"/>
  <c r="AW15" i="18" s="1"/>
  <c r="Q93" i="9"/>
  <c r="AW23" i="18" s="1"/>
  <c r="Q94" i="9"/>
  <c r="AW38" i="18" s="1"/>
  <c r="Q95" i="9"/>
  <c r="AW65" i="18" s="1"/>
  <c r="Q96" i="9"/>
  <c r="AW81" i="18" s="1"/>
  <c r="Q97" i="9"/>
  <c r="AW24" i="18" s="1"/>
  <c r="Q98" i="9"/>
  <c r="Q99" i="9"/>
  <c r="AW19" i="18" s="1"/>
  <c r="Q100" i="9"/>
  <c r="AW54" i="18" s="1"/>
  <c r="Q101" i="9"/>
  <c r="AW22" i="18" s="1"/>
  <c r="Q102" i="9"/>
  <c r="AW85" i="18" s="1"/>
  <c r="Q103" i="9"/>
  <c r="AW51" i="18" s="1"/>
  <c r="Q104" i="9"/>
  <c r="AW20" i="18" s="1"/>
  <c r="Q16" i="9"/>
  <c r="AW82" i="18" s="1"/>
  <c r="H16" i="10"/>
  <c r="C8" i="6"/>
  <c r="D8" i="6" s="1"/>
  <c r="E8" i="6" s="1"/>
  <c r="F8" i="6" s="1"/>
  <c r="G8" i="6" s="1"/>
  <c r="H8" i="6" s="1"/>
  <c r="I8" i="6" s="1"/>
  <c r="J8" i="6" s="1"/>
  <c r="AS10" i="6"/>
  <c r="AU10" i="6"/>
  <c r="AQ10" i="6"/>
  <c r="AO10" i="6"/>
  <c r="AE12" i="6"/>
  <c r="AF12" i="6"/>
  <c r="AE13" i="6"/>
  <c r="AF13" i="6"/>
  <c r="AE14" i="6"/>
  <c r="AF14" i="6"/>
  <c r="AE15" i="6"/>
  <c r="AF15" i="6"/>
  <c r="AE16" i="6"/>
  <c r="AF16" i="6"/>
  <c r="AE17" i="6"/>
  <c r="AF17" i="6"/>
  <c r="AE18" i="6"/>
  <c r="AF18" i="6"/>
  <c r="AE19" i="6"/>
  <c r="AF19" i="6"/>
  <c r="AE20" i="6"/>
  <c r="AF20" i="6"/>
  <c r="AE21" i="6"/>
  <c r="AF21" i="6"/>
  <c r="AG21" i="6"/>
  <c r="AE22" i="6"/>
  <c r="AF22" i="6"/>
  <c r="AG22" i="6"/>
  <c r="AE23" i="6"/>
  <c r="AF23" i="6"/>
  <c r="AG23" i="6"/>
  <c r="AE24" i="6"/>
  <c r="AF24" i="6"/>
  <c r="AG24" i="6"/>
  <c r="AE25" i="6"/>
  <c r="AF25" i="6"/>
  <c r="AE26" i="6"/>
  <c r="AF26" i="6"/>
  <c r="AE27" i="6"/>
  <c r="AF27" i="6"/>
  <c r="AG27" i="6"/>
  <c r="AE28" i="6"/>
  <c r="AF28" i="6"/>
  <c r="AE29" i="6"/>
  <c r="AF29" i="6"/>
  <c r="AE30" i="6"/>
  <c r="AF30" i="6"/>
  <c r="AE31" i="6"/>
  <c r="AF31" i="6"/>
  <c r="AE32" i="6"/>
  <c r="AF32" i="6"/>
  <c r="AE33" i="6"/>
  <c r="AF33" i="6"/>
  <c r="AE34" i="6"/>
  <c r="AF34" i="6"/>
  <c r="AE35" i="6"/>
  <c r="AF35" i="6"/>
  <c r="AE36" i="6"/>
  <c r="AF36" i="6"/>
  <c r="AE37" i="6"/>
  <c r="AF37" i="6"/>
  <c r="AE38" i="6"/>
  <c r="AF38" i="6"/>
  <c r="AE39" i="6"/>
  <c r="AF39" i="6"/>
  <c r="AE40" i="6"/>
  <c r="AF40" i="6"/>
  <c r="AE41" i="6"/>
  <c r="AF41" i="6"/>
  <c r="AE42" i="6"/>
  <c r="AF42" i="6"/>
  <c r="AE43" i="6"/>
  <c r="AF43" i="6"/>
  <c r="AE44" i="6"/>
  <c r="AF44" i="6"/>
  <c r="AG44" i="6"/>
  <c r="AE45" i="6"/>
  <c r="AF45" i="6"/>
  <c r="AE46" i="6"/>
  <c r="AF46" i="6"/>
  <c r="AE47" i="6"/>
  <c r="AF47" i="6"/>
  <c r="AE48" i="6"/>
  <c r="AF48" i="6"/>
  <c r="AE49" i="6"/>
  <c r="AF49" i="6"/>
  <c r="AE50" i="6"/>
  <c r="AF50" i="6"/>
  <c r="AE51" i="6"/>
  <c r="AF51" i="6"/>
  <c r="AE52" i="6"/>
  <c r="AF52" i="6"/>
  <c r="AE53" i="6"/>
  <c r="AF53" i="6"/>
  <c r="AE54" i="6"/>
  <c r="AF54" i="6"/>
  <c r="AE55" i="6"/>
  <c r="AF55" i="6"/>
  <c r="AE56" i="6"/>
  <c r="AF56" i="6"/>
  <c r="AE57" i="6"/>
  <c r="AF57" i="6"/>
  <c r="AE58" i="6"/>
  <c r="AF58" i="6"/>
  <c r="AE59" i="6"/>
  <c r="AF59" i="6"/>
  <c r="AE60" i="6"/>
  <c r="AF60" i="6"/>
  <c r="AE61" i="6"/>
  <c r="AF61" i="6"/>
  <c r="AE62" i="6"/>
  <c r="AF62" i="6"/>
  <c r="AE63" i="6"/>
  <c r="AF63" i="6"/>
  <c r="AE64" i="6"/>
  <c r="AF64" i="6"/>
  <c r="AE65" i="6"/>
  <c r="AF65" i="6"/>
  <c r="AE66" i="6"/>
  <c r="AF66" i="6"/>
  <c r="AE67" i="6"/>
  <c r="AF67" i="6"/>
  <c r="AE68" i="6"/>
  <c r="AF68" i="6"/>
  <c r="AE69" i="6"/>
  <c r="AF69" i="6"/>
  <c r="AE70" i="6"/>
  <c r="AF70" i="6"/>
  <c r="AE71" i="6"/>
  <c r="AF71" i="6"/>
  <c r="AE72" i="6"/>
  <c r="AF72" i="6"/>
  <c r="AE73" i="6"/>
  <c r="AF73" i="6"/>
  <c r="AE74" i="6"/>
  <c r="AF74" i="6"/>
  <c r="AE75" i="6"/>
  <c r="AF75" i="6"/>
  <c r="AE76" i="6"/>
  <c r="AF76" i="6"/>
  <c r="AE77" i="6"/>
  <c r="AF77" i="6"/>
  <c r="AE78" i="6"/>
  <c r="AF78" i="6"/>
  <c r="AE79" i="6"/>
  <c r="AF79" i="6"/>
  <c r="AE80" i="6"/>
  <c r="AF80" i="6"/>
  <c r="AE81" i="6"/>
  <c r="AF81" i="6"/>
  <c r="AE82" i="6"/>
  <c r="AF82" i="6"/>
  <c r="AE83" i="6"/>
  <c r="AF83" i="6"/>
  <c r="AE84" i="6"/>
  <c r="AF84" i="6"/>
  <c r="AE85" i="6"/>
  <c r="AF85" i="6"/>
  <c r="AE86" i="6"/>
  <c r="AF86" i="6"/>
  <c r="AE87" i="6"/>
  <c r="AF87" i="6"/>
  <c r="AE88" i="6"/>
  <c r="AF88" i="6"/>
  <c r="AE89" i="6"/>
  <c r="AF89" i="6"/>
  <c r="AE90" i="6"/>
  <c r="AF90" i="6"/>
  <c r="AE91" i="6"/>
  <c r="AF91" i="6"/>
  <c r="AE92" i="6"/>
  <c r="AF92" i="6"/>
  <c r="AE93" i="6"/>
  <c r="AF93" i="6"/>
  <c r="AG93" i="6"/>
  <c r="AE94" i="6"/>
  <c r="AF94" i="6"/>
  <c r="AE95" i="6"/>
  <c r="AF95" i="6"/>
  <c r="AE96" i="6"/>
  <c r="AF96" i="6"/>
  <c r="AE97" i="6"/>
  <c r="AF97" i="6"/>
  <c r="AE98" i="6"/>
  <c r="AF98" i="6"/>
  <c r="AE99" i="6"/>
  <c r="AF99" i="6"/>
  <c r="AF11" i="6"/>
  <c r="AE11" i="6"/>
  <c r="Q17" i="5"/>
  <c r="AD86" i="18" s="1"/>
  <c r="Q18" i="5"/>
  <c r="AD69" i="18" s="1"/>
  <c r="AD58" i="18"/>
  <c r="Q20" i="5"/>
  <c r="AD44" i="18" s="1"/>
  <c r="AD30" i="18"/>
  <c r="Q22" i="5"/>
  <c r="AD50" i="18" s="1"/>
  <c r="Q23" i="5"/>
  <c r="AD25" i="18" s="1"/>
  <c r="Q24" i="5"/>
  <c r="AD45" i="18" s="1"/>
  <c r="Q25" i="5"/>
  <c r="AD73" i="18" s="1"/>
  <c r="Q26" i="5"/>
  <c r="AD11" i="18" s="1"/>
  <c r="Q27" i="5"/>
  <c r="AD22" i="6" s="1"/>
  <c r="Q28" i="5"/>
  <c r="AD55" i="18" s="1"/>
  <c r="Q29" i="5"/>
  <c r="AD96" i="18" s="1"/>
  <c r="Q30" i="5"/>
  <c r="AD67" i="18" s="1"/>
  <c r="Q31" i="5"/>
  <c r="AD91" i="18" s="1"/>
  <c r="Q32" i="5"/>
  <c r="AD97" i="18" s="1"/>
  <c r="Q33" i="5"/>
  <c r="AD21" i="18" s="1"/>
  <c r="Q34" i="5"/>
  <c r="AD84" i="18" s="1"/>
  <c r="Q35" i="5"/>
  <c r="AD63" i="18" s="1"/>
  <c r="Q36" i="5"/>
  <c r="AD56" i="18" s="1"/>
  <c r="Q37" i="5"/>
  <c r="AD26" i="18" s="1"/>
  <c r="Q38" i="5"/>
  <c r="AD70" i="18" s="1"/>
  <c r="Q39" i="5"/>
  <c r="AD74" i="18" s="1"/>
  <c r="Q40" i="5"/>
  <c r="AD46" i="18" s="1"/>
  <c r="Q41" i="5"/>
  <c r="AD17" i="18" s="1"/>
  <c r="Q42" i="5"/>
  <c r="AD28" i="18" s="1"/>
  <c r="Q43" i="5"/>
  <c r="AD77" i="18" s="1"/>
  <c r="Q44" i="5"/>
  <c r="AD78" i="18" s="1"/>
  <c r="Q45" i="5"/>
  <c r="AD68" i="18" s="1"/>
  <c r="Q46" i="5"/>
  <c r="AD18" i="18" s="1"/>
  <c r="Q47" i="5"/>
  <c r="AD31" i="18" s="1"/>
  <c r="Q48" i="5"/>
  <c r="AD40" i="18" s="1"/>
  <c r="Q49" i="5"/>
  <c r="AD98" i="18" s="1"/>
  <c r="Q50" i="5"/>
  <c r="AD89" i="18" s="1"/>
  <c r="Q51" i="5"/>
  <c r="AD12" i="18" s="1"/>
  <c r="Q52" i="5"/>
  <c r="AD14" i="18" s="1"/>
  <c r="Q53" i="5"/>
  <c r="AD64" i="18" s="1"/>
  <c r="Q54" i="5"/>
  <c r="AD49" i="6" s="1"/>
  <c r="Q55" i="5"/>
  <c r="AD29" i="18" s="1"/>
  <c r="Q56" i="5"/>
  <c r="AD60" i="18" s="1"/>
  <c r="Q57" i="5"/>
  <c r="AD75" i="18" s="1"/>
  <c r="Q58" i="5"/>
  <c r="AD33" i="18" s="1"/>
  <c r="Q59" i="5"/>
  <c r="AD48" i="18" s="1"/>
  <c r="Q60" i="5"/>
  <c r="AD61" i="18" s="1"/>
  <c r="Q61" i="5"/>
  <c r="AD79" i="18" s="1"/>
  <c r="Q62" i="5"/>
  <c r="AD80" i="18" s="1"/>
  <c r="Q63" i="5"/>
  <c r="AD34" i="18" s="1"/>
  <c r="Q64" i="5"/>
  <c r="AD35" i="18" s="1"/>
  <c r="Q65" i="5"/>
  <c r="AD83" i="18" s="1"/>
  <c r="Q66" i="5"/>
  <c r="AD27" i="18" s="1"/>
  <c r="Q67" i="5"/>
  <c r="AD93" i="18" s="1"/>
  <c r="Q68" i="5"/>
  <c r="AD72" i="18" s="1"/>
  <c r="Q69" i="5"/>
  <c r="AD94" i="18" s="1"/>
  <c r="Q70" i="5"/>
  <c r="AD57" i="18" s="1"/>
  <c r="Q71" i="5"/>
  <c r="AD49" i="18" s="1"/>
  <c r="Q72" i="5"/>
  <c r="AD36" i="18" s="1"/>
  <c r="Q73" i="5"/>
  <c r="AD37" i="18" s="1"/>
  <c r="Q74" i="5"/>
  <c r="AD47" i="18" s="1"/>
  <c r="Q75" i="5"/>
  <c r="AD52" i="18" s="1"/>
  <c r="Q76" i="5"/>
  <c r="AD95" i="18" s="1"/>
  <c r="Q77" i="5"/>
  <c r="AD87" i="18" s="1"/>
  <c r="Q78" i="5"/>
  <c r="AD16" i="18" s="1"/>
  <c r="Q79" i="5"/>
  <c r="AD90" i="18" s="1"/>
  <c r="Q80" i="5"/>
  <c r="AD88" i="18" s="1"/>
  <c r="Q81" i="5"/>
  <c r="AD76" i="18" s="1"/>
  <c r="Q82" i="5"/>
  <c r="AD71" i="18" s="1"/>
  <c r="Q83" i="5"/>
  <c r="AD39" i="18" s="1"/>
  <c r="Q84" i="5"/>
  <c r="AD41" i="18" s="1"/>
  <c r="Q85" i="5"/>
  <c r="AD66" i="18" s="1"/>
  <c r="Q86" i="5"/>
  <c r="AD59" i="18" s="1"/>
  <c r="Q87" i="5"/>
  <c r="AD42" i="18" s="1"/>
  <c r="Q88" i="5"/>
  <c r="AD43" i="18" s="1"/>
  <c r="Q89" i="5"/>
  <c r="AD62" i="18" s="1"/>
  <c r="Q90" i="5"/>
  <c r="AD92" i="18" s="1"/>
  <c r="Q91" i="5"/>
  <c r="AD53" i="18" s="1"/>
  <c r="Q92" i="5"/>
  <c r="AD15" i="18" s="1"/>
  <c r="Q93" i="5"/>
  <c r="AD23" i="18" s="1"/>
  <c r="Q94" i="5"/>
  <c r="AD38" i="18" s="1"/>
  <c r="Q95" i="5"/>
  <c r="AD65" i="18" s="1"/>
  <c r="Q96" i="5"/>
  <c r="AD81" i="18" s="1"/>
  <c r="Q97" i="5"/>
  <c r="AD24" i="18" s="1"/>
  <c r="Q98" i="5"/>
  <c r="AD99" i="18" s="1"/>
  <c r="Q99" i="5"/>
  <c r="AD94" i="6" s="1"/>
  <c r="Q100" i="5"/>
  <c r="AD54" i="18" s="1"/>
  <c r="Q101" i="5"/>
  <c r="AD22" i="18" s="1"/>
  <c r="Q102" i="5"/>
  <c r="AD85" i="18" s="1"/>
  <c r="Q103" i="5"/>
  <c r="AD51" i="18" s="1"/>
  <c r="Q104" i="5"/>
  <c r="AD20" i="18" s="1"/>
  <c r="Q16" i="5"/>
  <c r="AD82" i="18" s="1"/>
  <c r="Z21" i="6"/>
  <c r="Z22" i="6"/>
  <c r="Z23" i="6"/>
  <c r="Z24" i="6"/>
  <c r="Z27" i="6"/>
  <c r="Z44" i="6"/>
  <c r="Z93" i="6"/>
  <c r="X12" i="6"/>
  <c r="Y12" i="6"/>
  <c r="X13" i="6"/>
  <c r="Y13" i="6"/>
  <c r="X14" i="6"/>
  <c r="Y14" i="6"/>
  <c r="X15" i="6"/>
  <c r="Y15" i="6"/>
  <c r="X16" i="6"/>
  <c r="Y16" i="6"/>
  <c r="X17" i="6"/>
  <c r="Y17" i="6"/>
  <c r="X18" i="6"/>
  <c r="Y18" i="6"/>
  <c r="X19" i="6"/>
  <c r="Y19" i="6"/>
  <c r="X20" i="6"/>
  <c r="Y20" i="6"/>
  <c r="X21" i="6"/>
  <c r="Y21" i="6"/>
  <c r="X22" i="6"/>
  <c r="Y22" i="6"/>
  <c r="X23" i="6"/>
  <c r="Y23" i="6"/>
  <c r="X24" i="6"/>
  <c r="Y24" i="6"/>
  <c r="X25" i="6"/>
  <c r="Y25" i="6"/>
  <c r="X26" i="6"/>
  <c r="Y26" i="6"/>
  <c r="X27" i="6"/>
  <c r="Y27" i="6"/>
  <c r="X28" i="6"/>
  <c r="Y28" i="6"/>
  <c r="X29" i="6"/>
  <c r="Y29" i="6"/>
  <c r="X30" i="6"/>
  <c r="Y30" i="6"/>
  <c r="X31" i="6"/>
  <c r="Y31" i="6"/>
  <c r="X32" i="6"/>
  <c r="Y32" i="6"/>
  <c r="X33" i="6"/>
  <c r="Y33" i="6"/>
  <c r="X34" i="6"/>
  <c r="Y34" i="6"/>
  <c r="X35" i="6"/>
  <c r="Y35" i="6"/>
  <c r="X36" i="6"/>
  <c r="Y36" i="6"/>
  <c r="X37" i="6"/>
  <c r="Y37" i="6"/>
  <c r="X38" i="6"/>
  <c r="Y38" i="6"/>
  <c r="X39" i="6"/>
  <c r="Y39" i="6"/>
  <c r="X40" i="6"/>
  <c r="Y40" i="6"/>
  <c r="X41" i="6"/>
  <c r="Y41" i="6"/>
  <c r="X42" i="6"/>
  <c r="Y42" i="6"/>
  <c r="X43" i="6"/>
  <c r="Y43" i="6"/>
  <c r="X44" i="6"/>
  <c r="Y44" i="6"/>
  <c r="X45" i="6"/>
  <c r="Y45" i="6"/>
  <c r="X46" i="6"/>
  <c r="Y46" i="6"/>
  <c r="X47" i="6"/>
  <c r="Y47" i="6"/>
  <c r="X48" i="6"/>
  <c r="Y48" i="6"/>
  <c r="X49" i="6"/>
  <c r="Y49" i="6"/>
  <c r="X50" i="6"/>
  <c r="Y50" i="6"/>
  <c r="X51" i="6"/>
  <c r="Y51" i="6"/>
  <c r="X52" i="6"/>
  <c r="Y52" i="6"/>
  <c r="X53" i="6"/>
  <c r="Y53" i="6"/>
  <c r="X54" i="6"/>
  <c r="Y54" i="6"/>
  <c r="X55" i="6"/>
  <c r="Y55" i="6"/>
  <c r="X56" i="6"/>
  <c r="Y56" i="6"/>
  <c r="X57" i="6"/>
  <c r="Y57" i="6"/>
  <c r="X58" i="6"/>
  <c r="Y58" i="6"/>
  <c r="X59" i="6"/>
  <c r="Y59" i="6"/>
  <c r="X60" i="6"/>
  <c r="Y60" i="6"/>
  <c r="X61" i="6"/>
  <c r="Y61" i="6"/>
  <c r="X62" i="6"/>
  <c r="Y62" i="6"/>
  <c r="X63" i="6"/>
  <c r="Y63" i="6"/>
  <c r="X64" i="6"/>
  <c r="Y64" i="6"/>
  <c r="X65" i="6"/>
  <c r="Y65" i="6"/>
  <c r="X66" i="6"/>
  <c r="Y66" i="6"/>
  <c r="X67" i="6"/>
  <c r="Y67" i="6"/>
  <c r="X68" i="6"/>
  <c r="Y68" i="6"/>
  <c r="X69" i="6"/>
  <c r="Y69" i="6"/>
  <c r="X70" i="6"/>
  <c r="Y70" i="6"/>
  <c r="X71" i="6"/>
  <c r="Y71" i="6"/>
  <c r="X72" i="6"/>
  <c r="Y72" i="6"/>
  <c r="X73" i="6"/>
  <c r="Y73" i="6"/>
  <c r="X74" i="6"/>
  <c r="Y74" i="6"/>
  <c r="X75" i="6"/>
  <c r="Y75" i="6"/>
  <c r="X76" i="6"/>
  <c r="Y76" i="6"/>
  <c r="X77" i="6"/>
  <c r="Y77" i="6"/>
  <c r="X78" i="6"/>
  <c r="Y78" i="6"/>
  <c r="X79" i="6"/>
  <c r="Y79" i="6"/>
  <c r="X80" i="6"/>
  <c r="Y80" i="6"/>
  <c r="X81" i="6"/>
  <c r="Y81" i="6"/>
  <c r="X82" i="6"/>
  <c r="Y82" i="6"/>
  <c r="X83" i="6"/>
  <c r="Y83" i="6"/>
  <c r="X84" i="6"/>
  <c r="Y84" i="6"/>
  <c r="X85" i="6"/>
  <c r="Y85" i="6"/>
  <c r="X86" i="6"/>
  <c r="Y86" i="6"/>
  <c r="X87" i="6"/>
  <c r="Y87" i="6"/>
  <c r="X88" i="6"/>
  <c r="Y88" i="6"/>
  <c r="X89" i="6"/>
  <c r="Y89" i="6"/>
  <c r="X90" i="6"/>
  <c r="Y90" i="6"/>
  <c r="X91" i="6"/>
  <c r="Y91" i="6"/>
  <c r="X92" i="6"/>
  <c r="Y92" i="6"/>
  <c r="X93" i="6"/>
  <c r="Y93" i="6"/>
  <c r="X94" i="6"/>
  <c r="Y94" i="6"/>
  <c r="X95" i="6"/>
  <c r="Y95" i="6"/>
  <c r="X96" i="6"/>
  <c r="Y96" i="6"/>
  <c r="X97" i="6"/>
  <c r="Y97" i="6"/>
  <c r="X98" i="6"/>
  <c r="Y98" i="6"/>
  <c r="X99" i="6"/>
  <c r="Y99" i="6"/>
  <c r="Y11" i="6"/>
  <c r="X11" i="6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Q17" i="2"/>
  <c r="W86" i="18" s="1"/>
  <c r="Q18" i="2"/>
  <c r="W69" i="18" s="1"/>
  <c r="Q19" i="2"/>
  <c r="W58" i="18" s="1"/>
  <c r="Q20" i="2"/>
  <c r="W44" i="18" s="1"/>
  <c r="Q21" i="2"/>
  <c r="W30" i="18" s="1"/>
  <c r="Q22" i="2"/>
  <c r="W50" i="18" s="1"/>
  <c r="W25" i="18"/>
  <c r="Q24" i="2"/>
  <c r="W45" i="18" s="1"/>
  <c r="Q25" i="2"/>
  <c r="W73" i="18" s="1"/>
  <c r="Q26" i="2"/>
  <c r="W21" i="6" s="1"/>
  <c r="Q27" i="2"/>
  <c r="W13" i="18" s="1"/>
  <c r="Q28" i="2"/>
  <c r="W55" i="18" s="1"/>
  <c r="Q29" i="2"/>
  <c r="W96" i="18" s="1"/>
  <c r="Q30" i="2"/>
  <c r="W67" i="18" s="1"/>
  <c r="Q31" i="2"/>
  <c r="W91" i="18" s="1"/>
  <c r="Q32" i="2"/>
  <c r="W97" i="18" s="1"/>
  <c r="Q33" i="2"/>
  <c r="W21" i="18" s="1"/>
  <c r="W84" i="18"/>
  <c r="Q35" i="2"/>
  <c r="W63" i="18" s="1"/>
  <c r="Q36" i="2"/>
  <c r="W56" i="18" s="1"/>
  <c r="Q37" i="2"/>
  <c r="W26" i="18" s="1"/>
  <c r="W70" i="18"/>
  <c r="Q39" i="2"/>
  <c r="W74" i="18" s="1"/>
  <c r="Q40" i="2"/>
  <c r="W46" i="18" s="1"/>
  <c r="Q41" i="2"/>
  <c r="W17" i="18" s="1"/>
  <c r="Q42" i="2"/>
  <c r="W28" i="18" s="1"/>
  <c r="Q43" i="2"/>
  <c r="W77" i="18" s="1"/>
  <c r="Q44" i="2"/>
  <c r="W78" i="18" s="1"/>
  <c r="Q45" i="2"/>
  <c r="W68" i="18" s="1"/>
  <c r="Q46" i="2"/>
  <c r="W18" i="18" s="1"/>
  <c r="Q47" i="2"/>
  <c r="W31" i="18" s="1"/>
  <c r="Q48" i="2"/>
  <c r="W40" i="18" s="1"/>
  <c r="Q49" i="2"/>
  <c r="W98" i="18" s="1"/>
  <c r="Q50" i="2"/>
  <c r="W89" i="18" s="1"/>
  <c r="Q51" i="2"/>
  <c r="W12" i="18" s="1"/>
  <c r="Q52" i="2"/>
  <c r="W14" i="18" s="1"/>
  <c r="Q53" i="2"/>
  <c r="W64" i="18" s="1"/>
  <c r="Q54" i="2"/>
  <c r="W32" i="18" s="1"/>
  <c r="Q55" i="2"/>
  <c r="W29" i="18" s="1"/>
  <c r="Q56" i="2"/>
  <c r="W60" i="18" s="1"/>
  <c r="Q57" i="2"/>
  <c r="W75" i="18" s="1"/>
  <c r="Q58" i="2"/>
  <c r="W33" i="18" s="1"/>
  <c r="Q59" i="2"/>
  <c r="W48" i="18" s="1"/>
  <c r="Q60" i="2"/>
  <c r="W61" i="18" s="1"/>
  <c r="Q61" i="2"/>
  <c r="Q62" i="2"/>
  <c r="W80" i="18" s="1"/>
  <c r="Q63" i="2"/>
  <c r="W34" i="18" s="1"/>
  <c r="Q64" i="2"/>
  <c r="W35" i="18" s="1"/>
  <c r="Q65" i="2"/>
  <c r="W83" i="18" s="1"/>
  <c r="Q66" i="2"/>
  <c r="W27" i="18" s="1"/>
  <c r="Q67" i="2"/>
  <c r="Q68" i="2"/>
  <c r="W72" i="18" s="1"/>
  <c r="Q69" i="2"/>
  <c r="W94" i="18" s="1"/>
  <c r="Q70" i="2"/>
  <c r="W57" i="18" s="1"/>
  <c r="Q71" i="2"/>
  <c r="W49" i="18" s="1"/>
  <c r="Q72" i="2"/>
  <c r="W36" i="18" s="1"/>
  <c r="Q73" i="2"/>
  <c r="Q74" i="2"/>
  <c r="W47" i="18" s="1"/>
  <c r="Q75" i="2"/>
  <c r="W52" i="18" s="1"/>
  <c r="Q76" i="2"/>
  <c r="W95" i="18" s="1"/>
  <c r="Q77" i="2"/>
  <c r="W87" i="18" s="1"/>
  <c r="Q78" i="2"/>
  <c r="W16" i="18" s="1"/>
  <c r="Q79" i="2"/>
  <c r="Q80" i="2"/>
  <c r="W88" i="18" s="1"/>
  <c r="Q81" i="2"/>
  <c r="W76" i="18" s="1"/>
  <c r="Q82" i="2"/>
  <c r="W71" i="18" s="1"/>
  <c r="Q83" i="2"/>
  <c r="W39" i="18" s="1"/>
  <c r="Q84" i="2"/>
  <c r="W41" i="18" s="1"/>
  <c r="Q85" i="2"/>
  <c r="Q86" i="2"/>
  <c r="W59" i="18" s="1"/>
  <c r="Q87" i="2"/>
  <c r="W42" i="18" s="1"/>
  <c r="Q88" i="2"/>
  <c r="W43" i="18" s="1"/>
  <c r="Q89" i="2"/>
  <c r="W62" i="18" s="1"/>
  <c r="Q90" i="2"/>
  <c r="W92" i="18" s="1"/>
  <c r="Q91" i="2"/>
  <c r="Q92" i="2"/>
  <c r="W87" i="6" s="1"/>
  <c r="Q93" i="2"/>
  <c r="W23" i="18" s="1"/>
  <c r="Q94" i="2"/>
  <c r="W38" i="18" s="1"/>
  <c r="Q95" i="2"/>
  <c r="W65" i="18" s="1"/>
  <c r="Q96" i="2"/>
  <c r="W81" i="18" s="1"/>
  <c r="Q97" i="2"/>
  <c r="Q98" i="2"/>
  <c r="W99" i="18" s="1"/>
  <c r="Q99" i="2"/>
  <c r="W19" i="18" s="1"/>
  <c r="Q100" i="2"/>
  <c r="W54" i="18" s="1"/>
  <c r="Q101" i="2"/>
  <c r="W22" i="18" s="1"/>
  <c r="Q102" i="2"/>
  <c r="W85" i="18" s="1"/>
  <c r="Q103" i="2"/>
  <c r="W51" i="18" s="1"/>
  <c r="Q104" i="2"/>
  <c r="W99" i="6" s="1"/>
  <c r="Q16" i="2"/>
  <c r="W82" i="18" s="1"/>
  <c r="O64" i="6"/>
  <c r="O26" i="6"/>
  <c r="O62" i="6"/>
  <c r="O85" i="6"/>
  <c r="O74" i="6"/>
  <c r="O45" i="6"/>
  <c r="O72" i="6"/>
  <c r="O75" i="6"/>
  <c r="O12" i="6"/>
  <c r="O29" i="6"/>
  <c r="O97" i="6"/>
  <c r="O60" i="6"/>
  <c r="O11" i="6"/>
  <c r="P11" i="6"/>
  <c r="O39" i="6"/>
  <c r="O38" i="6"/>
  <c r="O57" i="6"/>
  <c r="O91" i="6"/>
  <c r="O56" i="6"/>
  <c r="O20" i="6"/>
  <c r="O76" i="6"/>
  <c r="O34" i="6"/>
  <c r="O52" i="6"/>
  <c r="O63" i="6"/>
  <c r="O90" i="6"/>
  <c r="O13" i="6"/>
  <c r="O33" i="6"/>
  <c r="O77" i="6"/>
  <c r="O30" i="6"/>
  <c r="O40" i="6"/>
  <c r="O25" i="6"/>
  <c r="O80" i="6"/>
  <c r="O84" i="6"/>
  <c r="O48" i="6"/>
  <c r="O81" i="6"/>
  <c r="O55" i="6"/>
  <c r="O51" i="6"/>
  <c r="O14" i="6"/>
  <c r="O65" i="6"/>
  <c r="O23" i="6"/>
  <c r="O31" i="6"/>
  <c r="O70" i="6"/>
  <c r="O95" i="6"/>
  <c r="O86" i="6"/>
  <c r="O17" i="6"/>
  <c r="O98" i="6"/>
  <c r="O66" i="6"/>
  <c r="O79" i="6"/>
  <c r="O54" i="6"/>
  <c r="O69" i="6"/>
  <c r="O19" i="6"/>
  <c r="O43" i="6"/>
  <c r="O78" i="6"/>
  <c r="O15" i="6"/>
  <c r="O35" i="6"/>
  <c r="O83" i="6"/>
  <c r="O82" i="6"/>
  <c r="O16" i="6"/>
  <c r="O59" i="6"/>
  <c r="O68" i="6"/>
  <c r="O53" i="6"/>
  <c r="O50" i="6"/>
  <c r="O42" i="6"/>
  <c r="O58" i="6"/>
  <c r="O67" i="6"/>
  <c r="O18" i="6"/>
  <c r="O37" i="6"/>
  <c r="O89" i="6"/>
  <c r="O61" i="6"/>
  <c r="O49" i="6"/>
  <c r="O41" i="6"/>
  <c r="O32" i="6"/>
  <c r="O88" i="6"/>
  <c r="O92" i="6"/>
  <c r="O73" i="6"/>
  <c r="O28" i="6"/>
  <c r="O96" i="6"/>
  <c r="O99" i="6"/>
  <c r="O94" i="6"/>
  <c r="O36" i="6"/>
  <c r="O87" i="6"/>
  <c r="O47" i="6"/>
  <c r="O22" i="6"/>
  <c r="O46" i="6"/>
  <c r="O21" i="6"/>
  <c r="O24" i="6"/>
  <c r="O27" i="6"/>
  <c r="O44" i="6"/>
  <c r="O93" i="6"/>
  <c r="O71" i="6"/>
  <c r="AQ71" i="6"/>
  <c r="AO71" i="6"/>
  <c r="AU71" i="6"/>
  <c r="AQ64" i="6"/>
  <c r="AO64" i="6"/>
  <c r="AU64" i="6"/>
  <c r="AQ26" i="6"/>
  <c r="AO26" i="6"/>
  <c r="AU26" i="6"/>
  <c r="AQ62" i="6"/>
  <c r="AO62" i="6"/>
  <c r="AU62" i="6"/>
  <c r="AQ85" i="6"/>
  <c r="AO85" i="6"/>
  <c r="AU85" i="6"/>
  <c r="AQ74" i="6"/>
  <c r="AO74" i="6"/>
  <c r="AU74" i="6"/>
  <c r="AQ45" i="6"/>
  <c r="AO45" i="6"/>
  <c r="AU45" i="6"/>
  <c r="AQ72" i="6"/>
  <c r="AO72" i="6"/>
  <c r="AU72" i="6"/>
  <c r="AQ75" i="6"/>
  <c r="AO75" i="6"/>
  <c r="AU75" i="6"/>
  <c r="AQ12" i="6"/>
  <c r="AO12" i="6"/>
  <c r="AU12" i="6"/>
  <c r="AQ29" i="6"/>
  <c r="AO29" i="6"/>
  <c r="AU29" i="6"/>
  <c r="AQ97" i="6"/>
  <c r="AO97" i="6"/>
  <c r="AU97" i="6"/>
  <c r="AQ60" i="6"/>
  <c r="AO60" i="6"/>
  <c r="AU60" i="6"/>
  <c r="AQ11" i="6"/>
  <c r="AO11" i="6"/>
  <c r="AU11" i="6"/>
  <c r="AQ39" i="6"/>
  <c r="AO39" i="6"/>
  <c r="AU39" i="6"/>
  <c r="AQ38" i="6"/>
  <c r="AO38" i="6"/>
  <c r="AU38" i="6"/>
  <c r="AQ57" i="6"/>
  <c r="AO57" i="6"/>
  <c r="AU57" i="6"/>
  <c r="AQ91" i="6"/>
  <c r="AO91" i="6"/>
  <c r="AU91" i="6"/>
  <c r="AQ56" i="6"/>
  <c r="AO56" i="6"/>
  <c r="AU56" i="6"/>
  <c r="AQ20" i="6"/>
  <c r="AO20" i="6"/>
  <c r="AU20" i="6"/>
  <c r="AQ76" i="6"/>
  <c r="AO76" i="6"/>
  <c r="AU76" i="6"/>
  <c r="AQ34" i="6"/>
  <c r="AO34" i="6"/>
  <c r="AU34" i="6"/>
  <c r="AQ52" i="6"/>
  <c r="AO52" i="6"/>
  <c r="AU52" i="6"/>
  <c r="AQ63" i="6"/>
  <c r="AO63" i="6"/>
  <c r="AU63" i="6"/>
  <c r="AQ90" i="6"/>
  <c r="AO90" i="6"/>
  <c r="AU90" i="6"/>
  <c r="AQ13" i="6"/>
  <c r="AO13" i="6"/>
  <c r="AU13" i="6"/>
  <c r="AQ33" i="6"/>
  <c r="AO33" i="6"/>
  <c r="AU33" i="6"/>
  <c r="AQ77" i="6"/>
  <c r="AO77" i="6"/>
  <c r="AU77" i="6"/>
  <c r="AQ30" i="6"/>
  <c r="AO30" i="6"/>
  <c r="AU30" i="6"/>
  <c r="AQ40" i="6"/>
  <c r="AO40" i="6"/>
  <c r="AU40" i="6"/>
  <c r="AQ25" i="6"/>
  <c r="AO25" i="6"/>
  <c r="AU25" i="6"/>
  <c r="AQ80" i="6"/>
  <c r="AO80" i="6"/>
  <c r="AU80" i="6"/>
  <c r="AQ84" i="6"/>
  <c r="AO84" i="6"/>
  <c r="AU84" i="6"/>
  <c r="AQ48" i="6"/>
  <c r="AO48" i="6"/>
  <c r="AU48" i="6"/>
  <c r="AQ81" i="6"/>
  <c r="AO81" i="6"/>
  <c r="AU81" i="6"/>
  <c r="AQ55" i="6"/>
  <c r="AO55" i="6"/>
  <c r="AU55" i="6"/>
  <c r="AQ51" i="6"/>
  <c r="AO51" i="6"/>
  <c r="AU51" i="6"/>
  <c r="AQ14" i="6"/>
  <c r="AO14" i="6"/>
  <c r="AU14" i="6"/>
  <c r="AQ65" i="6"/>
  <c r="AO65" i="6"/>
  <c r="AU65" i="6"/>
  <c r="AQ23" i="6"/>
  <c r="AO23" i="6"/>
  <c r="AU23" i="6"/>
  <c r="AQ31" i="6"/>
  <c r="AO31" i="6"/>
  <c r="AU31" i="6"/>
  <c r="AQ70" i="6"/>
  <c r="AO70" i="6"/>
  <c r="AU70" i="6"/>
  <c r="AQ95" i="6"/>
  <c r="AO95" i="6"/>
  <c r="AU95" i="6"/>
  <c r="AQ86" i="6"/>
  <c r="AO86" i="6"/>
  <c r="AU86" i="6"/>
  <c r="AQ17" i="6"/>
  <c r="AO17" i="6"/>
  <c r="AU17" i="6"/>
  <c r="AQ98" i="6"/>
  <c r="AO98" i="6"/>
  <c r="AU98" i="6"/>
  <c r="AQ66" i="6"/>
  <c r="AO66" i="6"/>
  <c r="AU66" i="6"/>
  <c r="AQ79" i="6"/>
  <c r="AO79" i="6"/>
  <c r="AU79" i="6"/>
  <c r="AQ54" i="6"/>
  <c r="AO54" i="6"/>
  <c r="AU54" i="6"/>
  <c r="AQ69" i="6"/>
  <c r="AO69" i="6"/>
  <c r="AU69" i="6"/>
  <c r="AQ19" i="6"/>
  <c r="AO19" i="6"/>
  <c r="AU19" i="6"/>
  <c r="AQ43" i="6"/>
  <c r="AO43" i="6"/>
  <c r="AU43" i="6"/>
  <c r="AQ78" i="6"/>
  <c r="AO78" i="6"/>
  <c r="AU78" i="6"/>
  <c r="AQ15" i="6"/>
  <c r="AO15" i="6"/>
  <c r="AU15" i="6"/>
  <c r="AQ35" i="6"/>
  <c r="AO35" i="6"/>
  <c r="AU35" i="6"/>
  <c r="AQ83" i="6"/>
  <c r="AO83" i="6"/>
  <c r="AU83" i="6"/>
  <c r="AQ82" i="6"/>
  <c r="AO82" i="6"/>
  <c r="AU82" i="6"/>
  <c r="AQ16" i="6"/>
  <c r="AO16" i="6"/>
  <c r="AU16" i="6"/>
  <c r="AQ59" i="6"/>
  <c r="AO59" i="6"/>
  <c r="AU59" i="6"/>
  <c r="AQ68" i="6"/>
  <c r="AO68" i="6"/>
  <c r="AU68" i="6"/>
  <c r="AQ53" i="6"/>
  <c r="AO53" i="6"/>
  <c r="AU53" i="6"/>
  <c r="AQ50" i="6"/>
  <c r="AO50" i="6"/>
  <c r="AU50" i="6"/>
  <c r="AQ42" i="6"/>
  <c r="AO42" i="6"/>
  <c r="AU42" i="6"/>
  <c r="AQ58" i="6"/>
  <c r="AO58" i="6"/>
  <c r="AU58" i="6"/>
  <c r="AQ67" i="6"/>
  <c r="AO67" i="6"/>
  <c r="AU67" i="6"/>
  <c r="AQ18" i="6"/>
  <c r="AO18" i="6"/>
  <c r="AU18" i="6"/>
  <c r="AQ37" i="6"/>
  <c r="AO37" i="6"/>
  <c r="AU37" i="6"/>
  <c r="AQ89" i="6"/>
  <c r="AO89" i="6"/>
  <c r="AU89" i="6"/>
  <c r="AQ61" i="6"/>
  <c r="AO61" i="6"/>
  <c r="AU61" i="6"/>
  <c r="AQ49" i="6"/>
  <c r="AO49" i="6"/>
  <c r="AU49" i="6"/>
  <c r="AQ41" i="6"/>
  <c r="AO41" i="6"/>
  <c r="AU41" i="6"/>
  <c r="AQ32" i="6"/>
  <c r="AO32" i="6"/>
  <c r="AU32" i="6"/>
  <c r="AQ88" i="6"/>
  <c r="AO88" i="6"/>
  <c r="AU88" i="6"/>
  <c r="AQ92" i="6"/>
  <c r="AO92" i="6"/>
  <c r="AU92" i="6"/>
  <c r="AQ73" i="6"/>
  <c r="AO73" i="6"/>
  <c r="AU73" i="6"/>
  <c r="AQ28" i="6"/>
  <c r="AO28" i="6"/>
  <c r="AU28" i="6"/>
  <c r="AQ96" i="6"/>
  <c r="AO96" i="6"/>
  <c r="AU96" i="6"/>
  <c r="AQ99" i="6"/>
  <c r="AO99" i="6"/>
  <c r="AU99" i="6"/>
  <c r="AQ94" i="6"/>
  <c r="AO94" i="6"/>
  <c r="AU94" i="6"/>
  <c r="AQ36" i="6"/>
  <c r="AO36" i="6"/>
  <c r="AU36" i="6"/>
  <c r="AQ87" i="6"/>
  <c r="AO87" i="6"/>
  <c r="AU87" i="6"/>
  <c r="AQ47" i="6"/>
  <c r="AO47" i="6"/>
  <c r="AU47" i="6"/>
  <c r="AQ22" i="6"/>
  <c r="AO22" i="6"/>
  <c r="AU22" i="6"/>
  <c r="AQ46" i="6"/>
  <c r="AO46" i="6"/>
  <c r="AU46" i="6"/>
  <c r="AQ21" i="6"/>
  <c r="AO21" i="6"/>
  <c r="AU21" i="6"/>
  <c r="AQ24" i="6"/>
  <c r="AO24" i="6"/>
  <c r="AU24" i="6"/>
  <c r="AQ27" i="6"/>
  <c r="AO27" i="6"/>
  <c r="AU27" i="6"/>
  <c r="AQ44" i="6"/>
  <c r="AO44" i="6"/>
  <c r="AU44" i="6"/>
  <c r="AQ93" i="6"/>
  <c r="AO93" i="6"/>
  <c r="AU93" i="6"/>
  <c r="BR23" i="6"/>
  <c r="BS23" i="6"/>
  <c r="BR22" i="6"/>
  <c r="BS22" i="6"/>
  <c r="BR21" i="6"/>
  <c r="BS21" i="6"/>
  <c r="BR24" i="6"/>
  <c r="BS24" i="6"/>
  <c r="BR27" i="6"/>
  <c r="BS27" i="6"/>
  <c r="BR44" i="6"/>
  <c r="BS44" i="6"/>
  <c r="BR93" i="6"/>
  <c r="BS93" i="6"/>
  <c r="BQ23" i="6"/>
  <c r="BQ22" i="6"/>
  <c r="BQ21" i="6"/>
  <c r="BQ24" i="6"/>
  <c r="BQ27" i="6"/>
  <c r="BQ44" i="6"/>
  <c r="BQ93" i="6"/>
  <c r="BU24" i="6"/>
  <c r="BV24" i="6"/>
  <c r="BW24" i="6"/>
  <c r="BX24" i="6"/>
  <c r="BU27" i="6"/>
  <c r="BV27" i="6"/>
  <c r="BW27" i="6"/>
  <c r="BX27" i="6"/>
  <c r="BU44" i="6"/>
  <c r="BV44" i="6"/>
  <c r="BW44" i="6"/>
  <c r="BX44" i="6"/>
  <c r="BU93" i="6"/>
  <c r="BV93" i="6"/>
  <c r="BW93" i="6"/>
  <c r="BX93" i="6"/>
  <c r="BN21" i="6"/>
  <c r="BO21" i="6"/>
  <c r="BP21" i="6"/>
  <c r="BN22" i="6"/>
  <c r="BO22" i="6"/>
  <c r="BP22" i="6"/>
  <c r="BN23" i="6"/>
  <c r="BO23" i="6"/>
  <c r="BP23" i="6"/>
  <c r="BN24" i="6"/>
  <c r="BO24" i="6"/>
  <c r="BP24" i="6"/>
  <c r="BN27" i="6"/>
  <c r="BO27" i="6"/>
  <c r="BP27" i="6"/>
  <c r="BN44" i="6"/>
  <c r="BO44" i="6"/>
  <c r="BP44" i="6"/>
  <c r="BN93" i="6"/>
  <c r="BO93" i="6"/>
  <c r="BP93" i="6"/>
  <c r="J14" i="16"/>
  <c r="J18" i="16" s="1"/>
  <c r="G13" i="6" s="1"/>
  <c r="I14" i="16"/>
  <c r="H14" i="16"/>
  <c r="H16" i="16" s="1"/>
  <c r="E11" i="6" s="1"/>
  <c r="G14" i="16"/>
  <c r="AS12" i="6"/>
  <c r="AS13" i="6"/>
  <c r="AS14" i="6"/>
  <c r="AS15" i="6"/>
  <c r="AS16" i="6"/>
  <c r="AS17" i="6"/>
  <c r="AS18" i="6"/>
  <c r="AS19" i="6"/>
  <c r="AS20" i="6"/>
  <c r="AS21" i="6"/>
  <c r="AS22" i="6"/>
  <c r="AS23" i="6"/>
  <c r="AS24" i="6"/>
  <c r="AS25" i="6"/>
  <c r="AS26" i="6"/>
  <c r="AS27" i="6"/>
  <c r="AS28" i="6"/>
  <c r="AS29" i="6"/>
  <c r="AS30" i="6"/>
  <c r="AS31" i="6"/>
  <c r="AS32" i="6"/>
  <c r="AS33" i="6"/>
  <c r="AS34" i="6"/>
  <c r="AS35" i="6"/>
  <c r="AS36" i="6"/>
  <c r="AS37" i="6"/>
  <c r="AS38" i="6"/>
  <c r="AS39" i="6"/>
  <c r="AS40" i="6"/>
  <c r="AS41" i="6"/>
  <c r="AS42" i="6"/>
  <c r="AS43" i="6"/>
  <c r="AS44" i="6"/>
  <c r="AS45" i="6"/>
  <c r="AS46" i="6"/>
  <c r="AS47" i="6"/>
  <c r="AS48" i="6"/>
  <c r="AS49" i="6"/>
  <c r="AS50" i="6"/>
  <c r="AS51" i="6"/>
  <c r="AS52" i="6"/>
  <c r="AS53" i="6"/>
  <c r="AS54" i="6"/>
  <c r="AS55" i="6"/>
  <c r="AS56" i="6"/>
  <c r="AS57" i="6"/>
  <c r="AS58" i="6"/>
  <c r="AS59" i="6"/>
  <c r="AS60" i="6"/>
  <c r="AS61" i="6"/>
  <c r="AS62" i="6"/>
  <c r="AS63" i="6"/>
  <c r="AS64" i="6"/>
  <c r="AS65" i="6"/>
  <c r="AS66" i="6"/>
  <c r="AS67" i="6"/>
  <c r="AS68" i="6"/>
  <c r="AS69" i="6"/>
  <c r="AS70" i="6"/>
  <c r="AS71" i="6"/>
  <c r="AS72" i="6"/>
  <c r="AS73" i="6"/>
  <c r="AS74" i="6"/>
  <c r="AS75" i="6"/>
  <c r="AS76" i="6"/>
  <c r="AS77" i="6"/>
  <c r="AS78" i="6"/>
  <c r="AS79" i="6"/>
  <c r="AS80" i="6"/>
  <c r="AS81" i="6"/>
  <c r="AT81" i="6" s="1"/>
  <c r="AS82" i="6"/>
  <c r="AS83" i="6"/>
  <c r="AS84" i="6"/>
  <c r="AS85" i="6"/>
  <c r="AS86" i="6"/>
  <c r="AS87" i="6"/>
  <c r="AS88" i="6"/>
  <c r="AS89" i="6"/>
  <c r="AS90" i="6"/>
  <c r="AS91" i="6"/>
  <c r="AS92" i="6"/>
  <c r="AS93" i="6"/>
  <c r="AT93" i="6" s="1"/>
  <c r="AS94" i="6"/>
  <c r="AS95" i="6"/>
  <c r="AS96" i="6"/>
  <c r="AS97" i="6"/>
  <c r="AS98" i="6"/>
  <c r="AS99" i="6"/>
  <c r="AS11" i="6"/>
  <c r="L15" i="5"/>
  <c r="I16" i="10"/>
  <c r="Q82" i="18" l="1"/>
  <c r="AT94" i="6"/>
  <c r="AT82" i="6"/>
  <c r="AT70" i="6"/>
  <c r="AT58" i="6"/>
  <c r="AT46" i="6"/>
  <c r="AT34" i="6"/>
  <c r="AT22" i="6"/>
  <c r="AT69" i="6"/>
  <c r="AT57" i="6"/>
  <c r="AT45" i="6"/>
  <c r="AT33" i="6"/>
  <c r="AT21" i="6"/>
  <c r="AT90" i="6"/>
  <c r="AT42" i="6"/>
  <c r="AT78" i="6"/>
  <c r="AT66" i="6"/>
  <c r="AT30" i="6"/>
  <c r="AT54" i="6"/>
  <c r="AT18" i="6"/>
  <c r="J80" i="16"/>
  <c r="G75" i="6" s="1"/>
  <c r="AV44" i="6"/>
  <c r="AV46" i="6"/>
  <c r="AV36" i="6"/>
  <c r="AV28" i="6"/>
  <c r="AV32" i="6"/>
  <c r="AV89" i="6"/>
  <c r="AV58" i="6"/>
  <c r="AV68" i="6"/>
  <c r="AV83" i="6"/>
  <c r="AV43" i="6"/>
  <c r="AV79" i="6"/>
  <c r="AV86" i="6"/>
  <c r="AV23" i="6"/>
  <c r="AV55" i="6"/>
  <c r="AV80" i="6"/>
  <c r="AV77" i="6"/>
  <c r="AV63" i="6"/>
  <c r="AV20" i="6"/>
  <c r="AV38" i="6"/>
  <c r="AV97" i="6"/>
  <c r="AV72" i="6"/>
  <c r="AV62" i="6"/>
  <c r="J71" i="16"/>
  <c r="G66" i="6" s="1"/>
  <c r="AR36" i="6"/>
  <c r="AR58" i="6"/>
  <c r="AR79" i="6"/>
  <c r="AR86" i="6"/>
  <c r="AR23" i="6"/>
  <c r="AR55" i="6"/>
  <c r="AR80" i="6"/>
  <c r="AR77" i="6"/>
  <c r="AR63" i="6"/>
  <c r="AR20" i="6"/>
  <c r="AR38" i="6"/>
  <c r="AR97" i="6"/>
  <c r="AR72" i="6"/>
  <c r="AR62" i="6"/>
  <c r="AR46" i="6"/>
  <c r="AR32" i="6"/>
  <c r="AR43" i="6"/>
  <c r="AV27" i="6"/>
  <c r="AV22" i="6"/>
  <c r="AV94" i="6"/>
  <c r="AV73" i="6"/>
  <c r="AV41" i="6"/>
  <c r="AV37" i="6"/>
  <c r="AV42" i="6"/>
  <c r="AV59" i="6"/>
  <c r="AV35" i="6"/>
  <c r="AV19" i="6"/>
  <c r="AV66" i="6"/>
  <c r="AV95" i="6"/>
  <c r="AV65" i="6"/>
  <c r="AV81" i="6"/>
  <c r="AV25" i="6"/>
  <c r="AV33" i="6"/>
  <c r="AV52" i="6"/>
  <c r="AV56" i="6"/>
  <c r="AV39" i="6"/>
  <c r="AV29" i="6"/>
  <c r="AV45" i="6"/>
  <c r="AV26" i="6"/>
  <c r="AR68" i="6"/>
  <c r="AR44" i="6"/>
  <c r="AR89" i="6"/>
  <c r="AR28" i="6"/>
  <c r="AR83" i="6"/>
  <c r="AV24" i="6"/>
  <c r="AV47" i="6"/>
  <c r="AV99" i="6"/>
  <c r="AV92" i="6"/>
  <c r="AV49" i="6"/>
  <c r="AV18" i="6"/>
  <c r="AV50" i="6"/>
  <c r="AV16" i="6"/>
  <c r="AV15" i="6"/>
  <c r="AV69" i="6"/>
  <c r="AV98" i="6"/>
  <c r="AV70" i="6"/>
  <c r="AV14" i="6"/>
  <c r="AV48" i="6"/>
  <c r="AV40" i="6"/>
  <c r="AV13" i="6"/>
  <c r="AV34" i="6"/>
  <c r="AV91" i="6"/>
  <c r="AV11" i="6"/>
  <c r="AV12" i="6"/>
  <c r="AV74" i="6"/>
  <c r="AV64" i="6"/>
  <c r="J89" i="16"/>
  <c r="G84" i="6" s="1"/>
  <c r="AV93" i="6"/>
  <c r="AV21" i="6"/>
  <c r="AV87" i="6"/>
  <c r="AV96" i="6"/>
  <c r="AV88" i="6"/>
  <c r="AV61" i="6"/>
  <c r="AV67" i="6"/>
  <c r="AV53" i="6"/>
  <c r="AV82" i="6"/>
  <c r="AV78" i="6"/>
  <c r="AV54" i="6"/>
  <c r="AV17" i="6"/>
  <c r="AV31" i="6"/>
  <c r="AV51" i="6"/>
  <c r="AV84" i="6"/>
  <c r="AV30" i="6"/>
  <c r="AV90" i="6"/>
  <c r="AV76" i="6"/>
  <c r="AV57" i="6"/>
  <c r="AV60" i="6"/>
  <c r="AV75" i="6"/>
  <c r="AV85" i="6"/>
  <c r="AV71" i="6"/>
  <c r="AV11" i="18"/>
  <c r="AR27" i="6"/>
  <c r="AR22" i="6"/>
  <c r="AR94" i="6"/>
  <c r="AR73" i="6"/>
  <c r="AR41" i="6"/>
  <c r="AR37" i="6"/>
  <c r="AR42" i="6"/>
  <c r="AR59" i="6"/>
  <c r="AR35" i="6"/>
  <c r="AR19" i="6"/>
  <c r="AR66" i="6"/>
  <c r="AR95" i="6"/>
  <c r="AR65" i="6"/>
  <c r="AR81" i="6"/>
  <c r="AR25" i="6"/>
  <c r="AR33" i="6"/>
  <c r="AR52" i="6"/>
  <c r="AR56" i="6"/>
  <c r="AR39" i="6"/>
  <c r="AR29" i="6"/>
  <c r="AR45" i="6"/>
  <c r="AR26" i="6"/>
  <c r="AR24" i="6"/>
  <c r="AR47" i="6"/>
  <c r="AR99" i="6"/>
  <c r="AR92" i="6"/>
  <c r="AR49" i="6"/>
  <c r="AR18" i="6"/>
  <c r="AR50" i="6"/>
  <c r="AR16" i="6"/>
  <c r="AR15" i="6"/>
  <c r="AR69" i="6"/>
  <c r="AR98" i="6"/>
  <c r="AR70" i="6"/>
  <c r="AR14" i="6"/>
  <c r="AR48" i="6"/>
  <c r="AR40" i="6"/>
  <c r="AR13" i="6"/>
  <c r="AR34" i="6"/>
  <c r="AR91" i="6"/>
  <c r="AR11" i="6"/>
  <c r="AR12" i="6"/>
  <c r="AR74" i="6"/>
  <c r="AR64" i="6"/>
  <c r="AR93" i="6"/>
  <c r="AR21" i="6"/>
  <c r="AR87" i="6"/>
  <c r="AR96" i="6"/>
  <c r="AR88" i="6"/>
  <c r="AR61" i="6"/>
  <c r="AR67" i="6"/>
  <c r="AR53" i="6"/>
  <c r="AR82" i="6"/>
  <c r="AR78" i="6"/>
  <c r="AR54" i="6"/>
  <c r="AR17" i="6"/>
  <c r="AR31" i="6"/>
  <c r="AR51" i="6"/>
  <c r="AR84" i="6"/>
  <c r="AR30" i="6"/>
  <c r="AR90" i="6"/>
  <c r="AR76" i="6"/>
  <c r="AR57" i="6"/>
  <c r="AR60" i="6"/>
  <c r="AR75" i="6"/>
  <c r="AR85" i="6"/>
  <c r="AR71" i="6"/>
  <c r="AT92" i="6"/>
  <c r="AT68" i="6"/>
  <c r="AT56" i="6"/>
  <c r="AT44" i="6"/>
  <c r="AT32" i="6"/>
  <c r="AT20" i="6"/>
  <c r="AP44" i="6"/>
  <c r="AP46" i="6"/>
  <c r="AP36" i="6"/>
  <c r="AP28" i="6"/>
  <c r="AP32" i="6"/>
  <c r="AP89" i="6"/>
  <c r="AP58" i="6"/>
  <c r="AP68" i="6"/>
  <c r="AP83" i="6"/>
  <c r="AP43" i="6"/>
  <c r="AP79" i="6"/>
  <c r="AP86" i="6"/>
  <c r="AP23" i="6"/>
  <c r="AP55" i="6"/>
  <c r="AP80" i="6"/>
  <c r="AP77" i="6"/>
  <c r="AP63" i="6"/>
  <c r="AP20" i="6"/>
  <c r="AP38" i="6"/>
  <c r="AP97" i="6"/>
  <c r="AP72" i="6"/>
  <c r="AP62" i="6"/>
  <c r="Q11" i="6"/>
  <c r="AT80" i="6"/>
  <c r="AT91" i="6"/>
  <c r="AT79" i="6"/>
  <c r="AT67" i="6"/>
  <c r="AT55" i="6"/>
  <c r="AT43" i="6"/>
  <c r="AT31" i="6"/>
  <c r="AT19" i="6"/>
  <c r="J98" i="16"/>
  <c r="G93" i="6" s="1"/>
  <c r="AT89" i="6"/>
  <c r="AT77" i="6"/>
  <c r="AT65" i="6"/>
  <c r="AT53" i="6"/>
  <c r="AT41" i="6"/>
  <c r="AT29" i="6"/>
  <c r="AT17" i="6"/>
  <c r="AP27" i="6"/>
  <c r="AP22" i="6"/>
  <c r="AP94" i="6"/>
  <c r="AP73" i="6"/>
  <c r="AP41" i="6"/>
  <c r="AP37" i="6"/>
  <c r="AP42" i="6"/>
  <c r="AP59" i="6"/>
  <c r="AP35" i="6"/>
  <c r="AP19" i="6"/>
  <c r="AP66" i="6"/>
  <c r="AP95" i="6"/>
  <c r="AP65" i="6"/>
  <c r="AP81" i="6"/>
  <c r="AP25" i="6"/>
  <c r="AP33" i="6"/>
  <c r="AP52" i="6"/>
  <c r="AP56" i="6"/>
  <c r="AP39" i="6"/>
  <c r="AP29" i="6"/>
  <c r="AP45" i="6"/>
  <c r="AP26" i="6"/>
  <c r="AT76" i="6"/>
  <c r="AT88" i="6"/>
  <c r="AT16" i="6"/>
  <c r="AT99" i="6"/>
  <c r="AT87" i="6"/>
  <c r="AT75" i="6"/>
  <c r="AT63" i="6"/>
  <c r="AT51" i="6"/>
  <c r="AT39" i="6"/>
  <c r="AT27" i="6"/>
  <c r="AT15" i="6"/>
  <c r="J62" i="16"/>
  <c r="G57" i="6" s="1"/>
  <c r="AT64" i="6"/>
  <c r="AT86" i="6"/>
  <c r="AT74" i="6"/>
  <c r="AT62" i="6"/>
  <c r="AT50" i="6"/>
  <c r="AT38" i="6"/>
  <c r="AT26" i="6"/>
  <c r="AT14" i="6"/>
  <c r="J53" i="16"/>
  <c r="G48" i="6" s="1"/>
  <c r="AP24" i="6"/>
  <c r="AP47" i="6"/>
  <c r="AP99" i="6"/>
  <c r="AP92" i="6"/>
  <c r="AP49" i="6"/>
  <c r="AP18" i="6"/>
  <c r="AP50" i="6"/>
  <c r="AP16" i="6"/>
  <c r="AP15" i="6"/>
  <c r="AP69" i="6"/>
  <c r="AP98" i="6"/>
  <c r="AP70" i="6"/>
  <c r="AP14" i="6"/>
  <c r="AP48" i="6"/>
  <c r="AP40" i="6"/>
  <c r="AP13" i="6"/>
  <c r="AP34" i="6"/>
  <c r="AP91" i="6"/>
  <c r="AP11" i="6"/>
  <c r="AP12" i="6"/>
  <c r="AP74" i="6"/>
  <c r="AP64" i="6"/>
  <c r="AT40" i="6"/>
  <c r="AT98" i="6"/>
  <c r="AT97" i="6"/>
  <c r="AT85" i="6"/>
  <c r="AT73" i="6"/>
  <c r="AT61" i="6"/>
  <c r="AT49" i="6"/>
  <c r="AT37" i="6"/>
  <c r="AT25" i="6"/>
  <c r="AT13" i="6"/>
  <c r="J44" i="16"/>
  <c r="G39" i="6" s="1"/>
  <c r="AT11" i="6"/>
  <c r="AT28" i="6"/>
  <c r="AT96" i="6"/>
  <c r="AT84" i="6"/>
  <c r="AT72" i="6"/>
  <c r="AT60" i="6"/>
  <c r="AT48" i="6"/>
  <c r="AT36" i="6"/>
  <c r="AT24" i="6"/>
  <c r="AT12" i="6"/>
  <c r="J35" i="16"/>
  <c r="G30" i="6" s="1"/>
  <c r="AV15" i="18"/>
  <c r="AT52" i="6"/>
  <c r="AT95" i="6"/>
  <c r="AT83" i="6"/>
  <c r="AT71" i="6"/>
  <c r="AT59" i="6"/>
  <c r="AT47" i="6"/>
  <c r="AT35" i="6"/>
  <c r="AT23" i="6"/>
  <c r="J26" i="16"/>
  <c r="G21" i="6" s="1"/>
  <c r="AP93" i="6"/>
  <c r="AP21" i="6"/>
  <c r="AP87" i="6"/>
  <c r="AP96" i="6"/>
  <c r="AP88" i="6"/>
  <c r="AP61" i="6"/>
  <c r="AP67" i="6"/>
  <c r="AP53" i="6"/>
  <c r="AP82" i="6"/>
  <c r="AP78" i="6"/>
  <c r="AP54" i="6"/>
  <c r="AP17" i="6"/>
  <c r="AP31" i="6"/>
  <c r="AP51" i="6"/>
  <c r="AP84" i="6"/>
  <c r="AP30" i="6"/>
  <c r="AP90" i="6"/>
  <c r="AP76" i="6"/>
  <c r="AP57" i="6"/>
  <c r="AP60" i="6"/>
  <c r="AP75" i="6"/>
  <c r="AP85" i="6"/>
  <c r="AP71" i="6"/>
  <c r="J103" i="16"/>
  <c r="G98" i="6" s="1"/>
  <c r="H99" i="16"/>
  <c r="E94" i="6" s="1"/>
  <c r="J94" i="16"/>
  <c r="G89" i="6" s="1"/>
  <c r="H90" i="16"/>
  <c r="E92" i="18" s="1"/>
  <c r="J85" i="16"/>
  <c r="G80" i="6" s="1"/>
  <c r="H81" i="16"/>
  <c r="J76" i="16"/>
  <c r="G71" i="6" s="1"/>
  <c r="H72" i="16"/>
  <c r="E67" i="6" s="1"/>
  <c r="J67" i="16"/>
  <c r="H63" i="16"/>
  <c r="E58" i="6" s="1"/>
  <c r="J58" i="16"/>
  <c r="H54" i="16"/>
  <c r="J49" i="16"/>
  <c r="H45" i="16"/>
  <c r="J40" i="16"/>
  <c r="G35" i="6" s="1"/>
  <c r="H36" i="16"/>
  <c r="E31" i="6" s="1"/>
  <c r="J31" i="16"/>
  <c r="H27" i="16"/>
  <c r="J22" i="16"/>
  <c r="H85" i="16"/>
  <c r="H76" i="16"/>
  <c r="H67" i="16"/>
  <c r="E62" i="6" s="1"/>
  <c r="H40" i="16"/>
  <c r="H31" i="16"/>
  <c r="E26" i="6" s="1"/>
  <c r="H103" i="16"/>
  <c r="H94" i="16"/>
  <c r="E89" i="6" s="1"/>
  <c r="H58" i="16"/>
  <c r="E53" i="6" s="1"/>
  <c r="H49" i="16"/>
  <c r="E44" i="6" s="1"/>
  <c r="H22" i="16"/>
  <c r="E17" i="6" s="1"/>
  <c r="H102" i="16"/>
  <c r="E97" i="6" s="1"/>
  <c r="J97" i="16"/>
  <c r="G92" i="6" s="1"/>
  <c r="H93" i="16"/>
  <c r="J88" i="16"/>
  <c r="H84" i="16"/>
  <c r="J79" i="16"/>
  <c r="G74" i="6" s="1"/>
  <c r="H75" i="16"/>
  <c r="E70" i="6" s="1"/>
  <c r="J70" i="16"/>
  <c r="G65" i="6" s="1"/>
  <c r="H66" i="16"/>
  <c r="E61" i="6" s="1"/>
  <c r="J61" i="16"/>
  <c r="H57" i="16"/>
  <c r="E52" i="6" s="1"/>
  <c r="J52" i="16"/>
  <c r="H48" i="16"/>
  <c r="J43" i="16"/>
  <c r="H39" i="16"/>
  <c r="J34" i="16"/>
  <c r="G29" i="6" s="1"/>
  <c r="H30" i="16"/>
  <c r="E25" i="6" s="1"/>
  <c r="J25" i="16"/>
  <c r="G20" i="6" s="1"/>
  <c r="J20" i="16"/>
  <c r="G15" i="6" s="1"/>
  <c r="AP11" i="18"/>
  <c r="W88" i="6"/>
  <c r="J101" i="16"/>
  <c r="H97" i="16"/>
  <c r="E92" i="6" s="1"/>
  <c r="J92" i="16"/>
  <c r="H88" i="16"/>
  <c r="J83" i="16"/>
  <c r="G78" i="6" s="1"/>
  <c r="H79" i="16"/>
  <c r="E74" i="6" s="1"/>
  <c r="J74" i="16"/>
  <c r="H70" i="16"/>
  <c r="E65" i="6" s="1"/>
  <c r="J65" i="16"/>
  <c r="G60" i="6" s="1"/>
  <c r="H61" i="16"/>
  <c r="E56" i="6" s="1"/>
  <c r="J56" i="16"/>
  <c r="H52" i="16"/>
  <c r="E47" i="6" s="1"/>
  <c r="J47" i="16"/>
  <c r="G42" i="6" s="1"/>
  <c r="J38" i="16"/>
  <c r="G33" i="6" s="1"/>
  <c r="H34" i="16"/>
  <c r="J29" i="16"/>
  <c r="G24" i="6" s="1"/>
  <c r="H25" i="16"/>
  <c r="E20" i="6" s="1"/>
  <c r="J19" i="16"/>
  <c r="G14" i="6" s="1"/>
  <c r="J16" i="16"/>
  <c r="J100" i="16"/>
  <c r="G95" i="6" s="1"/>
  <c r="H96" i="16"/>
  <c r="E91" i="6" s="1"/>
  <c r="H87" i="16"/>
  <c r="J82" i="16"/>
  <c r="H78" i="16"/>
  <c r="J73" i="16"/>
  <c r="G68" i="6" s="1"/>
  <c r="H69" i="16"/>
  <c r="E64" i="6" s="1"/>
  <c r="J64" i="16"/>
  <c r="H60" i="16"/>
  <c r="E55" i="6" s="1"/>
  <c r="J55" i="16"/>
  <c r="G50" i="6" s="1"/>
  <c r="H51" i="16"/>
  <c r="E46" i="6" s="1"/>
  <c r="J46" i="16"/>
  <c r="G41" i="6" s="1"/>
  <c r="H42" i="16"/>
  <c r="E37" i="6" s="1"/>
  <c r="J37" i="16"/>
  <c r="G32" i="6" s="1"/>
  <c r="H33" i="16"/>
  <c r="J28" i="16"/>
  <c r="G23" i="6" s="1"/>
  <c r="H24" i="16"/>
  <c r="E19" i="6" s="1"/>
  <c r="H19" i="16"/>
  <c r="E14" i="6" s="1"/>
  <c r="AT13" i="18"/>
  <c r="H43" i="16"/>
  <c r="J91" i="16"/>
  <c r="G86" i="6" s="1"/>
  <c r="J104" i="16"/>
  <c r="G99" i="6" s="1"/>
  <c r="H100" i="16"/>
  <c r="E95" i="6" s="1"/>
  <c r="J95" i="16"/>
  <c r="H91" i="16"/>
  <c r="J86" i="16"/>
  <c r="G81" i="6" s="1"/>
  <c r="H82" i="16"/>
  <c r="E77" i="6" s="1"/>
  <c r="J77" i="16"/>
  <c r="G72" i="6" s="1"/>
  <c r="H73" i="16"/>
  <c r="J68" i="16"/>
  <c r="G63" i="6" s="1"/>
  <c r="H64" i="16"/>
  <c r="E59" i="6" s="1"/>
  <c r="J59" i="16"/>
  <c r="G54" i="6" s="1"/>
  <c r="H55" i="16"/>
  <c r="E50" i="6" s="1"/>
  <c r="J50" i="16"/>
  <c r="G45" i="6" s="1"/>
  <c r="H46" i="16"/>
  <c r="E41" i="6" s="1"/>
  <c r="J41" i="16"/>
  <c r="H37" i="16"/>
  <c r="J32" i="16"/>
  <c r="G27" i="6" s="1"/>
  <c r="H28" i="16"/>
  <c r="E23" i="6" s="1"/>
  <c r="J23" i="16"/>
  <c r="G18" i="6" s="1"/>
  <c r="J17" i="16"/>
  <c r="G12" i="6" s="1"/>
  <c r="AD98" i="6"/>
  <c r="AD78" i="6"/>
  <c r="AD54" i="6"/>
  <c r="AD33" i="6"/>
  <c r="AD80" i="6"/>
  <c r="AD51" i="6"/>
  <c r="AD30" i="6"/>
  <c r="AD90" i="6"/>
  <c r="AD72" i="6"/>
  <c r="AD48" i="6"/>
  <c r="AD18" i="6"/>
  <c r="AD99" i="6"/>
  <c r="AD92" i="6"/>
  <c r="AD74" i="6"/>
  <c r="AD15" i="6"/>
  <c r="AD84" i="6"/>
  <c r="AD66" i="6"/>
  <c r="AD42" i="6"/>
  <c r="AD24" i="6"/>
  <c r="AD12" i="6"/>
  <c r="AD96" i="6"/>
  <c r="AD86" i="6"/>
  <c r="AD68" i="6"/>
  <c r="AD60" i="6"/>
  <c r="AD36" i="6"/>
  <c r="W28" i="6"/>
  <c r="W11" i="6"/>
  <c r="W96" i="6"/>
  <c r="W36" i="6"/>
  <c r="W64" i="6"/>
  <c r="W16" i="6"/>
  <c r="W72" i="6"/>
  <c r="W46" i="6"/>
  <c r="W48" i="6"/>
  <c r="W26" i="6"/>
  <c r="W82" i="6"/>
  <c r="W58" i="6"/>
  <c r="W50" i="6"/>
  <c r="W40" i="6"/>
  <c r="W38" i="6"/>
  <c r="W97" i="6"/>
  <c r="W84" i="6"/>
  <c r="W76" i="6"/>
  <c r="W60" i="6"/>
  <c r="W52" i="6"/>
  <c r="W20" i="6"/>
  <c r="W32" i="6"/>
  <c r="W22" i="6"/>
  <c r="W12" i="6"/>
  <c r="W94" i="6"/>
  <c r="W70" i="6"/>
  <c r="W44" i="6"/>
  <c r="W34" i="6"/>
  <c r="W24" i="6"/>
  <c r="W14" i="6"/>
  <c r="G69" i="18"/>
  <c r="AF10" i="6"/>
  <c r="AF10" i="18"/>
  <c r="I19" i="16"/>
  <c r="F14" i="6" s="1"/>
  <c r="I22" i="16"/>
  <c r="F17" i="6" s="1"/>
  <c r="I25" i="16"/>
  <c r="F20" i="6" s="1"/>
  <c r="I28" i="16"/>
  <c r="F23" i="6" s="1"/>
  <c r="I31" i="16"/>
  <c r="F26" i="6" s="1"/>
  <c r="I34" i="16"/>
  <c r="I37" i="16"/>
  <c r="I40" i="16"/>
  <c r="I43" i="16"/>
  <c r="F38" i="6" s="1"/>
  <c r="I46" i="16"/>
  <c r="F41" i="6" s="1"/>
  <c r="I49" i="16"/>
  <c r="F44" i="6" s="1"/>
  <c r="I52" i="16"/>
  <c r="F47" i="6" s="1"/>
  <c r="I55" i="16"/>
  <c r="F50" i="6" s="1"/>
  <c r="I58" i="16"/>
  <c r="I61" i="16"/>
  <c r="F56" i="6" s="1"/>
  <c r="I64" i="16"/>
  <c r="F59" i="6" s="1"/>
  <c r="I67" i="16"/>
  <c r="F62" i="6" s="1"/>
  <c r="I70" i="16"/>
  <c r="F65" i="6" s="1"/>
  <c r="I73" i="16"/>
  <c r="F68" i="6" s="1"/>
  <c r="I76" i="16"/>
  <c r="I79" i="16"/>
  <c r="F74" i="6" s="1"/>
  <c r="I82" i="16"/>
  <c r="F77" i="6" s="1"/>
  <c r="I85" i="16"/>
  <c r="I88" i="16"/>
  <c r="F83" i="6" s="1"/>
  <c r="I91" i="16"/>
  <c r="I94" i="16"/>
  <c r="F89" i="6" s="1"/>
  <c r="I97" i="16"/>
  <c r="F92" i="6" s="1"/>
  <c r="I100" i="16"/>
  <c r="F95" i="6" s="1"/>
  <c r="I103" i="16"/>
  <c r="I18" i="16"/>
  <c r="F13" i="6" s="1"/>
  <c r="I21" i="16"/>
  <c r="F16" i="6" s="1"/>
  <c r="I24" i="16"/>
  <c r="F19" i="6" s="1"/>
  <c r="I27" i="16"/>
  <c r="F22" i="6" s="1"/>
  <c r="I30" i="16"/>
  <c r="F25" i="6" s="1"/>
  <c r="I33" i="16"/>
  <c r="I36" i="16"/>
  <c r="F31" i="6" s="1"/>
  <c r="I39" i="16"/>
  <c r="F34" i="6" s="1"/>
  <c r="I42" i="16"/>
  <c r="F37" i="6" s="1"/>
  <c r="I45" i="16"/>
  <c r="F40" i="6" s="1"/>
  <c r="I48" i="16"/>
  <c r="F43" i="6" s="1"/>
  <c r="I51" i="16"/>
  <c r="F46" i="6" s="1"/>
  <c r="I54" i="16"/>
  <c r="I57" i="16"/>
  <c r="F52" i="6" s="1"/>
  <c r="I60" i="16"/>
  <c r="I63" i="16"/>
  <c r="F58" i="6" s="1"/>
  <c r="I66" i="16"/>
  <c r="I69" i="16"/>
  <c r="I72" i="16"/>
  <c r="F67" i="6" s="1"/>
  <c r="I75" i="16"/>
  <c r="F70" i="6" s="1"/>
  <c r="I78" i="16"/>
  <c r="F73" i="6" s="1"/>
  <c r="I81" i="16"/>
  <c r="F76" i="6" s="1"/>
  <c r="I84" i="16"/>
  <c r="F79" i="6" s="1"/>
  <c r="I87" i="16"/>
  <c r="F82" i="6" s="1"/>
  <c r="I90" i="16"/>
  <c r="I93" i="16"/>
  <c r="F88" i="6" s="1"/>
  <c r="I96" i="16"/>
  <c r="F91" i="6" s="1"/>
  <c r="I99" i="16"/>
  <c r="F94" i="6" s="1"/>
  <c r="I102" i="16"/>
  <c r="F97" i="6" s="1"/>
  <c r="I17" i="16"/>
  <c r="F12" i="6" s="1"/>
  <c r="I20" i="16"/>
  <c r="F15" i="6" s="1"/>
  <c r="I23" i="16"/>
  <c r="F18" i="6" s="1"/>
  <c r="I26" i="16"/>
  <c r="F21" i="6" s="1"/>
  <c r="I29" i="16"/>
  <c r="F24" i="6" s="1"/>
  <c r="I32" i="16"/>
  <c r="F27" i="6" s="1"/>
  <c r="I35" i="16"/>
  <c r="F30" i="6" s="1"/>
  <c r="I38" i="16"/>
  <c r="F33" i="6" s="1"/>
  <c r="I41" i="16"/>
  <c r="F36" i="6" s="1"/>
  <c r="I44" i="16"/>
  <c r="F39" i="6" s="1"/>
  <c r="I47" i="16"/>
  <c r="F42" i="6" s="1"/>
  <c r="I50" i="16"/>
  <c r="F45" i="6" s="1"/>
  <c r="I53" i="16"/>
  <c r="F48" i="6" s="1"/>
  <c r="I56" i="16"/>
  <c r="F51" i="6" s="1"/>
  <c r="I59" i="16"/>
  <c r="F54" i="6" s="1"/>
  <c r="I62" i="16"/>
  <c r="I65" i="16"/>
  <c r="F60" i="6" s="1"/>
  <c r="I68" i="16"/>
  <c r="F63" i="6" s="1"/>
  <c r="I71" i="16"/>
  <c r="F66" i="6" s="1"/>
  <c r="I74" i="16"/>
  <c r="F69" i="6" s="1"/>
  <c r="I77" i="16"/>
  <c r="F72" i="6" s="1"/>
  <c r="I80" i="16"/>
  <c r="F75" i="6" s="1"/>
  <c r="I83" i="16"/>
  <c r="F78" i="6" s="1"/>
  <c r="I86" i="16"/>
  <c r="I89" i="16"/>
  <c r="F84" i="6" s="1"/>
  <c r="I92" i="16"/>
  <c r="F87" i="6" s="1"/>
  <c r="I95" i="16"/>
  <c r="F90" i="6" s="1"/>
  <c r="I98" i="16"/>
  <c r="F93" i="6" s="1"/>
  <c r="I101" i="16"/>
  <c r="I104" i="16"/>
  <c r="F99" i="6" s="1"/>
  <c r="I16" i="16"/>
  <c r="F11" i="6" s="1"/>
  <c r="E38" i="18"/>
  <c r="G18" i="16"/>
  <c r="D13" i="6" s="1"/>
  <c r="G21" i="16"/>
  <c r="D16" i="6" s="1"/>
  <c r="G24" i="16"/>
  <c r="D19" i="6" s="1"/>
  <c r="G27" i="16"/>
  <c r="D22" i="6" s="1"/>
  <c r="G30" i="16"/>
  <c r="D25" i="6" s="1"/>
  <c r="G33" i="16"/>
  <c r="G36" i="16"/>
  <c r="D31" i="6" s="1"/>
  <c r="G39" i="16"/>
  <c r="D34" i="6" s="1"/>
  <c r="G42" i="16"/>
  <c r="D37" i="6" s="1"/>
  <c r="G45" i="16"/>
  <c r="D40" i="6" s="1"/>
  <c r="G48" i="16"/>
  <c r="D43" i="6" s="1"/>
  <c r="G51" i="16"/>
  <c r="D46" i="6" s="1"/>
  <c r="G54" i="16"/>
  <c r="G57" i="16"/>
  <c r="D52" i="6" s="1"/>
  <c r="G60" i="16"/>
  <c r="G63" i="16"/>
  <c r="D58" i="6" s="1"/>
  <c r="G66" i="16"/>
  <c r="D61" i="6" s="1"/>
  <c r="G69" i="16"/>
  <c r="D64" i="6" s="1"/>
  <c r="G72" i="16"/>
  <c r="D67" i="6" s="1"/>
  <c r="G75" i="16"/>
  <c r="D70" i="6" s="1"/>
  <c r="G78" i="16"/>
  <c r="D73" i="6" s="1"/>
  <c r="G81" i="16"/>
  <c r="D76" i="6" s="1"/>
  <c r="G84" i="16"/>
  <c r="D79" i="6" s="1"/>
  <c r="G87" i="16"/>
  <c r="D82" i="6" s="1"/>
  <c r="G90" i="16"/>
  <c r="G93" i="16"/>
  <c r="D88" i="6" s="1"/>
  <c r="G96" i="16"/>
  <c r="D91" i="6" s="1"/>
  <c r="G99" i="16"/>
  <c r="D94" i="6" s="1"/>
  <c r="G102" i="16"/>
  <c r="G17" i="16"/>
  <c r="D12" i="6" s="1"/>
  <c r="G20" i="16"/>
  <c r="D15" i="6" s="1"/>
  <c r="G23" i="16"/>
  <c r="D18" i="6" s="1"/>
  <c r="G26" i="16"/>
  <c r="D21" i="6" s="1"/>
  <c r="G29" i="16"/>
  <c r="D24" i="6" s="1"/>
  <c r="G32" i="16"/>
  <c r="D27" i="6" s="1"/>
  <c r="G35" i="16"/>
  <c r="D30" i="6" s="1"/>
  <c r="G38" i="16"/>
  <c r="G41" i="16"/>
  <c r="D36" i="6" s="1"/>
  <c r="G44" i="16"/>
  <c r="D39" i="6" s="1"/>
  <c r="G47" i="16"/>
  <c r="D42" i="6" s="1"/>
  <c r="G50" i="16"/>
  <c r="D45" i="6" s="1"/>
  <c r="G53" i="16"/>
  <c r="D48" i="6" s="1"/>
  <c r="G56" i="16"/>
  <c r="D51" i="6" s="1"/>
  <c r="G59" i="16"/>
  <c r="D54" i="6" s="1"/>
  <c r="G62" i="16"/>
  <c r="G65" i="16"/>
  <c r="D60" i="6" s="1"/>
  <c r="G68" i="16"/>
  <c r="D63" i="6" s="1"/>
  <c r="G71" i="16"/>
  <c r="D66" i="6" s="1"/>
  <c r="G74" i="16"/>
  <c r="D69" i="6" s="1"/>
  <c r="G77" i="16"/>
  <c r="D72" i="6" s="1"/>
  <c r="G80" i="16"/>
  <c r="D75" i="6" s="1"/>
  <c r="G83" i="16"/>
  <c r="D78" i="6" s="1"/>
  <c r="G86" i="16"/>
  <c r="D81" i="6" s="1"/>
  <c r="G89" i="16"/>
  <c r="D84" i="6" s="1"/>
  <c r="G92" i="16"/>
  <c r="D87" i="6" s="1"/>
  <c r="G95" i="16"/>
  <c r="D90" i="6" s="1"/>
  <c r="G98" i="16"/>
  <c r="D93" i="6" s="1"/>
  <c r="G101" i="16"/>
  <c r="D96" i="6" s="1"/>
  <c r="G104" i="16"/>
  <c r="D99" i="6" s="1"/>
  <c r="G16" i="16"/>
  <c r="D11" i="6" s="1"/>
  <c r="G19" i="16"/>
  <c r="D14" i="6" s="1"/>
  <c r="G22" i="16"/>
  <c r="D17" i="6" s="1"/>
  <c r="G25" i="16"/>
  <c r="D20" i="6" s="1"/>
  <c r="G28" i="16"/>
  <c r="D23" i="6" s="1"/>
  <c r="G31" i="16"/>
  <c r="D26" i="6" s="1"/>
  <c r="G34" i="16"/>
  <c r="D29" i="6" s="1"/>
  <c r="G37" i="16"/>
  <c r="G40" i="16"/>
  <c r="D35" i="6" s="1"/>
  <c r="G43" i="16"/>
  <c r="D38" i="6" s="1"/>
  <c r="G46" i="16"/>
  <c r="D41" i="6" s="1"/>
  <c r="G49" i="16"/>
  <c r="D44" i="6" s="1"/>
  <c r="G52" i="16"/>
  <c r="D47" i="6" s="1"/>
  <c r="G55" i="16"/>
  <c r="D50" i="6" s="1"/>
  <c r="G58" i="16"/>
  <c r="D53" i="6" s="1"/>
  <c r="G61" i="16"/>
  <c r="D56" i="6" s="1"/>
  <c r="G64" i="16"/>
  <c r="D59" i="6" s="1"/>
  <c r="G67" i="16"/>
  <c r="D62" i="6" s="1"/>
  <c r="G70" i="16"/>
  <c r="D65" i="6" s="1"/>
  <c r="G73" i="16"/>
  <c r="D68" i="6" s="1"/>
  <c r="G76" i="16"/>
  <c r="D71" i="6" s="1"/>
  <c r="G79" i="16"/>
  <c r="D74" i="6" s="1"/>
  <c r="G82" i="16"/>
  <c r="D77" i="6" s="1"/>
  <c r="G85" i="16"/>
  <c r="G88" i="16"/>
  <c r="D83" i="6" s="1"/>
  <c r="G91" i="16"/>
  <c r="D86" i="6" s="1"/>
  <c r="G94" i="16"/>
  <c r="D89" i="6" s="1"/>
  <c r="G97" i="16"/>
  <c r="D92" i="6" s="1"/>
  <c r="G100" i="16"/>
  <c r="D95" i="6" s="1"/>
  <c r="G103" i="16"/>
  <c r="G86" i="18"/>
  <c r="E82" i="18"/>
  <c r="E19" i="18"/>
  <c r="H104" i="16"/>
  <c r="E99" i="6" s="1"/>
  <c r="J102" i="16"/>
  <c r="H101" i="16"/>
  <c r="E96" i="6" s="1"/>
  <c r="J99" i="16"/>
  <c r="G94" i="6" s="1"/>
  <c r="H98" i="16"/>
  <c r="E93" i="6" s="1"/>
  <c r="J96" i="16"/>
  <c r="G91" i="6" s="1"/>
  <c r="H95" i="16"/>
  <c r="E90" i="6" s="1"/>
  <c r="J93" i="16"/>
  <c r="G88" i="6" s="1"/>
  <c r="H92" i="16"/>
  <c r="E87" i="6" s="1"/>
  <c r="J90" i="16"/>
  <c r="H89" i="16"/>
  <c r="E84" i="6" s="1"/>
  <c r="J87" i="16"/>
  <c r="G82" i="6" s="1"/>
  <c r="H86" i="16"/>
  <c r="J84" i="16"/>
  <c r="G79" i="6" s="1"/>
  <c r="H83" i="16"/>
  <c r="E78" i="6" s="1"/>
  <c r="J81" i="16"/>
  <c r="G76" i="6" s="1"/>
  <c r="H80" i="16"/>
  <c r="E75" i="6" s="1"/>
  <c r="J78" i="16"/>
  <c r="G73" i="6" s="1"/>
  <c r="H77" i="16"/>
  <c r="E72" i="6" s="1"/>
  <c r="J75" i="16"/>
  <c r="G70" i="6" s="1"/>
  <c r="H74" i="16"/>
  <c r="E69" i="6" s="1"/>
  <c r="J72" i="16"/>
  <c r="G67" i="6" s="1"/>
  <c r="H71" i="16"/>
  <c r="E66" i="6" s="1"/>
  <c r="J69" i="16"/>
  <c r="H68" i="16"/>
  <c r="E63" i="6" s="1"/>
  <c r="J66" i="16"/>
  <c r="G61" i="6" s="1"/>
  <c r="H65" i="16"/>
  <c r="E60" i="6" s="1"/>
  <c r="J63" i="16"/>
  <c r="G58" i="6" s="1"/>
  <c r="H62" i="16"/>
  <c r="J60" i="16"/>
  <c r="H59" i="16"/>
  <c r="E54" i="6" s="1"/>
  <c r="J57" i="16"/>
  <c r="G52" i="6" s="1"/>
  <c r="H56" i="16"/>
  <c r="E51" i="6" s="1"/>
  <c r="J54" i="16"/>
  <c r="G49" i="6" s="1"/>
  <c r="H53" i="16"/>
  <c r="E48" i="6" s="1"/>
  <c r="J51" i="16"/>
  <c r="G46" i="6" s="1"/>
  <c r="H50" i="16"/>
  <c r="E45" i="6" s="1"/>
  <c r="J48" i="16"/>
  <c r="G43" i="6" s="1"/>
  <c r="H47" i="16"/>
  <c r="E42" i="6" s="1"/>
  <c r="J45" i="16"/>
  <c r="G40" i="6" s="1"/>
  <c r="H44" i="16"/>
  <c r="E39" i="6" s="1"/>
  <c r="J42" i="16"/>
  <c r="G37" i="6" s="1"/>
  <c r="H41" i="16"/>
  <c r="E36" i="6" s="1"/>
  <c r="J39" i="16"/>
  <c r="G34" i="6" s="1"/>
  <c r="H38" i="16"/>
  <c r="J36" i="16"/>
  <c r="G31" i="6" s="1"/>
  <c r="H35" i="16"/>
  <c r="E30" i="6" s="1"/>
  <c r="J33" i="16"/>
  <c r="G28" i="6" s="1"/>
  <c r="H32" i="16"/>
  <c r="E27" i="6" s="1"/>
  <c r="J30" i="16"/>
  <c r="G25" i="6" s="1"/>
  <c r="H29" i="16"/>
  <c r="E24" i="6" s="1"/>
  <c r="J27" i="16"/>
  <c r="G22" i="6" s="1"/>
  <c r="H26" i="16"/>
  <c r="E21" i="6" s="1"/>
  <c r="J24" i="16"/>
  <c r="G19" i="6" s="1"/>
  <c r="H23" i="16"/>
  <c r="E18" i="6" s="1"/>
  <c r="J21" i="16"/>
  <c r="G16" i="6" s="1"/>
  <c r="H20" i="16"/>
  <c r="H17" i="16"/>
  <c r="E12" i="6" s="1"/>
  <c r="E45" i="18"/>
  <c r="H21" i="16"/>
  <c r="E16" i="6" s="1"/>
  <c r="H18" i="16"/>
  <c r="E13" i="6" s="1"/>
  <c r="W24" i="18"/>
  <c r="W92" i="6"/>
  <c r="W53" i="18"/>
  <c r="W86" i="6"/>
  <c r="W66" i="18"/>
  <c r="W80" i="6"/>
  <c r="W90" i="18"/>
  <c r="W74" i="6"/>
  <c r="W37" i="18"/>
  <c r="W68" i="6"/>
  <c r="W93" i="18"/>
  <c r="W62" i="6"/>
  <c r="W79" i="18"/>
  <c r="W56" i="6"/>
  <c r="W98" i="6"/>
  <c r="AD87" i="6"/>
  <c r="AD75" i="6"/>
  <c r="AD63" i="6"/>
  <c r="AD45" i="6"/>
  <c r="W90" i="6"/>
  <c r="W78" i="6"/>
  <c r="W66" i="6"/>
  <c r="W54" i="6"/>
  <c r="W42" i="6"/>
  <c r="W30" i="6"/>
  <c r="W18" i="6"/>
  <c r="AD57" i="6"/>
  <c r="AD27" i="6"/>
  <c r="AD21" i="6"/>
  <c r="AD93" i="6"/>
  <c r="AD81" i="6"/>
  <c r="AD69" i="6"/>
  <c r="AD39" i="6"/>
  <c r="AD95" i="6"/>
  <c r="AD89" i="6"/>
  <c r="AD83" i="6"/>
  <c r="AD77" i="6"/>
  <c r="AD71" i="6"/>
  <c r="AD65" i="6"/>
  <c r="AD62" i="6"/>
  <c r="AD59" i="6"/>
  <c r="AD56" i="6"/>
  <c r="AD53" i="6"/>
  <c r="AD50" i="6"/>
  <c r="AD47" i="6"/>
  <c r="AD44" i="6"/>
  <c r="AD41" i="6"/>
  <c r="AD38" i="6"/>
  <c r="AD35" i="6"/>
  <c r="AD32" i="6"/>
  <c r="AD29" i="6"/>
  <c r="AD26" i="6"/>
  <c r="AD23" i="6"/>
  <c r="AD20" i="6"/>
  <c r="AD17" i="6"/>
  <c r="AD14" i="6"/>
  <c r="W11" i="18"/>
  <c r="W15" i="18"/>
  <c r="AD11" i="6"/>
  <c r="AT12" i="18"/>
  <c r="AD13" i="18"/>
  <c r="AV14" i="18"/>
  <c r="AV16" i="18"/>
  <c r="AD32" i="18"/>
  <c r="AV12" i="18"/>
  <c r="AD19" i="18"/>
  <c r="W20" i="18"/>
  <c r="AV22" i="18"/>
  <c r="AD97" i="6"/>
  <c r="AD91" i="6"/>
  <c r="AD88" i="6"/>
  <c r="AD85" i="6"/>
  <c r="AD82" i="6"/>
  <c r="AD79" i="6"/>
  <c r="AD76" i="6"/>
  <c r="AD73" i="6"/>
  <c r="AD70" i="6"/>
  <c r="AD67" i="6"/>
  <c r="AD64" i="6"/>
  <c r="AD61" i="6"/>
  <c r="AD58" i="6"/>
  <c r="AD55" i="6"/>
  <c r="AD52" i="6"/>
  <c r="AD46" i="6"/>
  <c r="AD43" i="6"/>
  <c r="AD40" i="6"/>
  <c r="AD37" i="6"/>
  <c r="AD34" i="6"/>
  <c r="AD31" i="6"/>
  <c r="AD28" i="6"/>
  <c r="AD25" i="6"/>
  <c r="AD19" i="6"/>
  <c r="AD16" i="6"/>
  <c r="AD13" i="6"/>
  <c r="AR11" i="18"/>
  <c r="AV24" i="18"/>
  <c r="AV26" i="18"/>
  <c r="W95" i="6"/>
  <c r="W93" i="6"/>
  <c r="W91" i="6"/>
  <c r="W89" i="6"/>
  <c r="W85" i="6"/>
  <c r="W83" i="6"/>
  <c r="W81" i="6"/>
  <c r="W79" i="6"/>
  <c r="W77" i="6"/>
  <c r="W75" i="6"/>
  <c r="W73" i="6"/>
  <c r="W71" i="6"/>
  <c r="W69" i="6"/>
  <c r="W67" i="6"/>
  <c r="W65" i="6"/>
  <c r="W63" i="6"/>
  <c r="W61" i="6"/>
  <c r="W59" i="6"/>
  <c r="W57" i="6"/>
  <c r="W55" i="6"/>
  <c r="W53" i="6"/>
  <c r="W51" i="6"/>
  <c r="W49" i="6"/>
  <c r="W47" i="6"/>
  <c r="W45" i="6"/>
  <c r="W43" i="6"/>
  <c r="W41" i="6"/>
  <c r="W39" i="6"/>
  <c r="W37" i="6"/>
  <c r="W35" i="6"/>
  <c r="W33" i="6"/>
  <c r="W31" i="6"/>
  <c r="W29" i="6"/>
  <c r="W27" i="6"/>
  <c r="W25" i="6"/>
  <c r="W23" i="6"/>
  <c r="W19" i="6"/>
  <c r="W17" i="6"/>
  <c r="W15" i="6"/>
  <c r="W13" i="6"/>
  <c r="AP12" i="18"/>
  <c r="AR15" i="18"/>
  <c r="AV19" i="18"/>
  <c r="AV21" i="18"/>
  <c r="AV42" i="18"/>
  <c r="AT17" i="18"/>
  <c r="AV27" i="18"/>
  <c r="AV13" i="18"/>
  <c r="AV17" i="18"/>
  <c r="AV33" i="18"/>
  <c r="AV18" i="18"/>
  <c r="AV25" i="18"/>
  <c r="AV29" i="18"/>
  <c r="AV34" i="18"/>
  <c r="AV49" i="18"/>
  <c r="AV37" i="18"/>
  <c r="AV43" i="18"/>
  <c r="AV35" i="18"/>
  <c r="AV41" i="18"/>
  <c r="AV53" i="18"/>
  <c r="AV55" i="18"/>
  <c r="AV57" i="18"/>
  <c r="AV51" i="18"/>
  <c r="AV45" i="18"/>
  <c r="AV50" i="18"/>
  <c r="AV63" i="18"/>
  <c r="AV73" i="18"/>
  <c r="AV69" i="18"/>
  <c r="AV61" i="18"/>
  <c r="AV66" i="18"/>
  <c r="AV70" i="18"/>
  <c r="AV79" i="18"/>
  <c r="AV62" i="18"/>
  <c r="AV65" i="18"/>
  <c r="AV67" i="18"/>
  <c r="AV58" i="18"/>
  <c r="AV71" i="18"/>
  <c r="AV74" i="18"/>
  <c r="AV77" i="18"/>
  <c r="AV87" i="18"/>
  <c r="AV75" i="18"/>
  <c r="AV78" i="18"/>
  <c r="AV93" i="18"/>
  <c r="AV81" i="18"/>
  <c r="AV95" i="18"/>
  <c r="AV85" i="18"/>
  <c r="AV86" i="18"/>
  <c r="AV94" i="18"/>
  <c r="AV99" i="18"/>
  <c r="E27" i="18"/>
  <c r="B81" i="18"/>
  <c r="B82" i="18"/>
  <c r="B83" i="18" s="1"/>
  <c r="B84" i="18" s="1"/>
  <c r="B85" i="18" s="1"/>
  <c r="B86" i="18" s="1"/>
  <c r="B87" i="18" s="1"/>
  <c r="B88" i="18" s="1"/>
  <c r="B89" i="18" s="1"/>
  <c r="B90" i="18" s="1"/>
  <c r="B91" i="18" s="1"/>
  <c r="B92" i="18" s="1"/>
  <c r="AP16" i="18"/>
  <c r="AP17" i="18"/>
  <c r="AP18" i="18"/>
  <c r="AP19" i="18"/>
  <c r="AP23" i="18"/>
  <c r="AP26" i="18"/>
  <c r="AP28" i="18"/>
  <c r="AR94" i="18"/>
  <c r="AR86" i="18"/>
  <c r="AR78" i="18"/>
  <c r="AR50" i="18"/>
  <c r="AR42" i="18"/>
  <c r="AR34" i="18"/>
  <c r="AR26" i="18"/>
  <c r="AR88" i="18"/>
  <c r="AR80" i="18"/>
  <c r="AR72" i="18"/>
  <c r="AR64" i="18"/>
  <c r="AR56" i="18"/>
  <c r="AR52" i="18"/>
  <c r="AR44" i="18"/>
  <c r="AR36" i="18"/>
  <c r="AR95" i="18"/>
  <c r="AR87" i="18"/>
  <c r="AR63" i="18"/>
  <c r="AR55" i="18"/>
  <c r="AR51" i="18"/>
  <c r="AR43" i="18"/>
  <c r="AR35" i="18"/>
  <c r="AR27" i="18"/>
  <c r="AR92" i="18"/>
  <c r="AR84" i="18"/>
  <c r="AR76" i="18"/>
  <c r="AR68" i="18"/>
  <c r="AR60" i="18"/>
  <c r="AR48" i="18"/>
  <c r="AR40" i="18"/>
  <c r="AR32" i="18"/>
  <c r="AR24" i="18"/>
  <c r="AR99" i="18"/>
  <c r="AR14" i="18"/>
  <c r="AT88" i="18"/>
  <c r="AT80" i="18"/>
  <c r="AT56" i="18"/>
  <c r="AT52" i="18"/>
  <c r="AT44" i="18"/>
  <c r="AT36" i="18"/>
  <c r="AT28" i="18"/>
  <c r="AT98" i="18"/>
  <c r="AT90" i="18"/>
  <c r="AT82" i="18"/>
  <c r="AT74" i="18"/>
  <c r="AT66" i="18"/>
  <c r="AT58" i="18"/>
  <c r="AT54" i="18"/>
  <c r="AT46" i="18"/>
  <c r="AT38" i="18"/>
  <c r="AT30" i="18"/>
  <c r="AT99" i="18"/>
  <c r="AT89" i="18"/>
  <c r="AT81" i="18"/>
  <c r="AT57" i="18"/>
  <c r="AT53" i="18"/>
  <c r="AT45" i="18"/>
  <c r="AT37" i="18"/>
  <c r="AT29" i="18"/>
  <c r="AT86" i="18"/>
  <c r="AT78" i="18"/>
  <c r="AT70" i="18"/>
  <c r="AT62" i="18"/>
  <c r="AT50" i="18"/>
  <c r="AT42" i="18"/>
  <c r="AT34" i="18"/>
  <c r="AT26" i="18"/>
  <c r="AT11" i="18"/>
  <c r="AR12" i="18"/>
  <c r="AR17" i="18"/>
  <c r="AR19" i="18"/>
  <c r="AT20" i="18"/>
  <c r="AR23" i="18"/>
  <c r="AP36" i="18"/>
  <c r="AP44" i="18"/>
  <c r="AP52" i="18"/>
  <c r="AP55" i="18"/>
  <c r="AP57" i="18"/>
  <c r="AP59" i="18"/>
  <c r="AP63" i="18"/>
  <c r="AP65" i="18"/>
  <c r="AP67" i="18"/>
  <c r="AP69" i="18"/>
  <c r="AP71" i="18"/>
  <c r="AP73" i="18"/>
  <c r="AP75" i="18"/>
  <c r="AP77" i="18"/>
  <c r="AP79" i="18"/>
  <c r="AP81" i="18"/>
  <c r="AP83" i="18"/>
  <c r="AP87" i="18"/>
  <c r="AP89" i="18"/>
  <c r="AP95" i="18"/>
  <c r="AP97" i="18"/>
  <c r="AP98" i="18"/>
  <c r="AP99" i="18"/>
  <c r="AT15" i="18"/>
  <c r="AR16" i="18"/>
  <c r="AR18" i="18"/>
  <c r="AT19" i="18"/>
  <c r="AR22" i="18"/>
  <c r="AT23" i="18"/>
  <c r="AR28" i="18"/>
  <c r="AR30" i="18"/>
  <c r="AR38" i="18"/>
  <c r="AR46" i="18"/>
  <c r="AR54" i="18"/>
  <c r="AR57" i="18"/>
  <c r="AR59" i="18"/>
  <c r="AR61" i="18"/>
  <c r="AR65" i="18"/>
  <c r="AR67" i="18"/>
  <c r="AR69" i="18"/>
  <c r="AR71" i="18"/>
  <c r="AR73" i="18"/>
  <c r="AR75" i="18"/>
  <c r="AR77" i="18"/>
  <c r="AR79" i="18"/>
  <c r="AR81" i="18"/>
  <c r="AR83" i="18"/>
  <c r="AR85" i="18"/>
  <c r="AR89" i="18"/>
  <c r="AR91" i="18"/>
  <c r="AR93" i="18"/>
  <c r="AR96" i="18"/>
  <c r="AR97" i="18"/>
  <c r="AR98" i="18"/>
  <c r="AT16" i="18"/>
  <c r="AR25" i="18"/>
  <c r="AT32" i="18"/>
  <c r="AT40" i="18"/>
  <c r="AT48" i="18"/>
  <c r="AT55" i="18"/>
  <c r="AT59" i="18"/>
  <c r="AT61" i="18"/>
  <c r="AT63" i="18"/>
  <c r="AT65" i="18"/>
  <c r="AT67" i="18"/>
  <c r="AT69" i="18"/>
  <c r="AT71" i="18"/>
  <c r="AT73" i="18"/>
  <c r="AT75" i="18"/>
  <c r="AT77" i="18"/>
  <c r="AT79" i="18"/>
  <c r="AT83" i="18"/>
  <c r="AT85" i="18"/>
  <c r="AT87" i="18"/>
  <c r="AT91" i="18"/>
  <c r="AT93" i="18"/>
  <c r="AT95" i="18"/>
  <c r="AT96" i="18"/>
  <c r="AT97" i="18"/>
  <c r="AT18" i="18"/>
  <c r="AP21" i="18"/>
  <c r="AT22" i="18"/>
  <c r="AT25" i="18"/>
  <c r="AP27" i="18"/>
  <c r="AP13" i="18"/>
  <c r="AP20" i="18"/>
  <c r="AR21" i="18"/>
  <c r="AP29" i="18"/>
  <c r="AP31" i="18"/>
  <c r="AP35" i="18"/>
  <c r="AP37" i="18"/>
  <c r="AP39" i="18"/>
  <c r="AP43" i="18"/>
  <c r="AP45" i="18"/>
  <c r="AP47" i="18"/>
  <c r="AP51" i="18"/>
  <c r="AP53" i="18"/>
  <c r="AP56" i="18"/>
  <c r="AP60" i="18"/>
  <c r="AP64" i="18"/>
  <c r="AP68" i="18"/>
  <c r="AP72" i="18"/>
  <c r="AP80" i="18"/>
  <c r="AP88" i="18"/>
  <c r="AR13" i="18"/>
  <c r="AT21" i="18"/>
  <c r="AT27" i="18"/>
  <c r="AR29" i="18"/>
  <c r="AR31" i="18"/>
  <c r="AR33" i="18"/>
  <c r="AR37" i="18"/>
  <c r="AR39" i="18"/>
  <c r="AR41" i="18"/>
  <c r="AR45" i="18"/>
  <c r="AR47" i="18"/>
  <c r="AR49" i="18"/>
  <c r="AR53" i="18"/>
  <c r="AR58" i="18"/>
  <c r="AR62" i="18"/>
  <c r="AR66" i="18"/>
  <c r="AR70" i="18"/>
  <c r="AR74" i="18"/>
  <c r="AR82" i="18"/>
  <c r="AR90" i="18"/>
  <c r="AP96" i="18"/>
  <c r="AP92" i="18"/>
  <c r="AP84" i="18"/>
  <c r="AP76" i="18"/>
  <c r="AP48" i="18"/>
  <c r="AP40" i="18"/>
  <c r="AP32" i="18"/>
  <c r="AP24" i="18"/>
  <c r="AP94" i="18"/>
  <c r="AP86" i="18"/>
  <c r="AP78" i="18"/>
  <c r="AP70" i="18"/>
  <c r="AP62" i="18"/>
  <c r="AP50" i="18"/>
  <c r="AP42" i="18"/>
  <c r="AP34" i="18"/>
  <c r="AP91" i="18"/>
  <c r="AP93" i="18"/>
  <c r="AP85" i="18"/>
  <c r="AP61" i="18"/>
  <c r="AP49" i="18"/>
  <c r="AP41" i="18"/>
  <c r="AP33" i="18"/>
  <c r="AP25" i="18"/>
  <c r="AP90" i="18"/>
  <c r="AP82" i="18"/>
  <c r="AP74" i="18"/>
  <c r="AP66" i="18"/>
  <c r="AP58" i="18"/>
  <c r="AP54" i="18"/>
  <c r="AP46" i="18"/>
  <c r="AP38" i="18"/>
  <c r="AP30" i="18"/>
  <c r="AP22" i="18"/>
  <c r="AP15" i="18"/>
  <c r="AR20" i="18"/>
  <c r="AT24" i="18"/>
  <c r="AT31" i="18"/>
  <c r="AT33" i="18"/>
  <c r="AT35" i="18"/>
  <c r="AT39" i="18"/>
  <c r="AT41" i="18"/>
  <c r="AT43" i="18"/>
  <c r="AT47" i="18"/>
  <c r="AT49" i="18"/>
  <c r="AT51" i="18"/>
  <c r="AT60" i="18"/>
  <c r="AT64" i="18"/>
  <c r="AT68" i="18"/>
  <c r="AT72" i="18"/>
  <c r="AT76" i="18"/>
  <c r="AT84" i="18"/>
  <c r="AT92" i="18"/>
  <c r="AT94" i="18"/>
  <c r="AV20" i="18"/>
  <c r="AV28" i="18"/>
  <c r="AV36" i="18"/>
  <c r="AV44" i="18"/>
  <c r="AV52" i="18"/>
  <c r="AV56" i="18"/>
  <c r="AV64" i="18"/>
  <c r="AV72" i="18"/>
  <c r="AV80" i="18"/>
  <c r="AV88" i="18"/>
  <c r="AV23" i="18"/>
  <c r="AV31" i="18"/>
  <c r="AV39" i="18"/>
  <c r="AV47" i="18"/>
  <c r="AV59" i="18"/>
  <c r="AV83" i="18"/>
  <c r="AV91" i="18"/>
  <c r="AV97" i="18"/>
  <c r="AV89" i="18"/>
  <c r="AV32" i="18"/>
  <c r="AV40" i="18"/>
  <c r="AV48" i="18"/>
  <c r="AV60" i="18"/>
  <c r="AV68" i="18"/>
  <c r="AV76" i="18"/>
  <c r="AV84" i="18"/>
  <c r="AV92" i="18"/>
  <c r="AV96" i="18"/>
  <c r="AV30" i="18"/>
  <c r="AV38" i="18"/>
  <c r="AV46" i="18"/>
  <c r="AV54" i="18"/>
  <c r="AV82" i="18"/>
  <c r="AV90" i="18"/>
  <c r="K8" i="6"/>
  <c r="L8" i="6" s="1"/>
  <c r="M8" i="6" s="1"/>
  <c r="N8" i="6" s="1"/>
  <c r="O8" i="6" s="1"/>
  <c r="P8" i="6" s="1"/>
  <c r="N17" i="2"/>
  <c r="N18" i="2"/>
  <c r="N19" i="2"/>
  <c r="N20" i="2"/>
  <c r="N21" i="2"/>
  <c r="N22" i="2"/>
  <c r="N23" i="2"/>
  <c r="N24" i="2"/>
  <c r="N25" i="2"/>
  <c r="N26" i="2"/>
  <c r="N27" i="2"/>
  <c r="N28" i="2"/>
  <c r="N30" i="2"/>
  <c r="N31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9" i="2"/>
  <c r="N100" i="2"/>
  <c r="N101" i="2"/>
  <c r="N102" i="2"/>
  <c r="N103" i="2"/>
  <c r="N104" i="2"/>
  <c r="D22" i="18" l="1"/>
  <c r="G59" i="18"/>
  <c r="G63" i="18"/>
  <c r="G26" i="18"/>
  <c r="G73" i="18"/>
  <c r="E81" i="18"/>
  <c r="G11" i="18"/>
  <c r="G25" i="18"/>
  <c r="G87" i="18"/>
  <c r="E33" i="18"/>
  <c r="G51" i="18"/>
  <c r="G99" i="18"/>
  <c r="G55" i="18"/>
  <c r="G57" i="18"/>
  <c r="E24" i="18"/>
  <c r="E98" i="18"/>
  <c r="E56" i="18"/>
  <c r="E94" i="18"/>
  <c r="G54" i="18"/>
  <c r="G97" i="18"/>
  <c r="E71" i="18"/>
  <c r="G44" i="18"/>
  <c r="F70" i="18"/>
  <c r="D94" i="18"/>
  <c r="E14" i="18"/>
  <c r="E36" i="18"/>
  <c r="D59" i="18"/>
  <c r="G53" i="18"/>
  <c r="G96" i="18"/>
  <c r="E85" i="18"/>
  <c r="E18" i="18"/>
  <c r="G58" i="18"/>
  <c r="E29" i="18"/>
  <c r="E90" i="18"/>
  <c r="E54" i="18"/>
  <c r="G88" i="18"/>
  <c r="E61" i="18"/>
  <c r="E73" i="18"/>
  <c r="G89" i="18"/>
  <c r="G32" i="18"/>
  <c r="G39" i="18"/>
  <c r="G29" i="18"/>
  <c r="G20" i="18"/>
  <c r="G95" i="18"/>
  <c r="G49" i="18"/>
  <c r="G24" i="18"/>
  <c r="E52" i="18"/>
  <c r="E91" i="18"/>
  <c r="E79" i="18"/>
  <c r="G21" i="18"/>
  <c r="E57" i="18"/>
  <c r="G78" i="18"/>
  <c r="E55" i="18"/>
  <c r="G64" i="18"/>
  <c r="D84" i="18"/>
  <c r="E67" i="18"/>
  <c r="E93" i="18"/>
  <c r="G80" i="18"/>
  <c r="G62" i="18"/>
  <c r="G46" i="18"/>
  <c r="G48" i="18"/>
  <c r="E75" i="18"/>
  <c r="E35" i="18"/>
  <c r="E50" i="18"/>
  <c r="E85" i="6"/>
  <c r="E59" i="18"/>
  <c r="E81" i="6"/>
  <c r="D66" i="18"/>
  <c r="D80" i="6"/>
  <c r="G77" i="18"/>
  <c r="G38" i="6"/>
  <c r="G50" i="18"/>
  <c r="G17" i="6"/>
  <c r="D26" i="18"/>
  <c r="D32" i="6"/>
  <c r="G37" i="18"/>
  <c r="G94" i="18"/>
  <c r="G64" i="6"/>
  <c r="G38" i="18"/>
  <c r="G72" i="18"/>
  <c r="F22" i="18"/>
  <c r="F96" i="6"/>
  <c r="E43" i="18"/>
  <c r="E83" i="6"/>
  <c r="E40" i="18"/>
  <c r="E43" i="6"/>
  <c r="E13" i="18"/>
  <c r="E22" i="6"/>
  <c r="E76" i="18"/>
  <c r="E76" i="6"/>
  <c r="D80" i="18"/>
  <c r="D57" i="6"/>
  <c r="E58" i="18"/>
  <c r="F80" i="18"/>
  <c r="F57" i="6"/>
  <c r="F33" i="18"/>
  <c r="F53" i="6"/>
  <c r="E77" i="18"/>
  <c r="E38" i="6"/>
  <c r="G35" i="18"/>
  <c r="G59" i="6"/>
  <c r="E84" i="18"/>
  <c r="E29" i="6"/>
  <c r="G15" i="18"/>
  <c r="G87" i="6"/>
  <c r="G14" i="18"/>
  <c r="G47" i="6"/>
  <c r="G91" i="18"/>
  <c r="G26" i="6"/>
  <c r="F53" i="18"/>
  <c r="F86" i="6"/>
  <c r="G22" i="18"/>
  <c r="G96" i="6"/>
  <c r="G79" i="18"/>
  <c r="G56" i="6"/>
  <c r="D21" i="18"/>
  <c r="D28" i="6"/>
  <c r="F94" i="18"/>
  <c r="F64" i="6"/>
  <c r="F21" i="18"/>
  <c r="F28" i="6"/>
  <c r="F66" i="18"/>
  <c r="F80" i="6"/>
  <c r="E37" i="18"/>
  <c r="E68" i="6"/>
  <c r="E16" i="18"/>
  <c r="E73" i="6"/>
  <c r="E68" i="18"/>
  <c r="E40" i="6"/>
  <c r="E70" i="18"/>
  <c r="E33" i="6"/>
  <c r="D51" i="18"/>
  <c r="D98" i="6"/>
  <c r="D85" i="18"/>
  <c r="D97" i="6"/>
  <c r="F59" i="18"/>
  <c r="F81" i="6"/>
  <c r="F27" i="18"/>
  <c r="F61" i="6"/>
  <c r="G70" i="18"/>
  <c r="G71" i="18"/>
  <c r="G77" i="6"/>
  <c r="G60" i="18"/>
  <c r="G51" i="6"/>
  <c r="E51" i="18"/>
  <c r="E98" i="6"/>
  <c r="G98" i="18"/>
  <c r="G44" i="6"/>
  <c r="G61" i="18"/>
  <c r="G55" i="6"/>
  <c r="G31" i="18"/>
  <c r="E21" i="18"/>
  <c r="E28" i="6"/>
  <c r="E42" i="18"/>
  <c r="E82" i="6"/>
  <c r="E32" i="18"/>
  <c r="E49" i="6"/>
  <c r="E80" i="18"/>
  <c r="E57" i="6"/>
  <c r="D61" i="18"/>
  <c r="D55" i="6"/>
  <c r="F61" i="18"/>
  <c r="F55" i="6"/>
  <c r="F95" i="18"/>
  <c r="F71" i="6"/>
  <c r="F46" i="18"/>
  <c r="F35" i="6"/>
  <c r="E46" i="18"/>
  <c r="E35" i="6"/>
  <c r="G33" i="18"/>
  <c r="G53" i="6"/>
  <c r="F26" i="18"/>
  <c r="F32" i="6"/>
  <c r="E26" i="18"/>
  <c r="E32" i="6"/>
  <c r="E53" i="18"/>
  <c r="E86" i="6"/>
  <c r="E41" i="18"/>
  <c r="E79" i="6"/>
  <c r="D70" i="18"/>
  <c r="D33" i="6"/>
  <c r="D32" i="18"/>
  <c r="D49" i="6"/>
  <c r="F32" i="18"/>
  <c r="F49" i="6"/>
  <c r="F84" i="18"/>
  <c r="F29" i="6"/>
  <c r="G83" i="18"/>
  <c r="G17" i="18"/>
  <c r="G36" i="6"/>
  <c r="G65" i="18"/>
  <c r="G90" i="6"/>
  <c r="G82" i="18"/>
  <c r="G11" i="6"/>
  <c r="G47" i="18"/>
  <c r="G69" i="6"/>
  <c r="G43" i="18"/>
  <c r="G83" i="6"/>
  <c r="E95" i="18"/>
  <c r="E71" i="6"/>
  <c r="G93" i="18"/>
  <c r="G62" i="6"/>
  <c r="H15" i="16"/>
  <c r="E10" i="18" s="1"/>
  <c r="E15" i="6"/>
  <c r="G85" i="18"/>
  <c r="G97" i="6"/>
  <c r="F51" i="18"/>
  <c r="F98" i="6"/>
  <c r="E74" i="18"/>
  <c r="E34" i="6"/>
  <c r="E23" i="18"/>
  <c r="E88" i="6"/>
  <c r="E66" i="18"/>
  <c r="E80" i="6"/>
  <c r="J15" i="16"/>
  <c r="G10" i="6" s="1"/>
  <c r="G84" i="18"/>
  <c r="G66" i="18"/>
  <c r="G15" i="16"/>
  <c r="D10" i="18" s="1"/>
  <c r="G90" i="18"/>
  <c r="E28" i="18"/>
  <c r="E34" i="18"/>
  <c r="G18" i="18"/>
  <c r="D33" i="18"/>
  <c r="E12" i="18"/>
  <c r="AB15" i="18"/>
  <c r="AB87" i="6"/>
  <c r="AB47" i="18"/>
  <c r="AB69" i="6"/>
  <c r="AB60" i="18"/>
  <c r="AB51" i="6"/>
  <c r="AB26" i="18"/>
  <c r="AB32" i="6"/>
  <c r="AB86" i="18"/>
  <c r="AB12" i="6"/>
  <c r="AB20" i="18"/>
  <c r="AB99" i="6"/>
  <c r="AB53" i="18"/>
  <c r="AB86" i="6"/>
  <c r="AB90" i="18"/>
  <c r="AB74" i="6"/>
  <c r="AB93" i="18"/>
  <c r="AB62" i="6"/>
  <c r="AB40" i="18"/>
  <c r="AB43" i="6"/>
  <c r="AB56" i="18"/>
  <c r="AB31" i="6"/>
  <c r="AB50" i="18"/>
  <c r="AB17" i="6"/>
  <c r="AB85" i="18"/>
  <c r="AB97" i="6"/>
  <c r="AB65" i="18"/>
  <c r="AB90" i="6"/>
  <c r="AB62" i="18"/>
  <c r="AB84" i="6"/>
  <c r="AB39" i="18"/>
  <c r="AB78" i="6"/>
  <c r="AB87" i="18"/>
  <c r="AB72" i="6"/>
  <c r="AB49" i="18"/>
  <c r="AB66" i="6"/>
  <c r="AB83" i="18"/>
  <c r="AB60" i="6"/>
  <c r="AB48" i="18"/>
  <c r="AB54" i="6"/>
  <c r="AB64" i="18"/>
  <c r="AB48" i="6"/>
  <c r="AB18" i="18"/>
  <c r="AB41" i="6"/>
  <c r="AB46" i="18"/>
  <c r="AB35" i="6"/>
  <c r="AB84" i="18"/>
  <c r="AB29" i="6"/>
  <c r="AB44" i="18"/>
  <c r="AB15" i="6"/>
  <c r="D46" i="18"/>
  <c r="G45" i="18"/>
  <c r="G28" i="18"/>
  <c r="G12" i="18"/>
  <c r="G16" i="18"/>
  <c r="G42" i="18"/>
  <c r="G81" i="18"/>
  <c r="D93" i="18"/>
  <c r="D98" i="18"/>
  <c r="D91" i="18"/>
  <c r="D20" i="18"/>
  <c r="D72" i="18"/>
  <c r="D89" i="18"/>
  <c r="D97" i="18"/>
  <c r="D41" i="18"/>
  <c r="D27" i="18"/>
  <c r="D40" i="18"/>
  <c r="D67" i="18"/>
  <c r="F82" i="18"/>
  <c r="F62" i="18"/>
  <c r="F49" i="18"/>
  <c r="F64" i="18"/>
  <c r="F63" i="18"/>
  <c r="F86" i="18"/>
  <c r="F42" i="18"/>
  <c r="F12" i="18"/>
  <c r="F93" i="18"/>
  <c r="F98" i="18"/>
  <c r="F91" i="18"/>
  <c r="AB22" i="18"/>
  <c r="AB96" i="6"/>
  <c r="AB38" i="18"/>
  <c r="AB89" i="6"/>
  <c r="AB43" i="18"/>
  <c r="AB83" i="6"/>
  <c r="AB71" i="18"/>
  <c r="AB77" i="6"/>
  <c r="AB95" i="18"/>
  <c r="AB71" i="6"/>
  <c r="AB57" i="18"/>
  <c r="AB65" i="6"/>
  <c r="AB35" i="18"/>
  <c r="AB59" i="6"/>
  <c r="AB33" i="18"/>
  <c r="AB53" i="6"/>
  <c r="AB14" i="18"/>
  <c r="AB47" i="6"/>
  <c r="AB68" i="18"/>
  <c r="AB40" i="6"/>
  <c r="AB74" i="18"/>
  <c r="AB34" i="6"/>
  <c r="AB21" i="18"/>
  <c r="AB28" i="6"/>
  <c r="AB73" i="18"/>
  <c r="AB20" i="6"/>
  <c r="AB58" i="18"/>
  <c r="AB14" i="6"/>
  <c r="E69" i="18"/>
  <c r="E11" i="18"/>
  <c r="E63" i="18"/>
  <c r="E78" i="18"/>
  <c r="E64" i="18"/>
  <c r="E49" i="18"/>
  <c r="E88" i="18"/>
  <c r="E62" i="18"/>
  <c r="E99" i="18"/>
  <c r="D54" i="18"/>
  <c r="D71" i="18"/>
  <c r="D35" i="18"/>
  <c r="D18" i="18"/>
  <c r="D55" i="18"/>
  <c r="D39" i="18"/>
  <c r="D83" i="18"/>
  <c r="D31" i="18"/>
  <c r="D96" i="18"/>
  <c r="D19" i="18"/>
  <c r="D76" i="18"/>
  <c r="D34" i="18"/>
  <c r="D68" i="18"/>
  <c r="D13" i="18"/>
  <c r="F20" i="18"/>
  <c r="F72" i="18"/>
  <c r="F89" i="18"/>
  <c r="F97" i="18"/>
  <c r="F85" i="18"/>
  <c r="F41" i="18"/>
  <c r="F40" i="18"/>
  <c r="F67" i="18"/>
  <c r="F54" i="18"/>
  <c r="F71" i="18"/>
  <c r="F35" i="18"/>
  <c r="F18" i="18"/>
  <c r="F55" i="18"/>
  <c r="AB59" i="18"/>
  <c r="AB81" i="6"/>
  <c r="AB72" i="18"/>
  <c r="AB63" i="6"/>
  <c r="AB89" i="18"/>
  <c r="AB45" i="6"/>
  <c r="AB67" i="18"/>
  <c r="AB25" i="6"/>
  <c r="AB29" i="18"/>
  <c r="AB50" i="6"/>
  <c r="AB54" i="18"/>
  <c r="AB95" i="6"/>
  <c r="AB23" i="18"/>
  <c r="AB88" i="6"/>
  <c r="AB42" i="18"/>
  <c r="AB82" i="6"/>
  <c r="AB76" i="18"/>
  <c r="AB76" i="6"/>
  <c r="AB52" i="18"/>
  <c r="AB70" i="6"/>
  <c r="AB94" i="18"/>
  <c r="AB64" i="6"/>
  <c r="AB34" i="18"/>
  <c r="AB58" i="6"/>
  <c r="AB75" i="18"/>
  <c r="AB52" i="6"/>
  <c r="AB12" i="18"/>
  <c r="AB46" i="6"/>
  <c r="AB78" i="18"/>
  <c r="AB39" i="6"/>
  <c r="AB70" i="18"/>
  <c r="AB33" i="6"/>
  <c r="AB91" i="18"/>
  <c r="AB26" i="6"/>
  <c r="AB45" i="18"/>
  <c r="AB19" i="6"/>
  <c r="AB69" i="18"/>
  <c r="AB13" i="6"/>
  <c r="D50" i="18"/>
  <c r="E86" i="18"/>
  <c r="G13" i="18"/>
  <c r="G56" i="18"/>
  <c r="G68" i="18"/>
  <c r="G34" i="18"/>
  <c r="G36" i="18"/>
  <c r="G76" i="18"/>
  <c r="G92" i="18"/>
  <c r="G85" i="6"/>
  <c r="G19" i="18"/>
  <c r="D24" i="18"/>
  <c r="D90" i="18"/>
  <c r="D79" i="18"/>
  <c r="D77" i="18"/>
  <c r="D73" i="18"/>
  <c r="D99" i="18"/>
  <c r="D88" i="18"/>
  <c r="D78" i="18"/>
  <c r="D11" i="18"/>
  <c r="D81" i="18"/>
  <c r="D16" i="18"/>
  <c r="D28" i="18"/>
  <c r="D45" i="18"/>
  <c r="F39" i="18"/>
  <c r="F83" i="18"/>
  <c r="F31" i="18"/>
  <c r="F96" i="18"/>
  <c r="F19" i="18"/>
  <c r="F76" i="18"/>
  <c r="F34" i="18"/>
  <c r="F68" i="18"/>
  <c r="F13" i="18"/>
  <c r="F24" i="18"/>
  <c r="F90" i="18"/>
  <c r="F79" i="18"/>
  <c r="F77" i="18"/>
  <c r="F73" i="18"/>
  <c r="E44" i="18"/>
  <c r="E96" i="18"/>
  <c r="E31" i="18"/>
  <c r="E60" i="18"/>
  <c r="E83" i="18"/>
  <c r="E47" i="18"/>
  <c r="E39" i="18"/>
  <c r="E15" i="18"/>
  <c r="D38" i="18"/>
  <c r="D65" i="18"/>
  <c r="D87" i="18"/>
  <c r="D48" i="18"/>
  <c r="D17" i="18"/>
  <c r="D25" i="18"/>
  <c r="D23" i="18"/>
  <c r="D52" i="18"/>
  <c r="D75" i="18"/>
  <c r="D74" i="18"/>
  <c r="D30" i="18"/>
  <c r="F99" i="18"/>
  <c r="F88" i="18"/>
  <c r="F78" i="18"/>
  <c r="F11" i="18"/>
  <c r="F81" i="18"/>
  <c r="F16" i="18"/>
  <c r="F28" i="18"/>
  <c r="F45" i="18"/>
  <c r="F38" i="18"/>
  <c r="E30" i="18"/>
  <c r="G30" i="18"/>
  <c r="G67" i="18"/>
  <c r="G74" i="18"/>
  <c r="G40" i="18"/>
  <c r="G75" i="18"/>
  <c r="G27" i="18"/>
  <c r="G52" i="18"/>
  <c r="G41" i="18"/>
  <c r="G23" i="18"/>
  <c r="D53" i="18"/>
  <c r="D37" i="18"/>
  <c r="D29" i="18"/>
  <c r="D58" i="18"/>
  <c r="D15" i="18"/>
  <c r="D47" i="18"/>
  <c r="D60" i="18"/>
  <c r="D44" i="18"/>
  <c r="D92" i="18"/>
  <c r="D85" i="6"/>
  <c r="D36" i="18"/>
  <c r="D56" i="18"/>
  <c r="D69" i="18"/>
  <c r="F65" i="18"/>
  <c r="F87" i="18"/>
  <c r="F48" i="18"/>
  <c r="F17" i="18"/>
  <c r="F25" i="18"/>
  <c r="F23" i="18"/>
  <c r="F52" i="18"/>
  <c r="F75" i="18"/>
  <c r="F74" i="18"/>
  <c r="F30" i="18"/>
  <c r="F37" i="18"/>
  <c r="F29" i="18"/>
  <c r="F58" i="18"/>
  <c r="AB19" i="18"/>
  <c r="AB94" i="6"/>
  <c r="AB88" i="18"/>
  <c r="AB75" i="6"/>
  <c r="AB80" i="18"/>
  <c r="AB57" i="6"/>
  <c r="AB77" i="18"/>
  <c r="AB38" i="6"/>
  <c r="AB25" i="18"/>
  <c r="AB18" i="6"/>
  <c r="AB24" i="18"/>
  <c r="AB92" i="6"/>
  <c r="AB66" i="18"/>
  <c r="AB80" i="6"/>
  <c r="AB37" i="18"/>
  <c r="AB68" i="6"/>
  <c r="AB79" i="18"/>
  <c r="AB56" i="6"/>
  <c r="AB28" i="18"/>
  <c r="AB37" i="6"/>
  <c r="AB51" i="18"/>
  <c r="AB98" i="6"/>
  <c r="AB81" i="18"/>
  <c r="AB91" i="6"/>
  <c r="AB92" i="18"/>
  <c r="AB85" i="6"/>
  <c r="AB41" i="18"/>
  <c r="AB79" i="6"/>
  <c r="AB16" i="18"/>
  <c r="AB73" i="6"/>
  <c r="AB36" i="18"/>
  <c r="AB67" i="6"/>
  <c r="AB27" i="18"/>
  <c r="AB61" i="6"/>
  <c r="AB61" i="18"/>
  <c r="AB55" i="6"/>
  <c r="AB32" i="18"/>
  <c r="AB49" i="6"/>
  <c r="AB31" i="18"/>
  <c r="AB42" i="6"/>
  <c r="AB17" i="18"/>
  <c r="AB36" i="6"/>
  <c r="AB63" i="18"/>
  <c r="AB30" i="6"/>
  <c r="AB30" i="18"/>
  <c r="AB16" i="6"/>
  <c r="E22" i="18"/>
  <c r="F50" i="18"/>
  <c r="I15" i="16"/>
  <c r="F10" i="18" s="1"/>
  <c r="D95" i="18"/>
  <c r="E25" i="18"/>
  <c r="E97" i="18"/>
  <c r="E17" i="18"/>
  <c r="E89" i="18"/>
  <c r="E48" i="18"/>
  <c r="E72" i="18"/>
  <c r="E87" i="18"/>
  <c r="E65" i="18"/>
  <c r="E20" i="18"/>
  <c r="D43" i="18"/>
  <c r="D57" i="18"/>
  <c r="D14" i="18"/>
  <c r="D82" i="18"/>
  <c r="D62" i="18"/>
  <c r="D49" i="18"/>
  <c r="D64" i="18"/>
  <c r="D63" i="18"/>
  <c r="D86" i="18"/>
  <c r="D42" i="18"/>
  <c r="D12" i="18"/>
  <c r="F15" i="18"/>
  <c r="F47" i="18"/>
  <c r="F60" i="18"/>
  <c r="F44" i="18"/>
  <c r="F92" i="18"/>
  <c r="F85" i="6"/>
  <c r="F36" i="18"/>
  <c r="F56" i="18"/>
  <c r="F69" i="18"/>
  <c r="F43" i="18"/>
  <c r="F57" i="18"/>
  <c r="F14" i="18"/>
  <c r="B93" i="18"/>
  <c r="B94" i="18" s="1"/>
  <c r="B95" i="18"/>
  <c r="B96" i="18" s="1"/>
  <c r="B97" i="18" s="1"/>
  <c r="B98" i="18" s="1"/>
  <c r="B99" i="18" s="1"/>
  <c r="Q8" i="6"/>
  <c r="R8" i="6" s="1"/>
  <c r="S8" i="6" s="1"/>
  <c r="T8" i="6" s="1"/>
  <c r="U8" i="6" s="1"/>
  <c r="V8" i="6" s="1"/>
  <c r="W8" i="6" s="1"/>
  <c r="X8" i="6" s="1"/>
  <c r="Y8" i="6" s="1"/>
  <c r="Z8" i="6" s="1"/>
  <c r="AB8" i="6" s="1"/>
  <c r="AC8" i="6" s="1"/>
  <c r="AD8" i="6" s="1"/>
  <c r="AE8" i="6" s="1"/>
  <c r="AF8" i="6" s="1"/>
  <c r="AG8" i="6" s="1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6" i="16"/>
  <c r="R17" i="5"/>
  <c r="R18" i="5"/>
  <c r="R19" i="5"/>
  <c r="R20" i="5"/>
  <c r="R21" i="5"/>
  <c r="R22" i="5"/>
  <c r="R23" i="5"/>
  <c r="R24" i="5"/>
  <c r="R25" i="5"/>
  <c r="R30" i="5"/>
  <c r="R31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9" i="5"/>
  <c r="R100" i="5"/>
  <c r="R101" i="5"/>
  <c r="R102" i="5"/>
  <c r="R103" i="5"/>
  <c r="R104" i="5"/>
  <c r="R16" i="5"/>
  <c r="R17" i="2"/>
  <c r="R18" i="2"/>
  <c r="R19" i="2"/>
  <c r="R20" i="2"/>
  <c r="R21" i="2"/>
  <c r="R22" i="2"/>
  <c r="R23" i="2"/>
  <c r="R24" i="2"/>
  <c r="R25" i="2"/>
  <c r="R30" i="2"/>
  <c r="R31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9" i="2"/>
  <c r="R100" i="2"/>
  <c r="R101" i="2"/>
  <c r="R102" i="2"/>
  <c r="R103" i="2"/>
  <c r="R104" i="2"/>
  <c r="R16" i="2"/>
  <c r="BB99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65" i="6"/>
  <c r="BB66" i="6"/>
  <c r="BB67" i="6"/>
  <c r="BB68" i="6"/>
  <c r="BB69" i="6"/>
  <c r="BB70" i="6"/>
  <c r="BB71" i="6"/>
  <c r="BB72" i="6"/>
  <c r="BB73" i="6"/>
  <c r="BB74" i="6"/>
  <c r="BB75" i="6"/>
  <c r="BB76" i="6"/>
  <c r="BB77" i="6"/>
  <c r="BB78" i="6"/>
  <c r="BB79" i="6"/>
  <c r="BB80" i="6"/>
  <c r="BB81" i="6"/>
  <c r="BB82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12" i="6"/>
  <c r="BB11" i="6"/>
  <c r="D17" i="17"/>
  <c r="C17" i="17" s="1"/>
  <c r="D18" i="17"/>
  <c r="C18" i="17" s="1"/>
  <c r="D19" i="17"/>
  <c r="C19" i="17" s="1"/>
  <c r="D20" i="17"/>
  <c r="C20" i="17" s="1"/>
  <c r="D21" i="17"/>
  <c r="C21" i="17" s="1"/>
  <c r="D22" i="17"/>
  <c r="C22" i="17" s="1"/>
  <c r="D23" i="17"/>
  <c r="C23" i="17" s="1"/>
  <c r="D24" i="17"/>
  <c r="C24" i="17" s="1"/>
  <c r="D25" i="17"/>
  <c r="C25" i="17" s="1"/>
  <c r="D26" i="17"/>
  <c r="C26" i="17" s="1"/>
  <c r="D27" i="17"/>
  <c r="C27" i="17" s="1"/>
  <c r="D28" i="17"/>
  <c r="C28" i="17" s="1"/>
  <c r="D29" i="17"/>
  <c r="C29" i="17" s="1"/>
  <c r="D30" i="17"/>
  <c r="C30" i="17" s="1"/>
  <c r="D31" i="17"/>
  <c r="C31" i="17" s="1"/>
  <c r="D32" i="17"/>
  <c r="C32" i="17" s="1"/>
  <c r="D33" i="17"/>
  <c r="C33" i="17" s="1"/>
  <c r="D34" i="17"/>
  <c r="C34" i="17" s="1"/>
  <c r="D35" i="17"/>
  <c r="C35" i="17" s="1"/>
  <c r="D36" i="17"/>
  <c r="C36" i="17" s="1"/>
  <c r="D37" i="17"/>
  <c r="C37" i="17" s="1"/>
  <c r="D38" i="17"/>
  <c r="C38" i="17" s="1"/>
  <c r="D39" i="17"/>
  <c r="C39" i="17" s="1"/>
  <c r="D40" i="17"/>
  <c r="C40" i="17" s="1"/>
  <c r="D41" i="17"/>
  <c r="C41" i="17" s="1"/>
  <c r="D42" i="17"/>
  <c r="C42" i="17" s="1"/>
  <c r="D43" i="17"/>
  <c r="C43" i="17" s="1"/>
  <c r="D44" i="17"/>
  <c r="C44" i="17" s="1"/>
  <c r="D45" i="17"/>
  <c r="C45" i="17" s="1"/>
  <c r="D46" i="17"/>
  <c r="C46" i="17" s="1"/>
  <c r="D47" i="17"/>
  <c r="C47" i="17" s="1"/>
  <c r="D48" i="17"/>
  <c r="C48" i="17" s="1"/>
  <c r="D49" i="17"/>
  <c r="C49" i="17" s="1"/>
  <c r="D50" i="17"/>
  <c r="C50" i="17" s="1"/>
  <c r="D51" i="17"/>
  <c r="C51" i="17" s="1"/>
  <c r="D52" i="17"/>
  <c r="C52" i="17" s="1"/>
  <c r="D53" i="17"/>
  <c r="C53" i="17" s="1"/>
  <c r="D54" i="17"/>
  <c r="C54" i="17" s="1"/>
  <c r="D55" i="17"/>
  <c r="C55" i="17" s="1"/>
  <c r="D56" i="17"/>
  <c r="C56" i="17" s="1"/>
  <c r="D57" i="17"/>
  <c r="C57" i="17" s="1"/>
  <c r="D58" i="17"/>
  <c r="C58" i="17" s="1"/>
  <c r="D59" i="17"/>
  <c r="C59" i="17" s="1"/>
  <c r="D60" i="17"/>
  <c r="C60" i="17" s="1"/>
  <c r="D61" i="17"/>
  <c r="C61" i="17" s="1"/>
  <c r="D62" i="17"/>
  <c r="C62" i="17" s="1"/>
  <c r="D63" i="17"/>
  <c r="C63" i="17" s="1"/>
  <c r="D64" i="17"/>
  <c r="C64" i="17" s="1"/>
  <c r="D65" i="17"/>
  <c r="C65" i="17" s="1"/>
  <c r="D66" i="17"/>
  <c r="C66" i="17" s="1"/>
  <c r="D67" i="17"/>
  <c r="C67" i="17" s="1"/>
  <c r="D68" i="17"/>
  <c r="C68" i="17" s="1"/>
  <c r="D69" i="17"/>
  <c r="C69" i="17" s="1"/>
  <c r="D70" i="17"/>
  <c r="C70" i="17" s="1"/>
  <c r="D71" i="17"/>
  <c r="C71" i="17" s="1"/>
  <c r="D72" i="17"/>
  <c r="C72" i="17" s="1"/>
  <c r="D73" i="17"/>
  <c r="C73" i="17" s="1"/>
  <c r="D74" i="17"/>
  <c r="C74" i="17" s="1"/>
  <c r="D75" i="17"/>
  <c r="C75" i="17" s="1"/>
  <c r="D76" i="17"/>
  <c r="C76" i="17" s="1"/>
  <c r="D77" i="17"/>
  <c r="C77" i="17" s="1"/>
  <c r="D78" i="17"/>
  <c r="C78" i="17" s="1"/>
  <c r="D79" i="17"/>
  <c r="C79" i="17" s="1"/>
  <c r="D80" i="17"/>
  <c r="C80" i="17" s="1"/>
  <c r="D81" i="17"/>
  <c r="C81" i="17" s="1"/>
  <c r="D82" i="17"/>
  <c r="C82" i="17" s="1"/>
  <c r="D83" i="17"/>
  <c r="C83" i="17" s="1"/>
  <c r="D84" i="17"/>
  <c r="C84" i="17" s="1"/>
  <c r="D85" i="17"/>
  <c r="C85" i="17" s="1"/>
  <c r="D86" i="17"/>
  <c r="C86" i="17" s="1"/>
  <c r="D87" i="17"/>
  <c r="C87" i="17" s="1"/>
  <c r="D88" i="17"/>
  <c r="C88" i="17" s="1"/>
  <c r="D89" i="17"/>
  <c r="C89" i="17" s="1"/>
  <c r="D90" i="17"/>
  <c r="C90" i="17" s="1"/>
  <c r="D91" i="17"/>
  <c r="C91" i="17" s="1"/>
  <c r="D92" i="17"/>
  <c r="C92" i="17" s="1"/>
  <c r="D93" i="17"/>
  <c r="C93" i="17" s="1"/>
  <c r="D94" i="17"/>
  <c r="C94" i="17" s="1"/>
  <c r="D95" i="17"/>
  <c r="C95" i="17" s="1"/>
  <c r="D96" i="17"/>
  <c r="C96" i="17" s="1"/>
  <c r="D97" i="17"/>
  <c r="C97" i="17" s="1"/>
  <c r="D98" i="17"/>
  <c r="C98" i="17" s="1"/>
  <c r="D99" i="17"/>
  <c r="C99" i="17" s="1"/>
  <c r="D100" i="17"/>
  <c r="C100" i="17" s="1"/>
  <c r="D101" i="17"/>
  <c r="C101" i="17" s="1"/>
  <c r="D102" i="17"/>
  <c r="C102" i="17" s="1"/>
  <c r="D103" i="17"/>
  <c r="C103" i="17" s="1"/>
  <c r="D104" i="17"/>
  <c r="C104" i="17" s="1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97" i="17"/>
  <c r="G98" i="17"/>
  <c r="G99" i="17"/>
  <c r="G100" i="17"/>
  <c r="G101" i="17"/>
  <c r="G102" i="17"/>
  <c r="G103" i="17"/>
  <c r="G104" i="17"/>
  <c r="S104" i="17"/>
  <c r="S103" i="17"/>
  <c r="S102" i="17"/>
  <c r="S101" i="17"/>
  <c r="S99" i="17"/>
  <c r="S97" i="17"/>
  <c r="S96" i="17"/>
  <c r="S95" i="17"/>
  <c r="S94" i="17"/>
  <c r="S91" i="17"/>
  <c r="S90" i="17"/>
  <c r="S89" i="17"/>
  <c r="S87" i="17"/>
  <c r="S86" i="17"/>
  <c r="S85" i="17"/>
  <c r="S84" i="17"/>
  <c r="S83" i="17"/>
  <c r="S82" i="17"/>
  <c r="S81" i="17"/>
  <c r="S80" i="17"/>
  <c r="S79" i="17"/>
  <c r="S78" i="17"/>
  <c r="S77" i="17"/>
  <c r="S76" i="17"/>
  <c r="S75" i="17"/>
  <c r="S74" i="17"/>
  <c r="S73" i="17"/>
  <c r="S72" i="17"/>
  <c r="S71" i="17"/>
  <c r="S70" i="17"/>
  <c r="S69" i="17"/>
  <c r="S68" i="17"/>
  <c r="S67" i="17"/>
  <c r="S66" i="17"/>
  <c r="S65" i="17"/>
  <c r="S64" i="17"/>
  <c r="S63" i="17"/>
  <c r="S61" i="17"/>
  <c r="S60" i="17"/>
  <c r="S59" i="17"/>
  <c r="S58" i="17"/>
  <c r="S57" i="17"/>
  <c r="S56" i="17"/>
  <c r="S55" i="17"/>
  <c r="S54" i="17"/>
  <c r="S53" i="17"/>
  <c r="S50" i="17"/>
  <c r="S46" i="17"/>
  <c r="S45" i="17"/>
  <c r="S44" i="17"/>
  <c r="S43" i="17"/>
  <c r="S42" i="17"/>
  <c r="S41" i="17"/>
  <c r="S39" i="17"/>
  <c r="S38" i="17"/>
  <c r="S37" i="17"/>
  <c r="S36" i="17"/>
  <c r="S35" i="17"/>
  <c r="S34" i="17"/>
  <c r="S31" i="17"/>
  <c r="S30" i="17"/>
  <c r="S28" i="17"/>
  <c r="S27" i="17"/>
  <c r="S25" i="17"/>
  <c r="S24" i="17"/>
  <c r="S22" i="17"/>
  <c r="S21" i="17"/>
  <c r="S19" i="17"/>
  <c r="S18" i="17"/>
  <c r="S17" i="17"/>
  <c r="S16" i="17"/>
  <c r="C43" i="3" s="1"/>
  <c r="L15" i="2"/>
  <c r="D10" i="6" l="1"/>
  <c r="F10" i="6"/>
  <c r="G10" i="18"/>
  <c r="E10" i="6"/>
  <c r="BZ82" i="6"/>
  <c r="BZ42" i="18"/>
  <c r="BZ99" i="6"/>
  <c r="BZ20" i="18"/>
  <c r="BZ69" i="6"/>
  <c r="BZ47" i="18"/>
  <c r="BZ27" i="6"/>
  <c r="BZ97" i="18"/>
  <c r="AG95" i="18"/>
  <c r="AG71" i="6"/>
  <c r="AB76" i="5"/>
  <c r="AH8" i="6"/>
  <c r="AI8" i="6" s="1"/>
  <c r="AJ8" i="6" s="1"/>
  <c r="AK8" i="6" s="1"/>
  <c r="AL8" i="6" s="1"/>
  <c r="AM8" i="6" s="1"/>
  <c r="AN8" i="6" s="1"/>
  <c r="AO8" i="6" s="1"/>
  <c r="AP8" i="6" s="1"/>
  <c r="AQ8" i="6" s="1"/>
  <c r="AR8" i="6" s="1"/>
  <c r="AS8" i="6" s="1"/>
  <c r="AT8" i="6" s="1"/>
  <c r="AU8" i="6" s="1"/>
  <c r="AV8" i="6" s="1"/>
  <c r="AW8" i="6" s="1"/>
  <c r="AX8" i="6" s="1"/>
  <c r="AY8" i="6" s="1"/>
  <c r="AZ8" i="6" s="1"/>
  <c r="BA8" i="6" s="1"/>
  <c r="BB8" i="6" s="1"/>
  <c r="BC8" i="6" s="1"/>
  <c r="BD8" i="6" s="1"/>
  <c r="BZ94" i="6"/>
  <c r="BZ19" i="18"/>
  <c r="BZ64" i="6"/>
  <c r="BZ94" i="18"/>
  <c r="BZ52" i="6"/>
  <c r="BZ75" i="18"/>
  <c r="BZ34" i="6"/>
  <c r="BZ74" i="18"/>
  <c r="BZ87" i="6"/>
  <c r="BZ15" i="18"/>
  <c r="BZ75" i="6"/>
  <c r="BZ88" i="18"/>
  <c r="BZ57" i="6"/>
  <c r="BZ80" i="18"/>
  <c r="BZ39" i="6"/>
  <c r="BZ78" i="18"/>
  <c r="BZ15" i="6"/>
  <c r="BZ44" i="18"/>
  <c r="Z85" i="18"/>
  <c r="Z97" i="6"/>
  <c r="AB102" i="2"/>
  <c r="Z62" i="18"/>
  <c r="Z84" i="6"/>
  <c r="AB89" i="2"/>
  <c r="Z87" i="18"/>
  <c r="Z72" i="6"/>
  <c r="AB77" i="2"/>
  <c r="Z83" i="18"/>
  <c r="Z60" i="6"/>
  <c r="AB65" i="2"/>
  <c r="Z64" i="18"/>
  <c r="Z48" i="6"/>
  <c r="AB53" i="2"/>
  <c r="Z46" i="18"/>
  <c r="Z35" i="6"/>
  <c r="AB40" i="2"/>
  <c r="Z25" i="18"/>
  <c r="Z18" i="6"/>
  <c r="AB23" i="2"/>
  <c r="AG96" i="6"/>
  <c r="AG22" i="18"/>
  <c r="AB101" i="5"/>
  <c r="AG43" i="18"/>
  <c r="AG83" i="6"/>
  <c r="AB88" i="5"/>
  <c r="AG57" i="18"/>
  <c r="AG65" i="6"/>
  <c r="AB70" i="5"/>
  <c r="AG33" i="18"/>
  <c r="AG53" i="6"/>
  <c r="AB58" i="5"/>
  <c r="AG47" i="6"/>
  <c r="AG14" i="18"/>
  <c r="AB52" i="5"/>
  <c r="AG74" i="18"/>
  <c r="AG34" i="6"/>
  <c r="AB39" i="5"/>
  <c r="AG50" i="18"/>
  <c r="AG17" i="6"/>
  <c r="AB22" i="5"/>
  <c r="BZ92" i="6"/>
  <c r="BZ24" i="18"/>
  <c r="BZ62" i="6"/>
  <c r="BZ93" i="18"/>
  <c r="BZ38" i="6"/>
  <c r="BZ77" i="18"/>
  <c r="Z96" i="6"/>
  <c r="Z22" i="18"/>
  <c r="AB101" i="2"/>
  <c r="Z38" i="18"/>
  <c r="Z89" i="6"/>
  <c r="AB94" i="2"/>
  <c r="Z43" i="18"/>
  <c r="Z83" i="6"/>
  <c r="AB88" i="2"/>
  <c r="Z95" i="18"/>
  <c r="Z71" i="6"/>
  <c r="AB76" i="2"/>
  <c r="Z57" i="18"/>
  <c r="Z65" i="6"/>
  <c r="AB70" i="2"/>
  <c r="Z35" i="18"/>
  <c r="Z59" i="6"/>
  <c r="AB64" i="2"/>
  <c r="Z33" i="18"/>
  <c r="Z53" i="6"/>
  <c r="AB58" i="2"/>
  <c r="Z14" i="18"/>
  <c r="Z47" i="6"/>
  <c r="AB52" i="2"/>
  <c r="Z68" i="18"/>
  <c r="Z40" i="6"/>
  <c r="AB45" i="2"/>
  <c r="Z74" i="18"/>
  <c r="Z34" i="6"/>
  <c r="AB39" i="2"/>
  <c r="Z21" i="18"/>
  <c r="Z28" i="6"/>
  <c r="AB33" i="2"/>
  <c r="Z50" i="18"/>
  <c r="Z17" i="6"/>
  <c r="AB22" i="2"/>
  <c r="AG82" i="18"/>
  <c r="AG11" i="6"/>
  <c r="AB16" i="5"/>
  <c r="AG54" i="18"/>
  <c r="AG95" i="6"/>
  <c r="AB100" i="5"/>
  <c r="AG23" i="18"/>
  <c r="AG88" i="6"/>
  <c r="AB93" i="5"/>
  <c r="AG42" i="18"/>
  <c r="AG82" i="6"/>
  <c r="AB87" i="5"/>
  <c r="AG76" i="18"/>
  <c r="AG76" i="6"/>
  <c r="AB81" i="5"/>
  <c r="AG52" i="18"/>
  <c r="AG70" i="6"/>
  <c r="AB75" i="5"/>
  <c r="AG94" i="18"/>
  <c r="AG64" i="6"/>
  <c r="AB69" i="5"/>
  <c r="AG34" i="18"/>
  <c r="AG58" i="6"/>
  <c r="AB63" i="5"/>
  <c r="AG75" i="18"/>
  <c r="AG52" i="6"/>
  <c r="AB57" i="5"/>
  <c r="AG12" i="18"/>
  <c r="AG46" i="6"/>
  <c r="AB51" i="5"/>
  <c r="AG70" i="18"/>
  <c r="AG33" i="6"/>
  <c r="AB38" i="5"/>
  <c r="AG91" i="18"/>
  <c r="AG26" i="6"/>
  <c r="AB31" i="5"/>
  <c r="AG30" i="18"/>
  <c r="AG16" i="6"/>
  <c r="AB21" i="5"/>
  <c r="BZ97" i="6"/>
  <c r="BZ85" i="18"/>
  <c r="BZ91" i="6"/>
  <c r="BZ81" i="18"/>
  <c r="BZ85" i="6"/>
  <c r="BZ92" i="18"/>
  <c r="BZ79" i="6"/>
  <c r="BZ41" i="18"/>
  <c r="BZ73" i="6"/>
  <c r="BZ16" i="18"/>
  <c r="BZ67" i="6"/>
  <c r="BZ36" i="18"/>
  <c r="BZ61" i="6"/>
  <c r="BZ27" i="18"/>
  <c r="BZ55" i="6"/>
  <c r="BZ61" i="18"/>
  <c r="BZ49" i="6"/>
  <c r="BZ32" i="18"/>
  <c r="BZ43" i="6"/>
  <c r="BZ40" i="18"/>
  <c r="BZ37" i="6"/>
  <c r="BZ28" i="18"/>
  <c r="BZ31" i="6"/>
  <c r="BZ56" i="18"/>
  <c r="BZ25" i="6"/>
  <c r="BZ67" i="18"/>
  <c r="BZ19" i="6"/>
  <c r="BZ45" i="18"/>
  <c r="BZ13" i="6"/>
  <c r="BZ69" i="18"/>
  <c r="Z54" i="18"/>
  <c r="Z95" i="6"/>
  <c r="AB100" i="2"/>
  <c r="Z23" i="18"/>
  <c r="Z88" i="6"/>
  <c r="AB93" i="2"/>
  <c r="Z42" i="18"/>
  <c r="Z82" i="6"/>
  <c r="AB87" i="2"/>
  <c r="Z76" i="18"/>
  <c r="Z76" i="6"/>
  <c r="AB81" i="2"/>
  <c r="Z52" i="18"/>
  <c r="Z70" i="6"/>
  <c r="AB75" i="2"/>
  <c r="Z94" i="18"/>
  <c r="Z64" i="6"/>
  <c r="AB69" i="2"/>
  <c r="Z34" i="18"/>
  <c r="Z58" i="6"/>
  <c r="AB63" i="2"/>
  <c r="Z75" i="18"/>
  <c r="Z52" i="6"/>
  <c r="AB57" i="2"/>
  <c r="Z46" i="6"/>
  <c r="Z12" i="18"/>
  <c r="AB51" i="2"/>
  <c r="Z78" i="18"/>
  <c r="Z39" i="6"/>
  <c r="AB44" i="2"/>
  <c r="Z70" i="18"/>
  <c r="Z33" i="6"/>
  <c r="AB38" i="2"/>
  <c r="Z91" i="18"/>
  <c r="Z26" i="6"/>
  <c r="AB31" i="2"/>
  <c r="Z30" i="18"/>
  <c r="Z16" i="6"/>
  <c r="AB21" i="2"/>
  <c r="AG19" i="18"/>
  <c r="AG94" i="6"/>
  <c r="AB99" i="5"/>
  <c r="AG15" i="18"/>
  <c r="AG87" i="6"/>
  <c r="AB92" i="5"/>
  <c r="AG59" i="18"/>
  <c r="AG81" i="6"/>
  <c r="AB86" i="5"/>
  <c r="AG88" i="18"/>
  <c r="AG75" i="6"/>
  <c r="AB80" i="5"/>
  <c r="AG47" i="18"/>
  <c r="AG69" i="6"/>
  <c r="AB74" i="5"/>
  <c r="AG72" i="18"/>
  <c r="AG63" i="6"/>
  <c r="AB68" i="5"/>
  <c r="AG80" i="18"/>
  <c r="AG57" i="6"/>
  <c r="AB62" i="5"/>
  <c r="AG60" i="18"/>
  <c r="AG51" i="6"/>
  <c r="AB56" i="5"/>
  <c r="AG89" i="18"/>
  <c r="AG45" i="6"/>
  <c r="AB50" i="5"/>
  <c r="AG77" i="18"/>
  <c r="AG38" i="6"/>
  <c r="AB43" i="5"/>
  <c r="AG32" i="6"/>
  <c r="AG26" i="18"/>
  <c r="AB37" i="5"/>
  <c r="AG67" i="18"/>
  <c r="AG25" i="6"/>
  <c r="AB30" i="5"/>
  <c r="AG44" i="18"/>
  <c r="AG15" i="6"/>
  <c r="AB20" i="5"/>
  <c r="BZ93" i="6"/>
  <c r="BZ99" i="18"/>
  <c r="BZ45" i="6"/>
  <c r="BZ89" i="18"/>
  <c r="BZ86" i="6"/>
  <c r="BZ53" i="18"/>
  <c r="BZ68" i="6"/>
  <c r="BZ37" i="18"/>
  <c r="BZ50" i="6"/>
  <c r="BZ29" i="18"/>
  <c r="BZ32" i="6"/>
  <c r="BZ26" i="18"/>
  <c r="BZ26" i="6"/>
  <c r="BZ91" i="18"/>
  <c r="BZ14" i="6"/>
  <c r="BZ58" i="18"/>
  <c r="AG78" i="18"/>
  <c r="AG39" i="6"/>
  <c r="AB44" i="5"/>
  <c r="X10" i="18"/>
  <c r="X10" i="6"/>
  <c r="Q15" i="2"/>
  <c r="BZ84" i="6"/>
  <c r="BZ62" i="18"/>
  <c r="BZ72" i="6"/>
  <c r="BZ87" i="18"/>
  <c r="BZ60" i="6"/>
  <c r="BZ83" i="18"/>
  <c r="BZ42" i="6"/>
  <c r="BZ31" i="18"/>
  <c r="BZ30" i="6"/>
  <c r="BZ63" i="18"/>
  <c r="BZ18" i="6"/>
  <c r="BZ25" i="18"/>
  <c r="BZ12" i="6"/>
  <c r="BZ86" i="18"/>
  <c r="Z82" i="18"/>
  <c r="Z11" i="6"/>
  <c r="Z19" i="18"/>
  <c r="Z94" i="6"/>
  <c r="AB99" i="2"/>
  <c r="Z15" i="18"/>
  <c r="Z87" i="6"/>
  <c r="AB92" i="2"/>
  <c r="Z59" i="18"/>
  <c r="Z81" i="6"/>
  <c r="AB86" i="2"/>
  <c r="Z88" i="18"/>
  <c r="Z75" i="6"/>
  <c r="AB80" i="2"/>
  <c r="Z47" i="18"/>
  <c r="Z69" i="6"/>
  <c r="AB74" i="2"/>
  <c r="Z72" i="18"/>
  <c r="Z63" i="6"/>
  <c r="AB68" i="2"/>
  <c r="Z80" i="18"/>
  <c r="Z57" i="6"/>
  <c r="AB62" i="2"/>
  <c r="Z60" i="18"/>
  <c r="Z51" i="6"/>
  <c r="AB56" i="2"/>
  <c r="Z89" i="18"/>
  <c r="Z45" i="6"/>
  <c r="AB50" i="2"/>
  <c r="Z77" i="18"/>
  <c r="Z38" i="6"/>
  <c r="AB43" i="2"/>
  <c r="Z32" i="6"/>
  <c r="Z26" i="18"/>
  <c r="AB37" i="2"/>
  <c r="Z67" i="18"/>
  <c r="Z25" i="6"/>
  <c r="AB30" i="2"/>
  <c r="Z44" i="18"/>
  <c r="Z15" i="6"/>
  <c r="AB20" i="2"/>
  <c r="AG20" i="18"/>
  <c r="AG99" i="6"/>
  <c r="AB104" i="5"/>
  <c r="AG24" i="18"/>
  <c r="AG92" i="6"/>
  <c r="AB97" i="5"/>
  <c r="AG53" i="18"/>
  <c r="AG86" i="6"/>
  <c r="AB91" i="5"/>
  <c r="AG66" i="18"/>
  <c r="AG80" i="6"/>
  <c r="AB85" i="5"/>
  <c r="AG90" i="18"/>
  <c r="AG74" i="6"/>
  <c r="AB79" i="5"/>
  <c r="AG37" i="18"/>
  <c r="AG68" i="6"/>
  <c r="AB73" i="5"/>
  <c r="AG93" i="18"/>
  <c r="AG62" i="6"/>
  <c r="AB67" i="5"/>
  <c r="AG79" i="18"/>
  <c r="AG56" i="6"/>
  <c r="AB61" i="5"/>
  <c r="AG29" i="18"/>
  <c r="AG50" i="6"/>
  <c r="AB55" i="5"/>
  <c r="AG40" i="18"/>
  <c r="AG43" i="6"/>
  <c r="AB48" i="5"/>
  <c r="AG28" i="18"/>
  <c r="AG37" i="6"/>
  <c r="AB42" i="5"/>
  <c r="AG56" i="18"/>
  <c r="AG31" i="6"/>
  <c r="AB36" i="5"/>
  <c r="AG73" i="18"/>
  <c r="AG20" i="6"/>
  <c r="AB25" i="5"/>
  <c r="AG58" i="18"/>
  <c r="AG14" i="6"/>
  <c r="AB19" i="5"/>
  <c r="BZ88" i="6"/>
  <c r="BZ23" i="18"/>
  <c r="BZ70" i="6"/>
  <c r="BZ52" i="18"/>
  <c r="BZ58" i="6"/>
  <c r="BZ34" i="18"/>
  <c r="BZ40" i="6"/>
  <c r="BZ68" i="18"/>
  <c r="BZ28" i="6"/>
  <c r="BZ21" i="18"/>
  <c r="BZ16" i="6"/>
  <c r="BZ30" i="18"/>
  <c r="Y10" i="6"/>
  <c r="Y10" i="18"/>
  <c r="BZ81" i="6"/>
  <c r="BZ59" i="18"/>
  <c r="BZ63" i="6"/>
  <c r="BZ72" i="18"/>
  <c r="BZ51" i="6"/>
  <c r="BZ60" i="18"/>
  <c r="BZ33" i="6"/>
  <c r="BZ70" i="18"/>
  <c r="BZ21" i="6"/>
  <c r="BZ11" i="18"/>
  <c r="Z65" i="18"/>
  <c r="Z90" i="6"/>
  <c r="AB95" i="2"/>
  <c r="Z39" i="18"/>
  <c r="Z78" i="6"/>
  <c r="AB83" i="2"/>
  <c r="Z49" i="18"/>
  <c r="Z66" i="6"/>
  <c r="AB71" i="2"/>
  <c r="Z48" i="18"/>
  <c r="Z54" i="6"/>
  <c r="AB59" i="2"/>
  <c r="Z18" i="18"/>
  <c r="AB46" i="2"/>
  <c r="Z41" i="6"/>
  <c r="Z84" i="18"/>
  <c r="Z29" i="6"/>
  <c r="AB34" i="2"/>
  <c r="Z86" i="18"/>
  <c r="Z12" i="6"/>
  <c r="AB17" i="2"/>
  <c r="AG38" i="18"/>
  <c r="AG89" i="6"/>
  <c r="AB94" i="5"/>
  <c r="AG71" i="18"/>
  <c r="AG77" i="6"/>
  <c r="AB82" i="5"/>
  <c r="AG35" i="18"/>
  <c r="AG59" i="6"/>
  <c r="AB64" i="5"/>
  <c r="AG68" i="18"/>
  <c r="AG40" i="6"/>
  <c r="AB45" i="5"/>
  <c r="AG21" i="18"/>
  <c r="AG28" i="6"/>
  <c r="AB33" i="5"/>
  <c r="BZ98" i="6"/>
  <c r="BZ51" i="18"/>
  <c r="BZ80" i="6"/>
  <c r="BZ66" i="18"/>
  <c r="BZ74" i="6"/>
  <c r="BZ90" i="18"/>
  <c r="BZ56" i="6"/>
  <c r="BZ79" i="18"/>
  <c r="BZ44" i="6"/>
  <c r="BZ98" i="18"/>
  <c r="BZ20" i="6"/>
  <c r="BZ73" i="18"/>
  <c r="Z71" i="18"/>
  <c r="Z77" i="6"/>
  <c r="AB82" i="2"/>
  <c r="BZ96" i="6"/>
  <c r="BZ22" i="18"/>
  <c r="BZ90" i="6"/>
  <c r="BZ65" i="18"/>
  <c r="BZ78" i="6"/>
  <c r="BZ39" i="18"/>
  <c r="BZ66" i="6"/>
  <c r="BZ49" i="18"/>
  <c r="BZ54" i="6"/>
  <c r="BZ48" i="18"/>
  <c r="BZ48" i="6"/>
  <c r="BZ64" i="18"/>
  <c r="BZ36" i="6"/>
  <c r="BZ17" i="18"/>
  <c r="BZ24" i="6"/>
  <c r="BZ96" i="18"/>
  <c r="BZ95" i="6"/>
  <c r="BZ54" i="18"/>
  <c r="BZ89" i="6"/>
  <c r="BZ38" i="18"/>
  <c r="BZ83" i="6"/>
  <c r="BZ43" i="18"/>
  <c r="BZ77" i="6"/>
  <c r="BZ71" i="18"/>
  <c r="BZ71" i="6"/>
  <c r="BZ95" i="18"/>
  <c r="BZ65" i="6"/>
  <c r="BZ57" i="18"/>
  <c r="BZ59" i="6"/>
  <c r="BZ35" i="18"/>
  <c r="BZ53" i="6"/>
  <c r="BZ33" i="18"/>
  <c r="BZ47" i="6"/>
  <c r="BZ14" i="18"/>
  <c r="BZ41" i="6"/>
  <c r="BZ18" i="18"/>
  <c r="BZ35" i="6"/>
  <c r="BZ46" i="18"/>
  <c r="BZ29" i="6"/>
  <c r="BZ84" i="18"/>
  <c r="BZ23" i="6"/>
  <c r="BZ55" i="18"/>
  <c r="BZ17" i="6"/>
  <c r="BZ50" i="18"/>
  <c r="Z20" i="18"/>
  <c r="Z99" i="6"/>
  <c r="AB104" i="2"/>
  <c r="Z24" i="18"/>
  <c r="Z92" i="6"/>
  <c r="AB97" i="2"/>
  <c r="Z53" i="18"/>
  <c r="Z86" i="6"/>
  <c r="AB91" i="2"/>
  <c r="Z66" i="18"/>
  <c r="Z80" i="6"/>
  <c r="AB85" i="2"/>
  <c r="Z90" i="18"/>
  <c r="Z74" i="6"/>
  <c r="AB79" i="2"/>
  <c r="Z37" i="18"/>
  <c r="Z68" i="6"/>
  <c r="AB73" i="2"/>
  <c r="Z93" i="18"/>
  <c r="Z62" i="6"/>
  <c r="AB67" i="2"/>
  <c r="Z79" i="18"/>
  <c r="Z56" i="6"/>
  <c r="AB61" i="2"/>
  <c r="Z29" i="18"/>
  <c r="Z50" i="6"/>
  <c r="AB55" i="2"/>
  <c r="Z40" i="18"/>
  <c r="Z43" i="6"/>
  <c r="AB48" i="2"/>
  <c r="Z28" i="18"/>
  <c r="Z37" i="6"/>
  <c r="AB42" i="2"/>
  <c r="Z56" i="18"/>
  <c r="Z31" i="6"/>
  <c r="AB36" i="2"/>
  <c r="Z73" i="18"/>
  <c r="Z20" i="6"/>
  <c r="AB25" i="2"/>
  <c r="Z58" i="18"/>
  <c r="Z14" i="6"/>
  <c r="AB19" i="2"/>
  <c r="AG51" i="18"/>
  <c r="AG98" i="6"/>
  <c r="AB103" i="5"/>
  <c r="AG81" i="18"/>
  <c r="AG91" i="6"/>
  <c r="AB96" i="5"/>
  <c r="AG92" i="18"/>
  <c r="AG85" i="6"/>
  <c r="AB90" i="5"/>
  <c r="AG41" i="18"/>
  <c r="AG79" i="6"/>
  <c r="AB84" i="5"/>
  <c r="AG16" i="18"/>
  <c r="AG73" i="6"/>
  <c r="AB78" i="5"/>
  <c r="AG36" i="18"/>
  <c r="AG67" i="6"/>
  <c r="AB72" i="5"/>
  <c r="AG27" i="18"/>
  <c r="AG61" i="6"/>
  <c r="AB66" i="5"/>
  <c r="AG61" i="18"/>
  <c r="AG55" i="6"/>
  <c r="AB60" i="5"/>
  <c r="AG32" i="18"/>
  <c r="AG49" i="6"/>
  <c r="AB54" i="5"/>
  <c r="AG31" i="18"/>
  <c r="AG42" i="6"/>
  <c r="AB47" i="5"/>
  <c r="AG17" i="18"/>
  <c r="AG36" i="6"/>
  <c r="AB41" i="5"/>
  <c r="AG63" i="18"/>
  <c r="AG30" i="6"/>
  <c r="AB35" i="5"/>
  <c r="AG45" i="18"/>
  <c r="AG19" i="6"/>
  <c r="AB24" i="5"/>
  <c r="AG69" i="18"/>
  <c r="AG13" i="6"/>
  <c r="AB18" i="5"/>
  <c r="BZ76" i="6"/>
  <c r="BZ76" i="18"/>
  <c r="BZ46" i="6"/>
  <c r="BZ12" i="18"/>
  <c r="BZ22" i="6"/>
  <c r="BZ13" i="18"/>
  <c r="Z51" i="18"/>
  <c r="Z98" i="6"/>
  <c r="AB103" i="2"/>
  <c r="Z81" i="18"/>
  <c r="Z91" i="6"/>
  <c r="AB96" i="2"/>
  <c r="Z92" i="18"/>
  <c r="Z85" i="6"/>
  <c r="AB90" i="2"/>
  <c r="Z41" i="18"/>
  <c r="Z79" i="6"/>
  <c r="AB84" i="2"/>
  <c r="Z16" i="18"/>
  <c r="Z73" i="6"/>
  <c r="AB78" i="2"/>
  <c r="Z36" i="18"/>
  <c r="Z67" i="6"/>
  <c r="AB72" i="2"/>
  <c r="Z27" i="18"/>
  <c r="Z61" i="6"/>
  <c r="AB66" i="2"/>
  <c r="Z61" i="18"/>
  <c r="Z55" i="6"/>
  <c r="AB60" i="2"/>
  <c r="Z32" i="18"/>
  <c r="Z49" i="6"/>
  <c r="AB54" i="2"/>
  <c r="Z31" i="18"/>
  <c r="Z42" i="6"/>
  <c r="AB47" i="2"/>
  <c r="Z17" i="18"/>
  <c r="Z36" i="6"/>
  <c r="AB41" i="2"/>
  <c r="Z63" i="18"/>
  <c r="Z30" i="6"/>
  <c r="AB35" i="2"/>
  <c r="Z45" i="18"/>
  <c r="Z19" i="6"/>
  <c r="AB24" i="2"/>
  <c r="Z69" i="18"/>
  <c r="Z13" i="6"/>
  <c r="AB18" i="2"/>
  <c r="AG85" i="18"/>
  <c r="AG97" i="6"/>
  <c r="AB102" i="5"/>
  <c r="AG65" i="18"/>
  <c r="AG90" i="6"/>
  <c r="AB95" i="5"/>
  <c r="AG62" i="18"/>
  <c r="AG84" i="6"/>
  <c r="AB89" i="5"/>
  <c r="AG39" i="18"/>
  <c r="AG78" i="6"/>
  <c r="AB83" i="5"/>
  <c r="AG87" i="18"/>
  <c r="AG72" i="6"/>
  <c r="AB77" i="5"/>
  <c r="AG49" i="18"/>
  <c r="AG66" i="6"/>
  <c r="AB71" i="5"/>
  <c r="AG83" i="18"/>
  <c r="AG60" i="6"/>
  <c r="AB65" i="5"/>
  <c r="AG48" i="18"/>
  <c r="AG54" i="6"/>
  <c r="AB59" i="5"/>
  <c r="AG64" i="18"/>
  <c r="AG48" i="6"/>
  <c r="AB53" i="5"/>
  <c r="AG18" i="18"/>
  <c r="AG41" i="6"/>
  <c r="AB46" i="5"/>
  <c r="AG46" i="18"/>
  <c r="AG35" i="6"/>
  <c r="AB40" i="5"/>
  <c r="AG84" i="18"/>
  <c r="AG29" i="6"/>
  <c r="AB34" i="5"/>
  <c r="AG25" i="18"/>
  <c r="AG18" i="6"/>
  <c r="AB23" i="5"/>
  <c r="AG86" i="18"/>
  <c r="AG12" i="6"/>
  <c r="AB17" i="5"/>
  <c r="R15" i="2"/>
  <c r="S33" i="17"/>
  <c r="W10" i="18" l="1"/>
  <c r="W10" i="6"/>
  <c r="Z10" i="6"/>
  <c r="Z10" i="18"/>
  <c r="R10" i="2"/>
  <c r="R8" i="2" s="1"/>
  <c r="G30" i="2" s="1"/>
  <c r="G39" i="2" l="1"/>
  <c r="G85" i="2"/>
  <c r="G42" i="2"/>
  <c r="G67" i="2"/>
  <c r="G99" i="2"/>
  <c r="G103" i="2"/>
  <c r="G57" i="2"/>
  <c r="G71" i="2"/>
  <c r="G89" i="2"/>
  <c r="G37" i="2"/>
  <c r="G73" i="2"/>
  <c r="G54" i="2"/>
  <c r="G87" i="2"/>
  <c r="G35" i="2"/>
  <c r="G50" i="2"/>
  <c r="G53" i="2"/>
  <c r="G60" i="2"/>
  <c r="G74" i="2"/>
  <c r="G81" i="2"/>
  <c r="G78" i="2"/>
  <c r="G93" i="2"/>
  <c r="G97" i="2"/>
  <c r="G104" i="2"/>
  <c r="G63" i="2"/>
  <c r="G62" i="2"/>
  <c r="G95" i="2"/>
  <c r="G40" i="2"/>
  <c r="G43" i="2"/>
  <c r="G47" i="2"/>
  <c r="G65" i="2"/>
  <c r="G68" i="2"/>
  <c r="G41" i="2"/>
  <c r="G55" i="2"/>
  <c r="G94" i="2"/>
  <c r="G91" i="2"/>
  <c r="G31" i="2"/>
  <c r="G69" i="2"/>
  <c r="G100" i="2"/>
  <c r="G33" i="2"/>
  <c r="G51" i="2"/>
  <c r="G58" i="2"/>
  <c r="G72" i="2"/>
  <c r="G75" i="2"/>
  <c r="G82" i="2"/>
  <c r="G86" i="2"/>
  <c r="G90" i="2"/>
  <c r="G101" i="2"/>
  <c r="G76" i="2"/>
  <c r="G36" i="2"/>
  <c r="G77" i="2"/>
  <c r="G102" i="2"/>
  <c r="G66" i="2"/>
  <c r="G83" i="2"/>
  <c r="G38" i="2"/>
  <c r="G79" i="2"/>
  <c r="G34" i="2"/>
  <c r="G45" i="2"/>
  <c r="G52" i="2"/>
  <c r="G59" i="2"/>
  <c r="G70" i="2"/>
  <c r="G80" i="2"/>
  <c r="G92" i="2"/>
  <c r="G84" i="2"/>
  <c r="G96" i="2"/>
  <c r="G56" i="2"/>
  <c r="G44" i="2"/>
  <c r="G61" i="2"/>
  <c r="G46" i="2"/>
  <c r="G48" i="2"/>
  <c r="G64" i="2"/>
  <c r="G88" i="2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92" i="16"/>
  <c r="F93" i="16"/>
  <c r="F94" i="16"/>
  <c r="F95" i="16"/>
  <c r="F96" i="16"/>
  <c r="F97" i="16"/>
  <c r="F98" i="16"/>
  <c r="F99" i="16"/>
  <c r="F100" i="16"/>
  <c r="F101" i="16"/>
  <c r="F102" i="16"/>
  <c r="F103" i="16"/>
  <c r="F104" i="16"/>
  <c r="F16" i="16"/>
  <c r="C98" i="16"/>
  <c r="C49" i="16"/>
  <c r="C32" i="16"/>
  <c r="C29" i="16"/>
  <c r="D17" i="15"/>
  <c r="C17" i="15" s="1"/>
  <c r="F17" i="15"/>
  <c r="D18" i="15"/>
  <c r="C18" i="15" s="1"/>
  <c r="F18" i="15"/>
  <c r="D19" i="15"/>
  <c r="C19" i="15" s="1"/>
  <c r="F19" i="15"/>
  <c r="D20" i="15"/>
  <c r="C20" i="15" s="1"/>
  <c r="F20" i="15"/>
  <c r="D21" i="15"/>
  <c r="C21" i="15" s="1"/>
  <c r="F21" i="15"/>
  <c r="D22" i="15"/>
  <c r="C22" i="15" s="1"/>
  <c r="F22" i="15"/>
  <c r="D23" i="15"/>
  <c r="C23" i="15" s="1"/>
  <c r="F23" i="15"/>
  <c r="D24" i="15"/>
  <c r="C24" i="15" s="1"/>
  <c r="F24" i="15"/>
  <c r="D25" i="15"/>
  <c r="C25" i="15" s="1"/>
  <c r="F25" i="15"/>
  <c r="D26" i="15"/>
  <c r="C26" i="15" s="1"/>
  <c r="F26" i="15"/>
  <c r="D27" i="15"/>
  <c r="C27" i="15" s="1"/>
  <c r="F27" i="15"/>
  <c r="D28" i="15"/>
  <c r="C28" i="15" s="1"/>
  <c r="F28" i="15"/>
  <c r="D29" i="15"/>
  <c r="C29" i="15" s="1"/>
  <c r="F29" i="15"/>
  <c r="D30" i="15"/>
  <c r="C30" i="15" s="1"/>
  <c r="F30" i="15"/>
  <c r="D31" i="15"/>
  <c r="C31" i="15" s="1"/>
  <c r="F31" i="15"/>
  <c r="D32" i="15"/>
  <c r="C32" i="15" s="1"/>
  <c r="F32" i="15"/>
  <c r="D33" i="15"/>
  <c r="C33" i="15" s="1"/>
  <c r="F33" i="15"/>
  <c r="D34" i="15"/>
  <c r="C34" i="15" s="1"/>
  <c r="F34" i="15"/>
  <c r="D35" i="15"/>
  <c r="C35" i="15" s="1"/>
  <c r="F35" i="15"/>
  <c r="D36" i="15"/>
  <c r="C36" i="15" s="1"/>
  <c r="F36" i="15"/>
  <c r="D37" i="15"/>
  <c r="C37" i="15" s="1"/>
  <c r="F37" i="15"/>
  <c r="D38" i="15"/>
  <c r="C38" i="15" s="1"/>
  <c r="F38" i="15"/>
  <c r="D39" i="15"/>
  <c r="C39" i="15" s="1"/>
  <c r="F39" i="15"/>
  <c r="D40" i="15"/>
  <c r="C40" i="15" s="1"/>
  <c r="F40" i="15"/>
  <c r="D41" i="15"/>
  <c r="C41" i="15" s="1"/>
  <c r="F41" i="15"/>
  <c r="D42" i="15"/>
  <c r="C42" i="15" s="1"/>
  <c r="F42" i="15"/>
  <c r="D43" i="15"/>
  <c r="C43" i="15" s="1"/>
  <c r="F43" i="15"/>
  <c r="D44" i="15"/>
  <c r="C44" i="15" s="1"/>
  <c r="F44" i="15"/>
  <c r="D45" i="15"/>
  <c r="C45" i="15" s="1"/>
  <c r="F45" i="15"/>
  <c r="D46" i="15"/>
  <c r="C46" i="15" s="1"/>
  <c r="F46" i="15"/>
  <c r="D47" i="15"/>
  <c r="C47" i="15" s="1"/>
  <c r="F47" i="15"/>
  <c r="D48" i="15"/>
  <c r="C48" i="15" s="1"/>
  <c r="F48" i="15"/>
  <c r="D49" i="15"/>
  <c r="C49" i="15" s="1"/>
  <c r="F49" i="15"/>
  <c r="D50" i="15"/>
  <c r="C50" i="15" s="1"/>
  <c r="F50" i="15"/>
  <c r="D51" i="15"/>
  <c r="C51" i="15" s="1"/>
  <c r="F51" i="15"/>
  <c r="D52" i="15"/>
  <c r="C52" i="15" s="1"/>
  <c r="F52" i="15"/>
  <c r="D53" i="15"/>
  <c r="C53" i="15" s="1"/>
  <c r="F53" i="15"/>
  <c r="D54" i="15"/>
  <c r="C54" i="15" s="1"/>
  <c r="F54" i="15"/>
  <c r="D55" i="15"/>
  <c r="C55" i="15" s="1"/>
  <c r="F55" i="15"/>
  <c r="D56" i="15"/>
  <c r="C56" i="15" s="1"/>
  <c r="F56" i="15"/>
  <c r="D57" i="15"/>
  <c r="C57" i="15" s="1"/>
  <c r="F57" i="15"/>
  <c r="D58" i="15"/>
  <c r="C58" i="15" s="1"/>
  <c r="F58" i="15"/>
  <c r="D59" i="15"/>
  <c r="C59" i="15" s="1"/>
  <c r="F59" i="15"/>
  <c r="D60" i="15"/>
  <c r="C60" i="15" s="1"/>
  <c r="F60" i="15"/>
  <c r="D61" i="15"/>
  <c r="C61" i="15" s="1"/>
  <c r="F61" i="15"/>
  <c r="D62" i="15"/>
  <c r="C62" i="15" s="1"/>
  <c r="F62" i="15"/>
  <c r="D63" i="15"/>
  <c r="C63" i="15" s="1"/>
  <c r="F63" i="15"/>
  <c r="D64" i="15"/>
  <c r="C64" i="15" s="1"/>
  <c r="F64" i="15"/>
  <c r="D65" i="15"/>
  <c r="C65" i="15" s="1"/>
  <c r="F65" i="15"/>
  <c r="D66" i="15"/>
  <c r="C66" i="15" s="1"/>
  <c r="F66" i="15"/>
  <c r="D67" i="15"/>
  <c r="C67" i="15" s="1"/>
  <c r="F67" i="15"/>
  <c r="D68" i="15"/>
  <c r="C68" i="15" s="1"/>
  <c r="F68" i="15"/>
  <c r="D69" i="15"/>
  <c r="C69" i="15" s="1"/>
  <c r="F69" i="15"/>
  <c r="D70" i="15"/>
  <c r="C70" i="15" s="1"/>
  <c r="F70" i="15"/>
  <c r="D71" i="15"/>
  <c r="C71" i="15" s="1"/>
  <c r="F71" i="15"/>
  <c r="D72" i="15"/>
  <c r="C72" i="15" s="1"/>
  <c r="F72" i="15"/>
  <c r="D73" i="15"/>
  <c r="C73" i="15" s="1"/>
  <c r="F73" i="15"/>
  <c r="D74" i="15"/>
  <c r="C74" i="15" s="1"/>
  <c r="F74" i="15"/>
  <c r="D75" i="15"/>
  <c r="C75" i="15" s="1"/>
  <c r="F75" i="15"/>
  <c r="D76" i="15"/>
  <c r="C76" i="15" s="1"/>
  <c r="F76" i="15"/>
  <c r="D77" i="15"/>
  <c r="C77" i="15" s="1"/>
  <c r="F77" i="15"/>
  <c r="D78" i="15"/>
  <c r="C78" i="15" s="1"/>
  <c r="F78" i="15"/>
  <c r="D79" i="15"/>
  <c r="C79" i="15" s="1"/>
  <c r="F79" i="15"/>
  <c r="D80" i="15"/>
  <c r="C80" i="15" s="1"/>
  <c r="F80" i="15"/>
  <c r="D81" i="15"/>
  <c r="C81" i="15" s="1"/>
  <c r="F81" i="15"/>
  <c r="D82" i="15"/>
  <c r="C82" i="15" s="1"/>
  <c r="F82" i="15"/>
  <c r="D83" i="15"/>
  <c r="C83" i="15" s="1"/>
  <c r="F83" i="15"/>
  <c r="D84" i="15"/>
  <c r="C84" i="15" s="1"/>
  <c r="F84" i="15"/>
  <c r="D85" i="15"/>
  <c r="C85" i="15" s="1"/>
  <c r="F85" i="15"/>
  <c r="D86" i="15"/>
  <c r="C86" i="15" s="1"/>
  <c r="F86" i="15"/>
  <c r="D87" i="15"/>
  <c r="C87" i="15" s="1"/>
  <c r="F87" i="15"/>
  <c r="D88" i="15"/>
  <c r="C88" i="15" s="1"/>
  <c r="F88" i="15"/>
  <c r="D89" i="15"/>
  <c r="C89" i="15" s="1"/>
  <c r="F89" i="15"/>
  <c r="D90" i="15"/>
  <c r="C90" i="15" s="1"/>
  <c r="F90" i="15"/>
  <c r="D91" i="15"/>
  <c r="C91" i="15" s="1"/>
  <c r="F91" i="15"/>
  <c r="D92" i="15"/>
  <c r="C92" i="15" s="1"/>
  <c r="F92" i="15"/>
  <c r="D93" i="15"/>
  <c r="C93" i="15" s="1"/>
  <c r="F93" i="15"/>
  <c r="D94" i="15"/>
  <c r="C94" i="15" s="1"/>
  <c r="F94" i="15"/>
  <c r="D95" i="15"/>
  <c r="C95" i="15" s="1"/>
  <c r="F95" i="15"/>
  <c r="D96" i="15"/>
  <c r="C96" i="15" s="1"/>
  <c r="F96" i="15"/>
  <c r="D97" i="15"/>
  <c r="C97" i="15" s="1"/>
  <c r="F97" i="15"/>
  <c r="D98" i="15"/>
  <c r="C98" i="15" s="1"/>
  <c r="F98" i="15"/>
  <c r="D99" i="15"/>
  <c r="C99" i="15" s="1"/>
  <c r="F99" i="15"/>
  <c r="D100" i="15"/>
  <c r="C100" i="15" s="1"/>
  <c r="F100" i="15"/>
  <c r="D101" i="15"/>
  <c r="C101" i="15" s="1"/>
  <c r="F101" i="15"/>
  <c r="D102" i="15"/>
  <c r="C102" i="15" s="1"/>
  <c r="F102" i="15"/>
  <c r="D103" i="15"/>
  <c r="C103" i="15" s="1"/>
  <c r="F103" i="15"/>
  <c r="D104" i="15"/>
  <c r="C104" i="15" s="1"/>
  <c r="F104" i="15"/>
  <c r="I17" i="7"/>
  <c r="J17" i="7"/>
  <c r="I18" i="7"/>
  <c r="J18" i="7"/>
  <c r="I19" i="7"/>
  <c r="J19" i="7"/>
  <c r="I20" i="7"/>
  <c r="J20" i="7"/>
  <c r="I21" i="7"/>
  <c r="J21" i="7"/>
  <c r="I22" i="7"/>
  <c r="J22" i="7"/>
  <c r="I23" i="7"/>
  <c r="J23" i="7"/>
  <c r="I24" i="7"/>
  <c r="J24" i="7"/>
  <c r="I25" i="7"/>
  <c r="J25" i="7"/>
  <c r="I26" i="7"/>
  <c r="J26" i="7"/>
  <c r="I27" i="7"/>
  <c r="J27" i="7"/>
  <c r="I28" i="7"/>
  <c r="J28" i="7"/>
  <c r="I29" i="7"/>
  <c r="J29" i="7"/>
  <c r="I30" i="7"/>
  <c r="J30" i="7"/>
  <c r="I31" i="7"/>
  <c r="J31" i="7"/>
  <c r="I32" i="7"/>
  <c r="J32" i="7"/>
  <c r="I33" i="7"/>
  <c r="J33" i="7"/>
  <c r="I34" i="7"/>
  <c r="J34" i="7"/>
  <c r="I35" i="7"/>
  <c r="J35" i="7"/>
  <c r="I36" i="7"/>
  <c r="J36" i="7"/>
  <c r="I37" i="7"/>
  <c r="J37" i="7"/>
  <c r="I38" i="7"/>
  <c r="J38" i="7"/>
  <c r="I39" i="7"/>
  <c r="J39" i="7"/>
  <c r="I40" i="7"/>
  <c r="J40" i="7"/>
  <c r="I41" i="7"/>
  <c r="J41" i="7"/>
  <c r="I42" i="7"/>
  <c r="J42" i="7"/>
  <c r="I43" i="7"/>
  <c r="J43" i="7"/>
  <c r="I44" i="7"/>
  <c r="J44" i="7"/>
  <c r="I45" i="7"/>
  <c r="J45" i="7"/>
  <c r="I46" i="7"/>
  <c r="J46" i="7"/>
  <c r="I47" i="7"/>
  <c r="J47" i="7"/>
  <c r="I48" i="7"/>
  <c r="J48" i="7"/>
  <c r="I49" i="7"/>
  <c r="J49" i="7"/>
  <c r="I50" i="7"/>
  <c r="J50" i="7"/>
  <c r="I51" i="7"/>
  <c r="J51" i="7"/>
  <c r="I52" i="7"/>
  <c r="J52" i="7"/>
  <c r="I53" i="7"/>
  <c r="J53" i="7"/>
  <c r="I54" i="7"/>
  <c r="J54" i="7"/>
  <c r="I55" i="7"/>
  <c r="J55" i="7"/>
  <c r="I56" i="7"/>
  <c r="J56" i="7"/>
  <c r="I57" i="7"/>
  <c r="J57" i="7"/>
  <c r="I58" i="7"/>
  <c r="J58" i="7"/>
  <c r="I59" i="7"/>
  <c r="J59" i="7"/>
  <c r="I60" i="7"/>
  <c r="J60" i="7"/>
  <c r="I61" i="7"/>
  <c r="J61" i="7"/>
  <c r="I62" i="7"/>
  <c r="J62" i="7"/>
  <c r="I63" i="7"/>
  <c r="J63" i="7"/>
  <c r="I64" i="7"/>
  <c r="J64" i="7"/>
  <c r="I65" i="7"/>
  <c r="J65" i="7"/>
  <c r="I66" i="7"/>
  <c r="J66" i="7"/>
  <c r="I67" i="7"/>
  <c r="J67" i="7"/>
  <c r="I68" i="7"/>
  <c r="J68" i="7"/>
  <c r="I69" i="7"/>
  <c r="J69" i="7"/>
  <c r="I70" i="7"/>
  <c r="J70" i="7"/>
  <c r="I71" i="7"/>
  <c r="J71" i="7"/>
  <c r="I72" i="7"/>
  <c r="J72" i="7"/>
  <c r="I73" i="7"/>
  <c r="J73" i="7"/>
  <c r="I74" i="7"/>
  <c r="J74" i="7"/>
  <c r="I75" i="7"/>
  <c r="J75" i="7"/>
  <c r="I76" i="7"/>
  <c r="J76" i="7"/>
  <c r="I77" i="7"/>
  <c r="J77" i="7"/>
  <c r="I78" i="7"/>
  <c r="J78" i="7"/>
  <c r="I79" i="7"/>
  <c r="J79" i="7"/>
  <c r="I80" i="7"/>
  <c r="J80" i="7"/>
  <c r="I81" i="7"/>
  <c r="J81" i="7"/>
  <c r="I82" i="7"/>
  <c r="J82" i="7"/>
  <c r="I83" i="7"/>
  <c r="J83" i="7"/>
  <c r="I84" i="7"/>
  <c r="J84" i="7"/>
  <c r="I85" i="7"/>
  <c r="J85" i="7"/>
  <c r="I86" i="7"/>
  <c r="J86" i="7"/>
  <c r="I87" i="7"/>
  <c r="J87" i="7"/>
  <c r="I88" i="7"/>
  <c r="J88" i="7"/>
  <c r="I89" i="7"/>
  <c r="J89" i="7"/>
  <c r="I90" i="7"/>
  <c r="J90" i="7"/>
  <c r="I91" i="7"/>
  <c r="J91" i="7"/>
  <c r="I92" i="7"/>
  <c r="J92" i="7"/>
  <c r="I93" i="7"/>
  <c r="J93" i="7"/>
  <c r="I94" i="7"/>
  <c r="J94" i="7"/>
  <c r="I95" i="7"/>
  <c r="J95" i="7"/>
  <c r="I96" i="7"/>
  <c r="J96" i="7"/>
  <c r="I97" i="7"/>
  <c r="J97" i="7"/>
  <c r="I98" i="7"/>
  <c r="J98" i="7"/>
  <c r="I99" i="7"/>
  <c r="J99" i="7"/>
  <c r="I100" i="7"/>
  <c r="J100" i="7"/>
  <c r="I101" i="7"/>
  <c r="J101" i="7"/>
  <c r="I102" i="7"/>
  <c r="J102" i="7"/>
  <c r="I103" i="7"/>
  <c r="J103" i="7"/>
  <c r="I104" i="7"/>
  <c r="J104" i="7"/>
  <c r="D29" i="7"/>
  <c r="C29" i="7" s="1"/>
  <c r="D32" i="7"/>
  <c r="C32" i="7" s="1"/>
  <c r="D49" i="7"/>
  <c r="C49" i="7" s="1"/>
  <c r="D98" i="7"/>
  <c r="C98" i="7" s="1"/>
  <c r="I16" i="8"/>
  <c r="J16" i="8"/>
  <c r="I17" i="8"/>
  <c r="J17" i="8"/>
  <c r="I18" i="8"/>
  <c r="J18" i="8"/>
  <c r="I19" i="8"/>
  <c r="J19" i="8"/>
  <c r="I20" i="8"/>
  <c r="J20" i="8"/>
  <c r="I21" i="8"/>
  <c r="J21" i="8"/>
  <c r="I22" i="8"/>
  <c r="J22" i="8"/>
  <c r="I23" i="8"/>
  <c r="J23" i="8"/>
  <c r="I24" i="8"/>
  <c r="J24" i="8"/>
  <c r="I25" i="8"/>
  <c r="J25" i="8"/>
  <c r="I26" i="8"/>
  <c r="J26" i="8"/>
  <c r="I27" i="8"/>
  <c r="J27" i="8"/>
  <c r="I28" i="8"/>
  <c r="J28" i="8"/>
  <c r="I29" i="8"/>
  <c r="J29" i="8"/>
  <c r="I30" i="8"/>
  <c r="J30" i="8"/>
  <c r="I31" i="8"/>
  <c r="J31" i="8"/>
  <c r="I32" i="8"/>
  <c r="J32" i="8"/>
  <c r="I33" i="8"/>
  <c r="J33" i="8"/>
  <c r="I34" i="8"/>
  <c r="J34" i="8"/>
  <c r="I35" i="8"/>
  <c r="J35" i="8"/>
  <c r="I36" i="8"/>
  <c r="J36" i="8"/>
  <c r="I37" i="8"/>
  <c r="J37" i="8"/>
  <c r="I38" i="8"/>
  <c r="J38" i="8"/>
  <c r="I39" i="8"/>
  <c r="J39" i="8"/>
  <c r="I40" i="8"/>
  <c r="J40" i="8"/>
  <c r="I41" i="8"/>
  <c r="J41" i="8"/>
  <c r="I42" i="8"/>
  <c r="J42" i="8"/>
  <c r="I43" i="8"/>
  <c r="J43" i="8"/>
  <c r="I44" i="8"/>
  <c r="J44" i="8"/>
  <c r="I45" i="8"/>
  <c r="J45" i="8"/>
  <c r="I46" i="8"/>
  <c r="J46" i="8"/>
  <c r="I47" i="8"/>
  <c r="J47" i="8"/>
  <c r="I48" i="8"/>
  <c r="J48" i="8"/>
  <c r="I49" i="8"/>
  <c r="J49" i="8"/>
  <c r="I50" i="8"/>
  <c r="J50" i="8"/>
  <c r="I51" i="8"/>
  <c r="J51" i="8"/>
  <c r="I52" i="8"/>
  <c r="J52" i="8"/>
  <c r="I53" i="8"/>
  <c r="J53" i="8"/>
  <c r="I54" i="8"/>
  <c r="J54" i="8"/>
  <c r="I55" i="8"/>
  <c r="J55" i="8"/>
  <c r="I56" i="8"/>
  <c r="J56" i="8"/>
  <c r="I57" i="8"/>
  <c r="J57" i="8"/>
  <c r="I58" i="8"/>
  <c r="J58" i="8"/>
  <c r="I59" i="8"/>
  <c r="J59" i="8"/>
  <c r="I60" i="8"/>
  <c r="J60" i="8"/>
  <c r="I61" i="8"/>
  <c r="J61" i="8"/>
  <c r="I62" i="8"/>
  <c r="J62" i="8"/>
  <c r="I63" i="8"/>
  <c r="J63" i="8"/>
  <c r="I64" i="8"/>
  <c r="J64" i="8"/>
  <c r="I65" i="8"/>
  <c r="J65" i="8"/>
  <c r="I66" i="8"/>
  <c r="J66" i="8"/>
  <c r="I67" i="8"/>
  <c r="J67" i="8"/>
  <c r="I68" i="8"/>
  <c r="J68" i="8"/>
  <c r="I69" i="8"/>
  <c r="J69" i="8"/>
  <c r="I70" i="8"/>
  <c r="J70" i="8"/>
  <c r="I71" i="8"/>
  <c r="J71" i="8"/>
  <c r="I72" i="8"/>
  <c r="J72" i="8"/>
  <c r="I73" i="8"/>
  <c r="J73" i="8"/>
  <c r="I74" i="8"/>
  <c r="J74" i="8"/>
  <c r="I75" i="8"/>
  <c r="J75" i="8"/>
  <c r="I76" i="8"/>
  <c r="J76" i="8"/>
  <c r="I77" i="8"/>
  <c r="J77" i="8"/>
  <c r="I78" i="8"/>
  <c r="J78" i="8"/>
  <c r="I79" i="8"/>
  <c r="J79" i="8"/>
  <c r="I80" i="8"/>
  <c r="J80" i="8"/>
  <c r="I81" i="8"/>
  <c r="J81" i="8"/>
  <c r="I82" i="8"/>
  <c r="J82" i="8"/>
  <c r="I83" i="8"/>
  <c r="J83" i="8"/>
  <c r="I84" i="8"/>
  <c r="J84" i="8"/>
  <c r="I85" i="8"/>
  <c r="J85" i="8"/>
  <c r="I86" i="8"/>
  <c r="J86" i="8"/>
  <c r="I87" i="8"/>
  <c r="J87" i="8"/>
  <c r="I88" i="8"/>
  <c r="J88" i="8"/>
  <c r="I89" i="8"/>
  <c r="J89" i="8"/>
  <c r="I90" i="8"/>
  <c r="J90" i="8"/>
  <c r="I91" i="8"/>
  <c r="J91" i="8"/>
  <c r="I92" i="8"/>
  <c r="J92" i="8"/>
  <c r="I93" i="8"/>
  <c r="J93" i="8"/>
  <c r="I94" i="8"/>
  <c r="J94" i="8"/>
  <c r="I95" i="8"/>
  <c r="J95" i="8"/>
  <c r="I96" i="8"/>
  <c r="J96" i="8"/>
  <c r="I97" i="8"/>
  <c r="J97" i="8"/>
  <c r="I98" i="8"/>
  <c r="J98" i="8"/>
  <c r="I99" i="8"/>
  <c r="J99" i="8"/>
  <c r="I100" i="8"/>
  <c r="J100" i="8"/>
  <c r="I101" i="8"/>
  <c r="J101" i="8"/>
  <c r="I102" i="8"/>
  <c r="J102" i="8"/>
  <c r="I103" i="8"/>
  <c r="J103" i="8"/>
  <c r="I104" i="8"/>
  <c r="J104" i="8"/>
  <c r="D29" i="8"/>
  <c r="C29" i="8" s="1"/>
  <c r="D32" i="8"/>
  <c r="C32" i="8" s="1"/>
  <c r="D49" i="8"/>
  <c r="C49" i="8" s="1"/>
  <c r="D98" i="8"/>
  <c r="C98" i="8" s="1"/>
  <c r="K17" i="9"/>
  <c r="L17" i="9"/>
  <c r="M17" i="9"/>
  <c r="N17" i="9"/>
  <c r="O17" i="9"/>
  <c r="P17" i="9"/>
  <c r="R17" i="9"/>
  <c r="K18" i="9"/>
  <c r="L18" i="9"/>
  <c r="M18" i="9"/>
  <c r="N18" i="9"/>
  <c r="O18" i="9"/>
  <c r="P18" i="9"/>
  <c r="R18" i="9"/>
  <c r="K19" i="9"/>
  <c r="L19" i="9"/>
  <c r="M19" i="9"/>
  <c r="N19" i="9"/>
  <c r="O19" i="9"/>
  <c r="P19" i="9"/>
  <c r="R19" i="9"/>
  <c r="K20" i="9"/>
  <c r="L20" i="9"/>
  <c r="M20" i="9"/>
  <c r="N20" i="9"/>
  <c r="O20" i="9"/>
  <c r="P20" i="9"/>
  <c r="R20" i="9"/>
  <c r="K21" i="9"/>
  <c r="L21" i="9"/>
  <c r="M21" i="9"/>
  <c r="N21" i="9"/>
  <c r="O21" i="9"/>
  <c r="P21" i="9"/>
  <c r="R21" i="9"/>
  <c r="K22" i="9"/>
  <c r="L22" i="9"/>
  <c r="M22" i="9"/>
  <c r="N22" i="9"/>
  <c r="O22" i="9"/>
  <c r="P22" i="9"/>
  <c r="R22" i="9"/>
  <c r="K23" i="9"/>
  <c r="L23" i="9"/>
  <c r="M23" i="9"/>
  <c r="N23" i="9"/>
  <c r="O23" i="9"/>
  <c r="P23" i="9"/>
  <c r="R23" i="9"/>
  <c r="K24" i="9"/>
  <c r="L24" i="9"/>
  <c r="M24" i="9"/>
  <c r="N24" i="9"/>
  <c r="O24" i="9"/>
  <c r="P24" i="9"/>
  <c r="R24" i="9"/>
  <c r="K25" i="9"/>
  <c r="L25" i="9"/>
  <c r="M25" i="9"/>
  <c r="N25" i="9"/>
  <c r="O25" i="9"/>
  <c r="P25" i="9"/>
  <c r="R25" i="9"/>
  <c r="K26" i="9"/>
  <c r="L26" i="9"/>
  <c r="M26" i="9"/>
  <c r="N26" i="9"/>
  <c r="O26" i="9"/>
  <c r="P26" i="9"/>
  <c r="R26" i="9"/>
  <c r="K27" i="9"/>
  <c r="L27" i="9"/>
  <c r="M27" i="9"/>
  <c r="N27" i="9"/>
  <c r="O27" i="9"/>
  <c r="P27" i="9"/>
  <c r="R27" i="9"/>
  <c r="K28" i="9"/>
  <c r="L28" i="9"/>
  <c r="M28" i="9"/>
  <c r="N28" i="9"/>
  <c r="O28" i="9"/>
  <c r="P28" i="9"/>
  <c r="R28" i="9"/>
  <c r="K29" i="9"/>
  <c r="L29" i="9"/>
  <c r="M29" i="9"/>
  <c r="N29" i="9"/>
  <c r="O29" i="9"/>
  <c r="P29" i="9"/>
  <c r="R29" i="9"/>
  <c r="K30" i="9"/>
  <c r="L30" i="9"/>
  <c r="M30" i="9"/>
  <c r="N30" i="9"/>
  <c r="O30" i="9"/>
  <c r="P30" i="9"/>
  <c r="R30" i="9"/>
  <c r="K31" i="9"/>
  <c r="L31" i="9"/>
  <c r="M31" i="9"/>
  <c r="N31" i="9"/>
  <c r="O31" i="9"/>
  <c r="P31" i="9"/>
  <c r="R31" i="9"/>
  <c r="K32" i="9"/>
  <c r="L32" i="9"/>
  <c r="M32" i="9"/>
  <c r="N32" i="9"/>
  <c r="O32" i="9"/>
  <c r="P32" i="9"/>
  <c r="R32" i="9"/>
  <c r="K33" i="9"/>
  <c r="L33" i="9"/>
  <c r="M33" i="9"/>
  <c r="N33" i="9"/>
  <c r="O33" i="9"/>
  <c r="P33" i="9"/>
  <c r="R33" i="9"/>
  <c r="K34" i="9"/>
  <c r="L34" i="9"/>
  <c r="M34" i="9"/>
  <c r="N34" i="9"/>
  <c r="O34" i="9"/>
  <c r="P34" i="9"/>
  <c r="R34" i="9"/>
  <c r="K35" i="9"/>
  <c r="L35" i="9"/>
  <c r="M35" i="9"/>
  <c r="N35" i="9"/>
  <c r="O35" i="9"/>
  <c r="P35" i="9"/>
  <c r="R35" i="9"/>
  <c r="K36" i="9"/>
  <c r="L36" i="9"/>
  <c r="M36" i="9"/>
  <c r="N36" i="9"/>
  <c r="O36" i="9"/>
  <c r="P36" i="9"/>
  <c r="R36" i="9"/>
  <c r="K37" i="9"/>
  <c r="L37" i="9"/>
  <c r="M37" i="9"/>
  <c r="N37" i="9"/>
  <c r="O37" i="9"/>
  <c r="P37" i="9"/>
  <c r="R37" i="9"/>
  <c r="K38" i="9"/>
  <c r="L38" i="9"/>
  <c r="M38" i="9"/>
  <c r="N38" i="9"/>
  <c r="O38" i="9"/>
  <c r="P38" i="9"/>
  <c r="R38" i="9"/>
  <c r="K39" i="9"/>
  <c r="L39" i="9"/>
  <c r="M39" i="9"/>
  <c r="N39" i="9"/>
  <c r="O39" i="9"/>
  <c r="P39" i="9"/>
  <c r="R39" i="9"/>
  <c r="K40" i="9"/>
  <c r="L40" i="9"/>
  <c r="M40" i="9"/>
  <c r="N40" i="9"/>
  <c r="O40" i="9"/>
  <c r="P40" i="9"/>
  <c r="R40" i="9"/>
  <c r="K41" i="9"/>
  <c r="L41" i="9"/>
  <c r="M41" i="9"/>
  <c r="N41" i="9"/>
  <c r="O41" i="9"/>
  <c r="P41" i="9"/>
  <c r="R41" i="9"/>
  <c r="K42" i="9"/>
  <c r="L42" i="9"/>
  <c r="M42" i="9"/>
  <c r="N42" i="9"/>
  <c r="O42" i="9"/>
  <c r="P42" i="9"/>
  <c r="R42" i="9"/>
  <c r="K43" i="9"/>
  <c r="L43" i="9"/>
  <c r="M43" i="9"/>
  <c r="N43" i="9"/>
  <c r="O43" i="9"/>
  <c r="P43" i="9"/>
  <c r="R43" i="9"/>
  <c r="K44" i="9"/>
  <c r="L44" i="9"/>
  <c r="M44" i="9"/>
  <c r="N44" i="9"/>
  <c r="O44" i="9"/>
  <c r="P44" i="9"/>
  <c r="R44" i="9"/>
  <c r="K45" i="9"/>
  <c r="L45" i="9"/>
  <c r="M45" i="9"/>
  <c r="N45" i="9"/>
  <c r="O45" i="9"/>
  <c r="P45" i="9"/>
  <c r="R45" i="9"/>
  <c r="K46" i="9"/>
  <c r="L46" i="9"/>
  <c r="M46" i="9"/>
  <c r="N46" i="9"/>
  <c r="O46" i="9"/>
  <c r="P46" i="9"/>
  <c r="R46" i="9"/>
  <c r="K47" i="9"/>
  <c r="L47" i="9"/>
  <c r="M47" i="9"/>
  <c r="N47" i="9"/>
  <c r="O47" i="9"/>
  <c r="P47" i="9"/>
  <c r="R47" i="9"/>
  <c r="K48" i="9"/>
  <c r="L48" i="9"/>
  <c r="M48" i="9"/>
  <c r="N48" i="9"/>
  <c r="O48" i="9"/>
  <c r="P48" i="9"/>
  <c r="R48" i="9"/>
  <c r="K49" i="9"/>
  <c r="L49" i="9"/>
  <c r="M49" i="9"/>
  <c r="N49" i="9"/>
  <c r="O49" i="9"/>
  <c r="P49" i="9"/>
  <c r="R49" i="9"/>
  <c r="K50" i="9"/>
  <c r="L50" i="9"/>
  <c r="M50" i="9"/>
  <c r="N50" i="9"/>
  <c r="O50" i="9"/>
  <c r="P50" i="9"/>
  <c r="R50" i="9"/>
  <c r="K51" i="9"/>
  <c r="L51" i="9"/>
  <c r="M51" i="9"/>
  <c r="N51" i="9"/>
  <c r="O51" i="9"/>
  <c r="P51" i="9"/>
  <c r="R51" i="9"/>
  <c r="K52" i="9"/>
  <c r="L52" i="9"/>
  <c r="M52" i="9"/>
  <c r="N52" i="9"/>
  <c r="O52" i="9"/>
  <c r="P52" i="9"/>
  <c r="R52" i="9"/>
  <c r="K53" i="9"/>
  <c r="L53" i="9"/>
  <c r="M53" i="9"/>
  <c r="N53" i="9"/>
  <c r="O53" i="9"/>
  <c r="P53" i="9"/>
  <c r="R53" i="9"/>
  <c r="K54" i="9"/>
  <c r="L54" i="9"/>
  <c r="M54" i="9"/>
  <c r="N54" i="9"/>
  <c r="O54" i="9"/>
  <c r="P54" i="9"/>
  <c r="R54" i="9"/>
  <c r="K55" i="9"/>
  <c r="L55" i="9"/>
  <c r="M55" i="9"/>
  <c r="N55" i="9"/>
  <c r="O55" i="9"/>
  <c r="P55" i="9"/>
  <c r="R55" i="9"/>
  <c r="K56" i="9"/>
  <c r="L56" i="9"/>
  <c r="M56" i="9"/>
  <c r="N56" i="9"/>
  <c r="O56" i="9"/>
  <c r="P56" i="9"/>
  <c r="R56" i="9"/>
  <c r="K57" i="9"/>
  <c r="L57" i="9"/>
  <c r="M57" i="9"/>
  <c r="N57" i="9"/>
  <c r="O57" i="9"/>
  <c r="P57" i="9"/>
  <c r="R57" i="9"/>
  <c r="K58" i="9"/>
  <c r="L58" i="9"/>
  <c r="M58" i="9"/>
  <c r="N58" i="9"/>
  <c r="O58" i="9"/>
  <c r="P58" i="9"/>
  <c r="R58" i="9"/>
  <c r="K59" i="9"/>
  <c r="L59" i="9"/>
  <c r="M59" i="9"/>
  <c r="N59" i="9"/>
  <c r="O59" i="9"/>
  <c r="P59" i="9"/>
  <c r="R59" i="9"/>
  <c r="K60" i="9"/>
  <c r="L60" i="9"/>
  <c r="M60" i="9"/>
  <c r="N60" i="9"/>
  <c r="O60" i="9"/>
  <c r="P60" i="9"/>
  <c r="R60" i="9"/>
  <c r="K61" i="9"/>
  <c r="L61" i="9"/>
  <c r="M61" i="9"/>
  <c r="N61" i="9"/>
  <c r="O61" i="9"/>
  <c r="P61" i="9"/>
  <c r="R61" i="9"/>
  <c r="K62" i="9"/>
  <c r="L62" i="9"/>
  <c r="M62" i="9"/>
  <c r="N62" i="9"/>
  <c r="O62" i="9"/>
  <c r="P62" i="9"/>
  <c r="R62" i="9"/>
  <c r="K63" i="9"/>
  <c r="L63" i="9"/>
  <c r="M63" i="9"/>
  <c r="N63" i="9"/>
  <c r="O63" i="9"/>
  <c r="P63" i="9"/>
  <c r="R63" i="9"/>
  <c r="K64" i="9"/>
  <c r="L64" i="9"/>
  <c r="M64" i="9"/>
  <c r="N64" i="9"/>
  <c r="O64" i="9"/>
  <c r="P64" i="9"/>
  <c r="R64" i="9"/>
  <c r="K65" i="9"/>
  <c r="L65" i="9"/>
  <c r="M65" i="9"/>
  <c r="N65" i="9"/>
  <c r="O65" i="9"/>
  <c r="P65" i="9"/>
  <c r="R65" i="9"/>
  <c r="K66" i="9"/>
  <c r="L66" i="9"/>
  <c r="M66" i="9"/>
  <c r="N66" i="9"/>
  <c r="O66" i="9"/>
  <c r="P66" i="9"/>
  <c r="R66" i="9"/>
  <c r="K67" i="9"/>
  <c r="L67" i="9"/>
  <c r="M67" i="9"/>
  <c r="N67" i="9"/>
  <c r="O67" i="9"/>
  <c r="P67" i="9"/>
  <c r="R67" i="9"/>
  <c r="K68" i="9"/>
  <c r="L68" i="9"/>
  <c r="M68" i="9"/>
  <c r="N68" i="9"/>
  <c r="O68" i="9"/>
  <c r="P68" i="9"/>
  <c r="R68" i="9"/>
  <c r="K69" i="9"/>
  <c r="L69" i="9"/>
  <c r="M69" i="9"/>
  <c r="N69" i="9"/>
  <c r="O69" i="9"/>
  <c r="P69" i="9"/>
  <c r="R69" i="9"/>
  <c r="K70" i="9"/>
  <c r="L70" i="9"/>
  <c r="M70" i="9"/>
  <c r="N70" i="9"/>
  <c r="O70" i="9"/>
  <c r="P70" i="9"/>
  <c r="R70" i="9"/>
  <c r="K71" i="9"/>
  <c r="L71" i="9"/>
  <c r="M71" i="9"/>
  <c r="N71" i="9"/>
  <c r="O71" i="9"/>
  <c r="P71" i="9"/>
  <c r="R71" i="9"/>
  <c r="K72" i="9"/>
  <c r="L72" i="9"/>
  <c r="M72" i="9"/>
  <c r="N72" i="9"/>
  <c r="O72" i="9"/>
  <c r="P72" i="9"/>
  <c r="R72" i="9"/>
  <c r="K73" i="9"/>
  <c r="L73" i="9"/>
  <c r="M73" i="9"/>
  <c r="N73" i="9"/>
  <c r="O73" i="9"/>
  <c r="P73" i="9"/>
  <c r="R73" i="9"/>
  <c r="K74" i="9"/>
  <c r="L74" i="9"/>
  <c r="M74" i="9"/>
  <c r="N74" i="9"/>
  <c r="O74" i="9"/>
  <c r="P74" i="9"/>
  <c r="R74" i="9"/>
  <c r="K75" i="9"/>
  <c r="L75" i="9"/>
  <c r="M75" i="9"/>
  <c r="N75" i="9"/>
  <c r="O75" i="9"/>
  <c r="P75" i="9"/>
  <c r="R75" i="9"/>
  <c r="K76" i="9"/>
  <c r="L76" i="9"/>
  <c r="M76" i="9"/>
  <c r="N76" i="9"/>
  <c r="O76" i="9"/>
  <c r="P76" i="9"/>
  <c r="R76" i="9"/>
  <c r="K77" i="9"/>
  <c r="L77" i="9"/>
  <c r="M77" i="9"/>
  <c r="N77" i="9"/>
  <c r="O77" i="9"/>
  <c r="P77" i="9"/>
  <c r="R77" i="9"/>
  <c r="K78" i="9"/>
  <c r="L78" i="9"/>
  <c r="M78" i="9"/>
  <c r="N78" i="9"/>
  <c r="O78" i="9"/>
  <c r="P78" i="9"/>
  <c r="R78" i="9"/>
  <c r="K79" i="9"/>
  <c r="L79" i="9"/>
  <c r="M79" i="9"/>
  <c r="N79" i="9"/>
  <c r="O79" i="9"/>
  <c r="P79" i="9"/>
  <c r="R79" i="9"/>
  <c r="K80" i="9"/>
  <c r="L80" i="9"/>
  <c r="M80" i="9"/>
  <c r="N80" i="9"/>
  <c r="O80" i="9"/>
  <c r="P80" i="9"/>
  <c r="R80" i="9"/>
  <c r="K81" i="9"/>
  <c r="L81" i="9"/>
  <c r="M81" i="9"/>
  <c r="N81" i="9"/>
  <c r="O81" i="9"/>
  <c r="P81" i="9"/>
  <c r="R81" i="9"/>
  <c r="K82" i="9"/>
  <c r="L82" i="9"/>
  <c r="M82" i="9"/>
  <c r="N82" i="9"/>
  <c r="O82" i="9"/>
  <c r="P82" i="9"/>
  <c r="R82" i="9"/>
  <c r="K83" i="9"/>
  <c r="L83" i="9"/>
  <c r="M83" i="9"/>
  <c r="N83" i="9"/>
  <c r="O83" i="9"/>
  <c r="P83" i="9"/>
  <c r="R83" i="9"/>
  <c r="K84" i="9"/>
  <c r="L84" i="9"/>
  <c r="M84" i="9"/>
  <c r="N84" i="9"/>
  <c r="O84" i="9"/>
  <c r="P84" i="9"/>
  <c r="R84" i="9"/>
  <c r="K85" i="9"/>
  <c r="L85" i="9"/>
  <c r="M85" i="9"/>
  <c r="N85" i="9"/>
  <c r="O85" i="9"/>
  <c r="P85" i="9"/>
  <c r="R85" i="9"/>
  <c r="K86" i="9"/>
  <c r="L86" i="9"/>
  <c r="M86" i="9"/>
  <c r="N86" i="9"/>
  <c r="O86" i="9"/>
  <c r="P86" i="9"/>
  <c r="R86" i="9"/>
  <c r="K87" i="9"/>
  <c r="L87" i="9"/>
  <c r="M87" i="9"/>
  <c r="N87" i="9"/>
  <c r="O87" i="9"/>
  <c r="P87" i="9"/>
  <c r="R87" i="9"/>
  <c r="K88" i="9"/>
  <c r="L88" i="9"/>
  <c r="M88" i="9"/>
  <c r="N88" i="9"/>
  <c r="O88" i="9"/>
  <c r="P88" i="9"/>
  <c r="R88" i="9"/>
  <c r="L89" i="9"/>
  <c r="M89" i="9"/>
  <c r="N89" i="9"/>
  <c r="O89" i="9"/>
  <c r="P89" i="9"/>
  <c r="R89" i="9"/>
  <c r="K90" i="9"/>
  <c r="L90" i="9"/>
  <c r="M90" i="9"/>
  <c r="N90" i="9"/>
  <c r="O90" i="9"/>
  <c r="P90" i="9"/>
  <c r="R90" i="9"/>
  <c r="K91" i="9"/>
  <c r="L91" i="9"/>
  <c r="M91" i="9"/>
  <c r="N91" i="9"/>
  <c r="O91" i="9"/>
  <c r="P91" i="9"/>
  <c r="R91" i="9"/>
  <c r="K92" i="9"/>
  <c r="L92" i="9"/>
  <c r="M92" i="9"/>
  <c r="N92" i="9"/>
  <c r="O92" i="9"/>
  <c r="P92" i="9"/>
  <c r="R92" i="9"/>
  <c r="K93" i="9"/>
  <c r="L93" i="9"/>
  <c r="M93" i="9"/>
  <c r="N93" i="9"/>
  <c r="O93" i="9"/>
  <c r="P93" i="9"/>
  <c r="R93" i="9"/>
  <c r="K94" i="9"/>
  <c r="L94" i="9"/>
  <c r="M94" i="9"/>
  <c r="N94" i="9"/>
  <c r="O94" i="9"/>
  <c r="P94" i="9"/>
  <c r="R94" i="9"/>
  <c r="K95" i="9"/>
  <c r="L95" i="9"/>
  <c r="M95" i="9"/>
  <c r="N95" i="9"/>
  <c r="O95" i="9"/>
  <c r="P95" i="9"/>
  <c r="R95" i="9"/>
  <c r="K96" i="9"/>
  <c r="L96" i="9"/>
  <c r="M96" i="9"/>
  <c r="N96" i="9"/>
  <c r="O96" i="9"/>
  <c r="P96" i="9"/>
  <c r="R96" i="9"/>
  <c r="K97" i="9"/>
  <c r="L97" i="9"/>
  <c r="M97" i="9"/>
  <c r="N97" i="9"/>
  <c r="O97" i="9"/>
  <c r="P97" i="9"/>
  <c r="R97" i="9"/>
  <c r="K98" i="9"/>
  <c r="L98" i="9"/>
  <c r="M98" i="9"/>
  <c r="N98" i="9"/>
  <c r="O98" i="9"/>
  <c r="P98" i="9"/>
  <c r="R98" i="9"/>
  <c r="K99" i="9"/>
  <c r="L99" i="9"/>
  <c r="M99" i="9"/>
  <c r="N99" i="9"/>
  <c r="O99" i="9"/>
  <c r="P99" i="9"/>
  <c r="R99" i="9"/>
  <c r="K100" i="9"/>
  <c r="L100" i="9"/>
  <c r="M100" i="9"/>
  <c r="N100" i="9"/>
  <c r="O100" i="9"/>
  <c r="P100" i="9"/>
  <c r="R100" i="9"/>
  <c r="K101" i="9"/>
  <c r="L101" i="9"/>
  <c r="M101" i="9"/>
  <c r="N101" i="9"/>
  <c r="O101" i="9"/>
  <c r="P101" i="9"/>
  <c r="R101" i="9"/>
  <c r="K102" i="9"/>
  <c r="L102" i="9"/>
  <c r="M102" i="9"/>
  <c r="N102" i="9"/>
  <c r="O102" i="9"/>
  <c r="P102" i="9"/>
  <c r="R102" i="9"/>
  <c r="K103" i="9"/>
  <c r="L103" i="9"/>
  <c r="M103" i="9"/>
  <c r="N103" i="9"/>
  <c r="O103" i="9"/>
  <c r="P103" i="9"/>
  <c r="R103" i="9"/>
  <c r="K104" i="9"/>
  <c r="L104" i="9"/>
  <c r="M104" i="9"/>
  <c r="N104" i="9"/>
  <c r="O104" i="9"/>
  <c r="P104" i="9"/>
  <c r="R104" i="9"/>
  <c r="J15" i="9"/>
  <c r="D17" i="9"/>
  <c r="C17" i="9" s="1"/>
  <c r="D18" i="9"/>
  <c r="C18" i="9" s="1"/>
  <c r="D19" i="9"/>
  <c r="C19" i="9" s="1"/>
  <c r="D20" i="9"/>
  <c r="C20" i="9" s="1"/>
  <c r="D21" i="9"/>
  <c r="C21" i="9" s="1"/>
  <c r="D22" i="9"/>
  <c r="C22" i="9" s="1"/>
  <c r="D23" i="9"/>
  <c r="C23" i="9" s="1"/>
  <c r="D24" i="9"/>
  <c r="C24" i="9" s="1"/>
  <c r="D25" i="9"/>
  <c r="C25" i="9" s="1"/>
  <c r="D26" i="9"/>
  <c r="C26" i="9" s="1"/>
  <c r="D27" i="9"/>
  <c r="C27" i="9" s="1"/>
  <c r="D28" i="9"/>
  <c r="C28" i="9" s="1"/>
  <c r="D29" i="9"/>
  <c r="C29" i="9" s="1"/>
  <c r="D30" i="9"/>
  <c r="C30" i="9" s="1"/>
  <c r="D31" i="9"/>
  <c r="C31" i="9" s="1"/>
  <c r="D32" i="9"/>
  <c r="C32" i="9" s="1"/>
  <c r="D33" i="9"/>
  <c r="C33" i="9" s="1"/>
  <c r="D34" i="9"/>
  <c r="C34" i="9" s="1"/>
  <c r="D35" i="9"/>
  <c r="C35" i="9" s="1"/>
  <c r="D36" i="9"/>
  <c r="C36" i="9" s="1"/>
  <c r="D37" i="9"/>
  <c r="C37" i="9" s="1"/>
  <c r="D38" i="9"/>
  <c r="C38" i="9" s="1"/>
  <c r="D39" i="9"/>
  <c r="C39" i="9" s="1"/>
  <c r="D40" i="9"/>
  <c r="C40" i="9" s="1"/>
  <c r="D41" i="9"/>
  <c r="C41" i="9" s="1"/>
  <c r="D42" i="9"/>
  <c r="C42" i="9" s="1"/>
  <c r="D43" i="9"/>
  <c r="C43" i="9" s="1"/>
  <c r="D44" i="9"/>
  <c r="C44" i="9" s="1"/>
  <c r="D45" i="9"/>
  <c r="C45" i="9" s="1"/>
  <c r="D46" i="9"/>
  <c r="C46" i="9" s="1"/>
  <c r="D47" i="9"/>
  <c r="C47" i="9" s="1"/>
  <c r="D48" i="9"/>
  <c r="C48" i="9" s="1"/>
  <c r="D49" i="9"/>
  <c r="C49" i="9" s="1"/>
  <c r="D50" i="9"/>
  <c r="C50" i="9" s="1"/>
  <c r="D51" i="9"/>
  <c r="C51" i="9" s="1"/>
  <c r="D52" i="9"/>
  <c r="C52" i="9" s="1"/>
  <c r="D53" i="9"/>
  <c r="C53" i="9" s="1"/>
  <c r="D54" i="9"/>
  <c r="C54" i="9" s="1"/>
  <c r="D55" i="9"/>
  <c r="C55" i="9" s="1"/>
  <c r="D56" i="9"/>
  <c r="C56" i="9" s="1"/>
  <c r="D57" i="9"/>
  <c r="C57" i="9" s="1"/>
  <c r="D58" i="9"/>
  <c r="C58" i="9" s="1"/>
  <c r="D59" i="9"/>
  <c r="C59" i="9" s="1"/>
  <c r="D60" i="9"/>
  <c r="C60" i="9" s="1"/>
  <c r="D61" i="9"/>
  <c r="C61" i="9" s="1"/>
  <c r="D62" i="9"/>
  <c r="C62" i="9" s="1"/>
  <c r="D63" i="9"/>
  <c r="C63" i="9" s="1"/>
  <c r="D64" i="9"/>
  <c r="C64" i="9" s="1"/>
  <c r="D65" i="9"/>
  <c r="C65" i="9" s="1"/>
  <c r="D66" i="9"/>
  <c r="C66" i="9" s="1"/>
  <c r="D67" i="9"/>
  <c r="C67" i="9" s="1"/>
  <c r="D68" i="9"/>
  <c r="C68" i="9" s="1"/>
  <c r="D69" i="9"/>
  <c r="C69" i="9" s="1"/>
  <c r="D70" i="9"/>
  <c r="C70" i="9" s="1"/>
  <c r="D71" i="9"/>
  <c r="C71" i="9" s="1"/>
  <c r="D72" i="9"/>
  <c r="C72" i="9" s="1"/>
  <c r="D73" i="9"/>
  <c r="C73" i="9" s="1"/>
  <c r="D74" i="9"/>
  <c r="C74" i="9" s="1"/>
  <c r="D75" i="9"/>
  <c r="C75" i="9" s="1"/>
  <c r="D76" i="9"/>
  <c r="C76" i="9" s="1"/>
  <c r="D77" i="9"/>
  <c r="C77" i="9" s="1"/>
  <c r="D78" i="9"/>
  <c r="C78" i="9" s="1"/>
  <c r="D79" i="9"/>
  <c r="C79" i="9" s="1"/>
  <c r="D80" i="9"/>
  <c r="C80" i="9" s="1"/>
  <c r="D81" i="9"/>
  <c r="C81" i="9" s="1"/>
  <c r="D82" i="9"/>
  <c r="C82" i="9" s="1"/>
  <c r="D83" i="9"/>
  <c r="C83" i="9" s="1"/>
  <c r="D84" i="9"/>
  <c r="C84" i="9" s="1"/>
  <c r="D85" i="9"/>
  <c r="C85" i="9" s="1"/>
  <c r="D86" i="9"/>
  <c r="C86" i="9" s="1"/>
  <c r="D87" i="9"/>
  <c r="C87" i="9" s="1"/>
  <c r="D88" i="9"/>
  <c r="C88" i="9" s="1"/>
  <c r="D90" i="9"/>
  <c r="C90" i="9" s="1"/>
  <c r="D91" i="9"/>
  <c r="C91" i="9" s="1"/>
  <c r="D92" i="9"/>
  <c r="C92" i="9" s="1"/>
  <c r="D93" i="9"/>
  <c r="C93" i="9" s="1"/>
  <c r="D94" i="9"/>
  <c r="C94" i="9" s="1"/>
  <c r="D95" i="9"/>
  <c r="C95" i="9" s="1"/>
  <c r="D96" i="9"/>
  <c r="C96" i="9" s="1"/>
  <c r="D97" i="9"/>
  <c r="C97" i="9" s="1"/>
  <c r="D98" i="9"/>
  <c r="C98" i="9" s="1"/>
  <c r="D99" i="9"/>
  <c r="C99" i="9" s="1"/>
  <c r="D100" i="9"/>
  <c r="C100" i="9" s="1"/>
  <c r="D101" i="9"/>
  <c r="C101" i="9" s="1"/>
  <c r="D102" i="9"/>
  <c r="C102" i="9" s="1"/>
  <c r="D103" i="9"/>
  <c r="C103" i="9" s="1"/>
  <c r="D104" i="9"/>
  <c r="C104" i="9" s="1"/>
  <c r="D16" i="9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5" i="8"/>
  <c r="H9" i="8"/>
  <c r="H7" i="8" s="1"/>
  <c r="F31" i="8" s="1"/>
  <c r="G9" i="8"/>
  <c r="G7" i="8" s="1"/>
  <c r="E16" i="8" s="1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5" i="7"/>
  <c r="G9" i="7"/>
  <c r="G7" i="7" s="1"/>
  <c r="E18" i="7" s="1"/>
  <c r="H9" i="7"/>
  <c r="H7" i="7" s="1"/>
  <c r="E15" i="16"/>
  <c r="BY85" i="18" l="1"/>
  <c r="BY97" i="6"/>
  <c r="BY16" i="18"/>
  <c r="BY73" i="6"/>
  <c r="BY61" i="18"/>
  <c r="BY55" i="6"/>
  <c r="BY40" i="18"/>
  <c r="BY43" i="6"/>
  <c r="BY28" i="18"/>
  <c r="BY37" i="6"/>
  <c r="BY56" i="18"/>
  <c r="BY31" i="6"/>
  <c r="BY69" i="18"/>
  <c r="BY13" i="6"/>
  <c r="BT62" i="18"/>
  <c r="BT84" i="6"/>
  <c r="BT89" i="18"/>
  <c r="BT45" i="6"/>
  <c r="BT11" i="18"/>
  <c r="BT21" i="6"/>
  <c r="BY92" i="18"/>
  <c r="BY85" i="6"/>
  <c r="BY36" i="18"/>
  <c r="BY67" i="6"/>
  <c r="BY67" i="18"/>
  <c r="BY25" i="6"/>
  <c r="BY22" i="18"/>
  <c r="BY96" i="6"/>
  <c r="BY65" i="18"/>
  <c r="BY90" i="6"/>
  <c r="BY62" i="18"/>
  <c r="BY39" i="18"/>
  <c r="BY78" i="6"/>
  <c r="BY87" i="18"/>
  <c r="BY72" i="6"/>
  <c r="BY49" i="18"/>
  <c r="BY66" i="6"/>
  <c r="BY83" i="18"/>
  <c r="BY60" i="6"/>
  <c r="BY48" i="18"/>
  <c r="BY54" i="6"/>
  <c r="BY64" i="18"/>
  <c r="BY48" i="6"/>
  <c r="BY31" i="18"/>
  <c r="BY42" i="6"/>
  <c r="BY17" i="18"/>
  <c r="BY36" i="6"/>
  <c r="BY63" i="18"/>
  <c r="BY30" i="6"/>
  <c r="BY96" i="18"/>
  <c r="BY24" i="6"/>
  <c r="BF24" i="6" s="1"/>
  <c r="BY25" i="18"/>
  <c r="BY18" i="6"/>
  <c r="BY86" i="18"/>
  <c r="BY12" i="6"/>
  <c r="BY81" i="18"/>
  <c r="BY91" i="6"/>
  <c r="BY41" i="18"/>
  <c r="BY79" i="6"/>
  <c r="BY27" i="18"/>
  <c r="BY61" i="6"/>
  <c r="BY32" i="18"/>
  <c r="BY49" i="6"/>
  <c r="BY45" i="18"/>
  <c r="BY19" i="6"/>
  <c r="BY54" i="18"/>
  <c r="BY95" i="6"/>
  <c r="BY38" i="18"/>
  <c r="BY89" i="6"/>
  <c r="BY43" i="18"/>
  <c r="BY83" i="6"/>
  <c r="BY71" i="18"/>
  <c r="BY77" i="6"/>
  <c r="BY95" i="18"/>
  <c r="BY71" i="6"/>
  <c r="BY57" i="18"/>
  <c r="BY65" i="6"/>
  <c r="BY35" i="18"/>
  <c r="BY59" i="6"/>
  <c r="BY33" i="18"/>
  <c r="BY53" i="6"/>
  <c r="BY14" i="18"/>
  <c r="BY47" i="6"/>
  <c r="BY18" i="18"/>
  <c r="BY41" i="6"/>
  <c r="BY46" i="18"/>
  <c r="BY35" i="6"/>
  <c r="BY84" i="18"/>
  <c r="BY29" i="6"/>
  <c r="BY55" i="18"/>
  <c r="BY23" i="6"/>
  <c r="BY50" i="18"/>
  <c r="BY17" i="6"/>
  <c r="BT53" i="18"/>
  <c r="BT86" i="6"/>
  <c r="BT43" i="18"/>
  <c r="BT83" i="6"/>
  <c r="BT98" i="18"/>
  <c r="BT44" i="6"/>
  <c r="BT73" i="18"/>
  <c r="BT20" i="6"/>
  <c r="BT21" i="18"/>
  <c r="BT28" i="6"/>
  <c r="BY99" i="18"/>
  <c r="BY93" i="6"/>
  <c r="BF93" i="6" s="1"/>
  <c r="BY59" i="18"/>
  <c r="BY81" i="6"/>
  <c r="BY47" i="18"/>
  <c r="BY69" i="6"/>
  <c r="BY72" i="18"/>
  <c r="BY63" i="6"/>
  <c r="BY60" i="18"/>
  <c r="BY51" i="6"/>
  <c r="BY89" i="18"/>
  <c r="BY45" i="6"/>
  <c r="BY78" i="18"/>
  <c r="BY39" i="6"/>
  <c r="BY70" i="18"/>
  <c r="BY33" i="6"/>
  <c r="BY97" i="18"/>
  <c r="BY27" i="6"/>
  <c r="BF27" i="6" s="1"/>
  <c r="BY44" i="18"/>
  <c r="BY15" i="6"/>
  <c r="BT92" i="18"/>
  <c r="BT85" i="6"/>
  <c r="BT48" i="18"/>
  <c r="BT54" i="6"/>
  <c r="BT12" i="18"/>
  <c r="BT46" i="6"/>
  <c r="BT40" i="18"/>
  <c r="BT43" i="6"/>
  <c r="BT63" i="18"/>
  <c r="BT30" i="6"/>
  <c r="BT13" i="18"/>
  <c r="BT22" i="6"/>
  <c r="BT45" i="18"/>
  <c r="BT19" i="6"/>
  <c r="BT75" i="18"/>
  <c r="BT52" i="6"/>
  <c r="BV69" i="18"/>
  <c r="BV13" i="6"/>
  <c r="BY20" i="18"/>
  <c r="BY99" i="6"/>
  <c r="BY15" i="18"/>
  <c r="BY87" i="6"/>
  <c r="BY88" i="18"/>
  <c r="BY75" i="6"/>
  <c r="BY80" i="18"/>
  <c r="BY57" i="6"/>
  <c r="BY11" i="18"/>
  <c r="BY21" i="6"/>
  <c r="BT47" i="18"/>
  <c r="BT69" i="6"/>
  <c r="BY51" i="18"/>
  <c r="BY98" i="6"/>
  <c r="BY24" i="18"/>
  <c r="BY92" i="6"/>
  <c r="BY53" i="18"/>
  <c r="BY86" i="6"/>
  <c r="BY66" i="18"/>
  <c r="BY80" i="6"/>
  <c r="BY90" i="18"/>
  <c r="BY74" i="6"/>
  <c r="BY37" i="18"/>
  <c r="BY68" i="6"/>
  <c r="BY93" i="18"/>
  <c r="BY62" i="6"/>
  <c r="BY79" i="18"/>
  <c r="BY56" i="6"/>
  <c r="BY29" i="18"/>
  <c r="BY50" i="6"/>
  <c r="BY98" i="18"/>
  <c r="BY44" i="6"/>
  <c r="BF44" i="6" s="1"/>
  <c r="BY77" i="18"/>
  <c r="BY38" i="6"/>
  <c r="BY26" i="18"/>
  <c r="BY32" i="6"/>
  <c r="BY91" i="18"/>
  <c r="BY26" i="6"/>
  <c r="BY73" i="18"/>
  <c r="BY20" i="6"/>
  <c r="BY58" i="18"/>
  <c r="BY14" i="6"/>
  <c r="E99" i="8"/>
  <c r="E93" i="8"/>
  <c r="E87" i="8"/>
  <c r="E81" i="8"/>
  <c r="E75" i="8"/>
  <c r="E69" i="8"/>
  <c r="E63" i="8"/>
  <c r="E57" i="8"/>
  <c r="E51" i="8"/>
  <c r="E45" i="8"/>
  <c r="E39" i="8"/>
  <c r="E33" i="8"/>
  <c r="E27" i="8"/>
  <c r="E21" i="8"/>
  <c r="E101" i="7"/>
  <c r="E95" i="7"/>
  <c r="E89" i="7"/>
  <c r="E83" i="7"/>
  <c r="E77" i="7"/>
  <c r="E71" i="7"/>
  <c r="E65" i="7"/>
  <c r="E59" i="7"/>
  <c r="E53" i="7"/>
  <c r="E47" i="7"/>
  <c r="E41" i="7"/>
  <c r="E35" i="7"/>
  <c r="E23" i="7"/>
  <c r="E17" i="7"/>
  <c r="BT51" i="18"/>
  <c r="BT98" i="6"/>
  <c r="BT54" i="18"/>
  <c r="BT95" i="6"/>
  <c r="BT99" i="18"/>
  <c r="BT93" i="6"/>
  <c r="BT39" i="18"/>
  <c r="BT78" i="6"/>
  <c r="BT76" i="18"/>
  <c r="BT76" i="6"/>
  <c r="BT49" i="18"/>
  <c r="BT66" i="6"/>
  <c r="BT72" i="18"/>
  <c r="BT63" i="6"/>
  <c r="BT27" i="18"/>
  <c r="BT61" i="6"/>
  <c r="BT35" i="18"/>
  <c r="BT59" i="6"/>
  <c r="BT79" i="18"/>
  <c r="BT56" i="6"/>
  <c r="BT32" i="18"/>
  <c r="BT49" i="6"/>
  <c r="BT31" i="18"/>
  <c r="BT42" i="6"/>
  <c r="BT78" i="18"/>
  <c r="BT39" i="6"/>
  <c r="BT28" i="18"/>
  <c r="BT37" i="6"/>
  <c r="BT46" i="18"/>
  <c r="BT35" i="6"/>
  <c r="BT26" i="18"/>
  <c r="BT32" i="6"/>
  <c r="BT67" i="18"/>
  <c r="BT25" i="6"/>
  <c r="BT25" i="18"/>
  <c r="BT18" i="6"/>
  <c r="BT44" i="18"/>
  <c r="BT15" i="6"/>
  <c r="BT69" i="18"/>
  <c r="BT13" i="6"/>
  <c r="BJ99" i="18"/>
  <c r="BJ93" i="6"/>
  <c r="BN43" i="18"/>
  <c r="BN83" i="6"/>
  <c r="BN60" i="18"/>
  <c r="BN51" i="6"/>
  <c r="BN48" i="18"/>
  <c r="BN54" i="6"/>
  <c r="BN70" i="18"/>
  <c r="BN33" i="6"/>
  <c r="BN95" i="18"/>
  <c r="BN71" i="6"/>
  <c r="BN36" i="18"/>
  <c r="BN67" i="6"/>
  <c r="BN91" i="18"/>
  <c r="BN26" i="6"/>
  <c r="BN83" i="18"/>
  <c r="BN60" i="6"/>
  <c r="BN34" i="18"/>
  <c r="BN58" i="6"/>
  <c r="BN47" i="18"/>
  <c r="BN69" i="6"/>
  <c r="BN32" i="18"/>
  <c r="BN49" i="6"/>
  <c r="BN51" i="18"/>
  <c r="BN98" i="6"/>
  <c r="E104" i="8"/>
  <c r="E92" i="8"/>
  <c r="E86" i="8"/>
  <c r="E80" i="8"/>
  <c r="E74" i="8"/>
  <c r="E68" i="8"/>
  <c r="E62" i="8"/>
  <c r="E56" i="8"/>
  <c r="E50" i="8"/>
  <c r="E44" i="8"/>
  <c r="E38" i="8"/>
  <c r="E26" i="8"/>
  <c r="E20" i="8"/>
  <c r="E100" i="7"/>
  <c r="E94" i="7"/>
  <c r="E88" i="7"/>
  <c r="E82" i="7"/>
  <c r="E76" i="7"/>
  <c r="E70" i="7"/>
  <c r="E64" i="7"/>
  <c r="E58" i="7"/>
  <c r="E52" i="7"/>
  <c r="E46" i="7"/>
  <c r="E40" i="7"/>
  <c r="E34" i="7"/>
  <c r="E28" i="7"/>
  <c r="E22" i="7"/>
  <c r="BT65" i="18"/>
  <c r="BT90" i="6"/>
  <c r="BT15" i="18"/>
  <c r="BT87" i="6"/>
  <c r="BT66" i="18"/>
  <c r="BT80" i="6"/>
  <c r="BT16" i="18"/>
  <c r="BT73" i="6"/>
  <c r="BN35" i="18"/>
  <c r="BN59" i="6"/>
  <c r="BN81" i="18"/>
  <c r="BN91" i="6"/>
  <c r="BN14" i="18"/>
  <c r="BN47" i="6"/>
  <c r="BN39" i="18"/>
  <c r="BN78" i="6"/>
  <c r="BN22" i="18"/>
  <c r="BN96" i="6"/>
  <c r="BN33" i="18"/>
  <c r="BN53" i="6"/>
  <c r="BN53" i="18"/>
  <c r="BN86" i="6"/>
  <c r="BN31" i="18"/>
  <c r="BN42" i="6"/>
  <c r="BN20" i="18"/>
  <c r="BN99" i="6"/>
  <c r="BN61" i="18"/>
  <c r="BN55" i="6"/>
  <c r="BN37" i="18"/>
  <c r="BN68" i="6"/>
  <c r="BN19" i="18"/>
  <c r="BN94" i="6"/>
  <c r="BX82" i="18"/>
  <c r="BX11" i="6"/>
  <c r="E103" i="8"/>
  <c r="E97" i="8"/>
  <c r="E91" i="8"/>
  <c r="E85" i="8"/>
  <c r="E79" i="8"/>
  <c r="E73" i="8"/>
  <c r="E67" i="8"/>
  <c r="E61" i="8"/>
  <c r="E55" i="8"/>
  <c r="E43" i="8"/>
  <c r="E37" i="8"/>
  <c r="E31" i="8"/>
  <c r="E25" i="8"/>
  <c r="E19" i="8"/>
  <c r="E99" i="7"/>
  <c r="E93" i="7"/>
  <c r="E87" i="7"/>
  <c r="E81" i="7"/>
  <c r="E75" i="7"/>
  <c r="E69" i="7"/>
  <c r="E63" i="7"/>
  <c r="E57" i="7"/>
  <c r="E51" i="7"/>
  <c r="E45" i="7"/>
  <c r="E39" i="7"/>
  <c r="E33" i="7"/>
  <c r="E27" i="7"/>
  <c r="E21" i="7"/>
  <c r="BT85" i="18"/>
  <c r="BT97" i="6"/>
  <c r="BT52" i="18"/>
  <c r="BT70" i="6"/>
  <c r="BT37" i="18"/>
  <c r="BT68" i="6"/>
  <c r="BT57" i="18"/>
  <c r="BT65" i="6"/>
  <c r="BT34" i="18"/>
  <c r="BT58" i="6"/>
  <c r="BT61" i="18"/>
  <c r="BT55" i="6"/>
  <c r="BT33" i="18"/>
  <c r="BT53" i="6"/>
  <c r="BT60" i="18"/>
  <c r="BT51" i="6"/>
  <c r="BT64" i="18"/>
  <c r="BT48" i="6"/>
  <c r="BT18" i="18"/>
  <c r="BT41" i="6"/>
  <c r="BT74" i="18"/>
  <c r="BT34" i="6"/>
  <c r="BT56" i="18"/>
  <c r="BT31" i="6"/>
  <c r="BT84" i="18"/>
  <c r="BT29" i="6"/>
  <c r="BT97" i="18"/>
  <c r="BT27" i="6"/>
  <c r="BT96" i="18"/>
  <c r="BT24" i="6"/>
  <c r="BT50" i="18"/>
  <c r="BT17" i="6"/>
  <c r="BT86" i="18"/>
  <c r="BT12" i="6"/>
  <c r="BN40" i="18"/>
  <c r="BN43" i="6"/>
  <c r="BN41" i="18"/>
  <c r="BN79" i="6"/>
  <c r="BN68" i="18"/>
  <c r="BN40" i="6"/>
  <c r="BN27" i="18"/>
  <c r="BN61" i="6"/>
  <c r="BN92" i="18"/>
  <c r="BN85" i="6"/>
  <c r="BN12" i="18"/>
  <c r="BN46" i="6"/>
  <c r="BN38" i="18"/>
  <c r="BN89" i="6"/>
  <c r="BN77" i="18"/>
  <c r="BN38" i="6"/>
  <c r="BN24" i="18"/>
  <c r="BN92" i="6"/>
  <c r="BN64" i="18"/>
  <c r="BN48" i="6"/>
  <c r="BN26" i="18"/>
  <c r="BN32" i="6"/>
  <c r="BN93" i="18"/>
  <c r="BN62" i="6"/>
  <c r="E102" i="8"/>
  <c r="E96" i="8"/>
  <c r="E90" i="8"/>
  <c r="E84" i="8"/>
  <c r="E78" i="8"/>
  <c r="E72" i="8"/>
  <c r="E66" i="8"/>
  <c r="E60" i="8"/>
  <c r="E54" i="8"/>
  <c r="E48" i="8"/>
  <c r="E42" i="8"/>
  <c r="E36" i="8"/>
  <c r="E30" i="8"/>
  <c r="E24" i="8"/>
  <c r="E18" i="8"/>
  <c r="E104" i="7"/>
  <c r="E92" i="7"/>
  <c r="E86" i="7"/>
  <c r="E80" i="7"/>
  <c r="E74" i="7"/>
  <c r="E68" i="7"/>
  <c r="E62" i="7"/>
  <c r="E56" i="7"/>
  <c r="E50" i="7"/>
  <c r="E44" i="7"/>
  <c r="E38" i="7"/>
  <c r="E26" i="7"/>
  <c r="E20" i="7"/>
  <c r="BT19" i="18"/>
  <c r="BT94" i="6"/>
  <c r="BT24" i="18"/>
  <c r="BT92" i="6"/>
  <c r="BT38" i="18"/>
  <c r="BT89" i="6"/>
  <c r="BT42" i="18"/>
  <c r="BT82" i="6"/>
  <c r="BT41" i="18"/>
  <c r="BT79" i="6"/>
  <c r="BT71" i="18"/>
  <c r="BT77" i="6"/>
  <c r="BT88" i="18"/>
  <c r="BT75" i="6"/>
  <c r="BT87" i="18"/>
  <c r="BT72" i="6"/>
  <c r="BT93" i="18"/>
  <c r="BT62" i="6"/>
  <c r="BT83" i="18"/>
  <c r="BT60" i="6"/>
  <c r="BT77" i="18"/>
  <c r="BT38" i="6"/>
  <c r="BT17" i="18"/>
  <c r="BT36" i="6"/>
  <c r="BT58" i="18"/>
  <c r="BT14" i="6"/>
  <c r="BJ96" i="18"/>
  <c r="BJ24" i="6"/>
  <c r="BN18" i="18"/>
  <c r="BN41" i="6"/>
  <c r="BN15" i="18"/>
  <c r="BN87" i="6"/>
  <c r="BN84" i="18"/>
  <c r="BN29" i="6"/>
  <c r="BN85" i="18"/>
  <c r="BN97" i="6"/>
  <c r="BN59" i="18"/>
  <c r="BN81" i="6"/>
  <c r="BN21" i="18"/>
  <c r="BN28" i="6"/>
  <c r="BN29" i="18"/>
  <c r="BN50" i="6"/>
  <c r="BN46" i="18"/>
  <c r="BN35" i="6"/>
  <c r="BN23" i="18"/>
  <c r="BN88" i="6"/>
  <c r="BN89" i="18"/>
  <c r="BN45" i="6"/>
  <c r="BN62" i="18"/>
  <c r="BN84" i="6"/>
  <c r="BN28" i="18"/>
  <c r="BN37" i="6"/>
  <c r="BW91" i="18"/>
  <c r="BW26" i="6"/>
  <c r="BY19" i="18"/>
  <c r="BY94" i="6"/>
  <c r="BY23" i="18"/>
  <c r="BY88" i="6"/>
  <c r="BY42" i="18"/>
  <c r="BY82" i="6"/>
  <c r="BY76" i="18"/>
  <c r="BY76" i="6"/>
  <c r="BY52" i="18"/>
  <c r="BY70" i="6"/>
  <c r="BY94" i="18"/>
  <c r="BY64" i="6"/>
  <c r="BY34" i="18"/>
  <c r="BY58" i="6"/>
  <c r="BY75" i="18"/>
  <c r="BY52" i="6"/>
  <c r="BY12" i="18"/>
  <c r="BY46" i="6"/>
  <c r="BY68" i="18"/>
  <c r="BY40" i="6"/>
  <c r="BY74" i="18"/>
  <c r="BY34" i="6"/>
  <c r="BY21" i="18"/>
  <c r="BY28" i="6"/>
  <c r="BY13" i="18"/>
  <c r="BY22" i="6"/>
  <c r="BY30" i="18"/>
  <c r="BY16" i="6"/>
  <c r="E101" i="8"/>
  <c r="E95" i="8"/>
  <c r="E89" i="8"/>
  <c r="E83" i="8"/>
  <c r="E77" i="8"/>
  <c r="E71" i="8"/>
  <c r="E65" i="8"/>
  <c r="E59" i="8"/>
  <c r="E53" i="8"/>
  <c r="E47" i="8"/>
  <c r="E41" i="8"/>
  <c r="E35" i="8"/>
  <c r="E23" i="8"/>
  <c r="E17" i="8"/>
  <c r="E103" i="7"/>
  <c r="E97" i="7"/>
  <c r="E91" i="7"/>
  <c r="E85" i="7"/>
  <c r="E79" i="7"/>
  <c r="E73" i="7"/>
  <c r="E67" i="7"/>
  <c r="E61" i="7"/>
  <c r="E55" i="7"/>
  <c r="E43" i="7"/>
  <c r="E37" i="7"/>
  <c r="E31" i="7"/>
  <c r="E25" i="7"/>
  <c r="E19" i="7"/>
  <c r="BT20" i="18"/>
  <c r="BT99" i="6"/>
  <c r="BT22" i="18"/>
  <c r="BT96" i="6"/>
  <c r="BT36" i="18"/>
  <c r="BT67" i="6"/>
  <c r="BT94" i="18"/>
  <c r="BT64" i="6"/>
  <c r="BT80" i="18"/>
  <c r="BT57" i="6"/>
  <c r="BT29" i="18"/>
  <c r="BT50" i="6"/>
  <c r="BT14" i="18"/>
  <c r="BT47" i="6"/>
  <c r="BT68" i="18"/>
  <c r="BT40" i="6"/>
  <c r="BT70" i="18"/>
  <c r="BT33" i="6"/>
  <c r="BT91" i="18"/>
  <c r="BT26" i="6"/>
  <c r="BT55" i="18"/>
  <c r="BT23" i="6"/>
  <c r="BT30" i="18"/>
  <c r="BT16" i="6"/>
  <c r="BJ97" i="18"/>
  <c r="BJ27" i="6"/>
  <c r="BN79" i="18"/>
  <c r="BN56" i="6"/>
  <c r="BN88" i="18"/>
  <c r="BN75" i="6"/>
  <c r="BN67" i="18"/>
  <c r="BN25" i="6"/>
  <c r="BN87" i="18"/>
  <c r="BN72" i="6"/>
  <c r="BN71" i="18"/>
  <c r="BN77" i="6"/>
  <c r="BN54" i="18"/>
  <c r="BN95" i="6"/>
  <c r="BN17" i="18"/>
  <c r="BN36" i="6"/>
  <c r="BN65" i="18"/>
  <c r="BN90" i="6"/>
  <c r="BN16" i="18"/>
  <c r="BN73" i="6"/>
  <c r="BN63" i="18"/>
  <c r="BN30" i="6"/>
  <c r="BN49" i="18"/>
  <c r="BN66" i="6"/>
  <c r="BN66" i="18"/>
  <c r="BN80" i="6"/>
  <c r="AW9" i="6"/>
  <c r="AW9" i="18"/>
  <c r="E100" i="8"/>
  <c r="E94" i="8"/>
  <c r="E88" i="8"/>
  <c r="E82" i="8"/>
  <c r="E76" i="8"/>
  <c r="E70" i="8"/>
  <c r="E64" i="8"/>
  <c r="E58" i="8"/>
  <c r="E52" i="8"/>
  <c r="E46" i="8"/>
  <c r="E40" i="8"/>
  <c r="E34" i="8"/>
  <c r="E28" i="8"/>
  <c r="E22" i="8"/>
  <c r="E102" i="7"/>
  <c r="E96" i="7"/>
  <c r="E90" i="7"/>
  <c r="E84" i="7"/>
  <c r="E78" i="7"/>
  <c r="E72" i="7"/>
  <c r="E66" i="7"/>
  <c r="E60" i="7"/>
  <c r="E54" i="7"/>
  <c r="E48" i="7"/>
  <c r="E42" i="7"/>
  <c r="E36" i="7"/>
  <c r="E30" i="7"/>
  <c r="E24" i="7"/>
  <c r="BT81" i="18"/>
  <c r="BT91" i="6"/>
  <c r="BT23" i="18"/>
  <c r="BT88" i="6"/>
  <c r="BT59" i="18"/>
  <c r="BT81" i="6"/>
  <c r="BT90" i="18"/>
  <c r="BT74" i="6"/>
  <c r="BT95" i="18"/>
  <c r="BT71" i="6"/>
  <c r="BJ98" i="18"/>
  <c r="BJ44" i="6"/>
  <c r="BN78" i="18"/>
  <c r="BN39" i="6"/>
  <c r="BN57" i="18"/>
  <c r="BN65" i="6"/>
  <c r="BN90" i="18"/>
  <c r="BN74" i="6"/>
  <c r="BN56" i="18"/>
  <c r="BN31" i="6"/>
  <c r="BN52" i="18"/>
  <c r="BN70" i="6"/>
  <c r="BN94" i="18"/>
  <c r="BN64" i="6"/>
  <c r="BN72" i="18"/>
  <c r="BN63" i="6"/>
  <c r="BN80" i="18"/>
  <c r="BN57" i="6"/>
  <c r="BN76" i="18"/>
  <c r="BN76" i="6"/>
  <c r="BN42" i="18"/>
  <c r="BN82" i="6"/>
  <c r="BN75" i="18"/>
  <c r="BN52" i="6"/>
  <c r="BN74" i="18"/>
  <c r="BN34" i="6"/>
  <c r="F53" i="7"/>
  <c r="F57" i="7"/>
  <c r="D57" i="7" s="1"/>
  <c r="C57" i="7" s="1"/>
  <c r="F61" i="7"/>
  <c r="F65" i="7"/>
  <c r="F69" i="7"/>
  <c r="D69" i="7" s="1"/>
  <c r="C69" i="7" s="1"/>
  <c r="F73" i="7"/>
  <c r="F77" i="7"/>
  <c r="F81" i="7"/>
  <c r="F85" i="7"/>
  <c r="F89" i="7"/>
  <c r="F93" i="7"/>
  <c r="F97" i="7"/>
  <c r="F22" i="7"/>
  <c r="D22" i="7" s="1"/>
  <c r="C22" i="7" s="1"/>
  <c r="F35" i="7"/>
  <c r="F47" i="7"/>
  <c r="F31" i="7"/>
  <c r="F52" i="7"/>
  <c r="D52" i="7" s="1"/>
  <c r="C52" i="7" s="1"/>
  <c r="F56" i="7"/>
  <c r="D56" i="7" s="1"/>
  <c r="C56" i="7" s="1"/>
  <c r="F60" i="7"/>
  <c r="F64" i="7"/>
  <c r="F68" i="7"/>
  <c r="F72" i="7"/>
  <c r="F76" i="7"/>
  <c r="F80" i="7"/>
  <c r="F84" i="7"/>
  <c r="F88" i="7"/>
  <c r="F92" i="7"/>
  <c r="D92" i="7" s="1"/>
  <c r="C92" i="7" s="1"/>
  <c r="F96" i="7"/>
  <c r="F20" i="7"/>
  <c r="F24" i="7"/>
  <c r="F28" i="7"/>
  <c r="F33" i="7"/>
  <c r="F37" i="7"/>
  <c r="F41" i="7"/>
  <c r="D41" i="7" s="1"/>
  <c r="C41" i="7" s="1"/>
  <c r="F45" i="7"/>
  <c r="F102" i="7"/>
  <c r="F26" i="7"/>
  <c r="D26" i="7" s="1"/>
  <c r="C26" i="7" s="1"/>
  <c r="F43" i="7"/>
  <c r="F101" i="7"/>
  <c r="F50" i="7"/>
  <c r="F54" i="7"/>
  <c r="F58" i="7"/>
  <c r="F62" i="7"/>
  <c r="D62" i="7" s="1"/>
  <c r="C62" i="7" s="1"/>
  <c r="F66" i="7"/>
  <c r="F70" i="7"/>
  <c r="F74" i="7"/>
  <c r="F78" i="7"/>
  <c r="F82" i="7"/>
  <c r="F86" i="7"/>
  <c r="F90" i="7"/>
  <c r="F94" i="7"/>
  <c r="D94" i="7" s="1"/>
  <c r="C94" i="7" s="1"/>
  <c r="F30" i="7"/>
  <c r="D30" i="7" s="1"/>
  <c r="C30" i="7" s="1"/>
  <c r="F51" i="7"/>
  <c r="D51" i="7" s="1"/>
  <c r="C51" i="7" s="1"/>
  <c r="F55" i="7"/>
  <c r="F59" i="7"/>
  <c r="F63" i="7"/>
  <c r="F67" i="7"/>
  <c r="D67" i="7" s="1"/>
  <c r="C67" i="7" s="1"/>
  <c r="F71" i="7"/>
  <c r="F75" i="7"/>
  <c r="F79" i="7"/>
  <c r="F83" i="7"/>
  <c r="F87" i="7"/>
  <c r="F91" i="7"/>
  <c r="F95" i="7"/>
  <c r="F18" i="7"/>
  <c r="D18" i="7" s="1"/>
  <c r="C18" i="7" s="1"/>
  <c r="F39" i="7"/>
  <c r="D39" i="7" s="1"/>
  <c r="C39" i="7" s="1"/>
  <c r="F104" i="7"/>
  <c r="F23" i="7"/>
  <c r="F40" i="7"/>
  <c r="F17" i="7"/>
  <c r="F21" i="7"/>
  <c r="F25" i="7"/>
  <c r="F34" i="7"/>
  <c r="D34" i="7" s="1"/>
  <c r="C34" i="7" s="1"/>
  <c r="F38" i="7"/>
  <c r="F42" i="7"/>
  <c r="F46" i="7"/>
  <c r="F99" i="7"/>
  <c r="F103" i="7"/>
  <c r="F100" i="7"/>
  <c r="F19" i="7"/>
  <c r="F27" i="7"/>
  <c r="D27" i="7" s="1"/>
  <c r="C27" i="7" s="1"/>
  <c r="F36" i="7"/>
  <c r="D36" i="7" s="1"/>
  <c r="C36" i="7" s="1"/>
  <c r="F44" i="7"/>
  <c r="D44" i="7" s="1"/>
  <c r="C44" i="7" s="1"/>
  <c r="F48" i="7"/>
  <c r="D53" i="7"/>
  <c r="C53" i="7" s="1"/>
  <c r="F104" i="8"/>
  <c r="F100" i="8"/>
  <c r="F47" i="8"/>
  <c r="D47" i="8" s="1"/>
  <c r="C47" i="8" s="1"/>
  <c r="F43" i="8"/>
  <c r="F37" i="8"/>
  <c r="F34" i="8"/>
  <c r="D31" i="8"/>
  <c r="C31" i="8" s="1"/>
  <c r="F25" i="8"/>
  <c r="F22" i="8"/>
  <c r="F95" i="8"/>
  <c r="F91" i="8"/>
  <c r="D91" i="8" s="1"/>
  <c r="C91" i="8" s="1"/>
  <c r="F87" i="8"/>
  <c r="D87" i="8" s="1"/>
  <c r="C87" i="8" s="1"/>
  <c r="F83" i="8"/>
  <c r="F79" i="8"/>
  <c r="F75" i="8"/>
  <c r="F71" i="8"/>
  <c r="F67" i="8"/>
  <c r="F63" i="8"/>
  <c r="F59" i="8"/>
  <c r="F55" i="8"/>
  <c r="F51" i="8"/>
  <c r="F30" i="8"/>
  <c r="F103" i="8"/>
  <c r="D103" i="8" s="1"/>
  <c r="C103" i="8" s="1"/>
  <c r="F99" i="8"/>
  <c r="D99" i="8" s="1"/>
  <c r="C99" i="8" s="1"/>
  <c r="F46" i="8"/>
  <c r="F39" i="8"/>
  <c r="F36" i="8"/>
  <c r="F27" i="8"/>
  <c r="D27" i="8" s="1"/>
  <c r="C27" i="8" s="1"/>
  <c r="F24" i="8"/>
  <c r="F19" i="8"/>
  <c r="F94" i="8"/>
  <c r="F90" i="8"/>
  <c r="F86" i="8"/>
  <c r="F82" i="8"/>
  <c r="F78" i="8"/>
  <c r="F74" i="8"/>
  <c r="F70" i="8"/>
  <c r="F66" i="8"/>
  <c r="F62" i="8"/>
  <c r="F58" i="8"/>
  <c r="F54" i="8"/>
  <c r="F50" i="8"/>
  <c r="F41" i="8"/>
  <c r="F38" i="8"/>
  <c r="F33" i="8"/>
  <c r="F26" i="8"/>
  <c r="F21" i="8"/>
  <c r="D21" i="8" s="1"/>
  <c r="C21" i="8" s="1"/>
  <c r="F18" i="8"/>
  <c r="F42" i="8"/>
  <c r="F102" i="8"/>
  <c r="F45" i="8"/>
  <c r="F97" i="8"/>
  <c r="F93" i="8"/>
  <c r="F89" i="8"/>
  <c r="F85" i="8"/>
  <c r="F81" i="8"/>
  <c r="F77" i="8"/>
  <c r="F73" i="8"/>
  <c r="F69" i="8"/>
  <c r="F65" i="8"/>
  <c r="F61" i="8"/>
  <c r="F57" i="8"/>
  <c r="F53" i="8"/>
  <c r="D53" i="8" s="1"/>
  <c r="C53" i="8" s="1"/>
  <c r="F101" i="8"/>
  <c r="F48" i="8"/>
  <c r="F44" i="8"/>
  <c r="F40" i="8"/>
  <c r="F35" i="8"/>
  <c r="F28" i="8"/>
  <c r="F23" i="8"/>
  <c r="F20" i="8"/>
  <c r="F17" i="8"/>
  <c r="F96" i="8"/>
  <c r="F92" i="8"/>
  <c r="F88" i="8"/>
  <c r="F84" i="8"/>
  <c r="F80" i="8"/>
  <c r="F76" i="8"/>
  <c r="F72" i="8"/>
  <c r="F68" i="8"/>
  <c r="F64" i="8"/>
  <c r="F60" i="8"/>
  <c r="F56" i="8"/>
  <c r="F52" i="8"/>
  <c r="F15" i="10"/>
  <c r="D45" i="7" l="1"/>
  <c r="C45" i="7" s="1"/>
  <c r="D101" i="8"/>
  <c r="C101" i="8" s="1"/>
  <c r="D93" i="7"/>
  <c r="C93" i="7" s="1"/>
  <c r="D85" i="8"/>
  <c r="C85" i="8" s="1"/>
  <c r="D61" i="7"/>
  <c r="C61" i="7" s="1"/>
  <c r="D76" i="7"/>
  <c r="C76" i="7" s="1"/>
  <c r="D37" i="7"/>
  <c r="C37" i="7" s="1"/>
  <c r="D23" i="8"/>
  <c r="C23" i="8" s="1"/>
  <c r="D79" i="7"/>
  <c r="C79" i="7" s="1"/>
  <c r="D75" i="7"/>
  <c r="C75" i="7" s="1"/>
  <c r="D46" i="7"/>
  <c r="C46" i="7" s="1"/>
  <c r="D43" i="8"/>
  <c r="C43" i="8" s="1"/>
  <c r="D89" i="7"/>
  <c r="C89" i="7" s="1"/>
  <c r="D85" i="7"/>
  <c r="C85" i="7" s="1"/>
  <c r="D60" i="7"/>
  <c r="C60" i="7" s="1"/>
  <c r="D96" i="7"/>
  <c r="C96" i="7" s="1"/>
  <c r="D97" i="7"/>
  <c r="C97" i="7" s="1"/>
  <c r="D89" i="8"/>
  <c r="C89" i="8" s="1"/>
  <c r="D67" i="8"/>
  <c r="C67" i="8" s="1"/>
  <c r="D83" i="7"/>
  <c r="C83" i="7" s="1"/>
  <c r="D25" i="7"/>
  <c r="C25" i="7" s="1"/>
  <c r="D24" i="7"/>
  <c r="C24" i="7" s="1"/>
  <c r="D86" i="7"/>
  <c r="C86" i="7" s="1"/>
  <c r="D63" i="8"/>
  <c r="C63" i="8" s="1"/>
  <c r="D58" i="7"/>
  <c r="C58" i="7" s="1"/>
  <c r="D72" i="7"/>
  <c r="C72" i="7" s="1"/>
  <c r="D57" i="8"/>
  <c r="C57" i="8" s="1"/>
  <c r="D84" i="7"/>
  <c r="C84" i="7" s="1"/>
  <c r="D71" i="7"/>
  <c r="C71" i="7" s="1"/>
  <c r="D48" i="7"/>
  <c r="C48" i="7" s="1"/>
  <c r="D54" i="7"/>
  <c r="C54" i="7" s="1"/>
  <c r="D31" i="7"/>
  <c r="C31" i="7" s="1"/>
  <c r="BX86" i="18"/>
  <c r="BX12" i="6"/>
  <c r="BX65" i="18"/>
  <c r="BX90" i="6"/>
  <c r="BX40" i="18"/>
  <c r="BX43" i="6"/>
  <c r="D60" i="8"/>
  <c r="C60" i="8" s="1"/>
  <c r="BW61" i="18"/>
  <c r="BW55" i="6"/>
  <c r="D84" i="8"/>
  <c r="C84" i="8" s="1"/>
  <c r="BW41" i="18"/>
  <c r="BW79" i="6"/>
  <c r="BW86" i="18"/>
  <c r="BW12" i="6"/>
  <c r="D44" i="8"/>
  <c r="C44" i="8" s="1"/>
  <c r="BW78" i="18"/>
  <c r="BW39" i="6"/>
  <c r="BW22" i="18"/>
  <c r="BW96" i="6"/>
  <c r="D65" i="8"/>
  <c r="C65" i="8" s="1"/>
  <c r="BW83" i="18"/>
  <c r="BW60" i="6"/>
  <c r="BW62" i="18"/>
  <c r="BW84" i="6"/>
  <c r="D95" i="8"/>
  <c r="C95" i="8" s="1"/>
  <c r="D41" i="8"/>
  <c r="C41" i="8" s="1"/>
  <c r="BW17" i="18"/>
  <c r="BW36" i="6"/>
  <c r="D66" i="8"/>
  <c r="C66" i="8" s="1"/>
  <c r="BW27" i="18"/>
  <c r="BW61" i="6"/>
  <c r="D90" i="8"/>
  <c r="C90" i="8" s="1"/>
  <c r="BW92" i="18"/>
  <c r="BW85" i="6"/>
  <c r="BW13" i="18"/>
  <c r="BW22" i="6"/>
  <c r="BW93" i="18"/>
  <c r="BW62" i="6"/>
  <c r="BW53" i="18"/>
  <c r="BW86" i="6"/>
  <c r="D37" i="8"/>
  <c r="C37" i="8" s="1"/>
  <c r="BW26" i="18"/>
  <c r="BW32" i="6"/>
  <c r="BU78" i="18"/>
  <c r="BU39" i="6"/>
  <c r="D99" i="7"/>
  <c r="C99" i="7" s="1"/>
  <c r="BU19" i="18"/>
  <c r="BU94" i="6"/>
  <c r="D21" i="7"/>
  <c r="C21" i="7" s="1"/>
  <c r="BU30" i="18"/>
  <c r="BU16" i="6"/>
  <c r="BU69" i="18"/>
  <c r="BU13" i="6"/>
  <c r="BU52" i="18"/>
  <c r="BU70" i="6"/>
  <c r="BU12" i="18"/>
  <c r="BU46" i="6"/>
  <c r="D78" i="7"/>
  <c r="C78" i="7" s="1"/>
  <c r="BU16" i="18"/>
  <c r="BU73" i="6"/>
  <c r="BU32" i="18"/>
  <c r="BU49" i="6"/>
  <c r="BU68" i="18"/>
  <c r="BU40" i="6"/>
  <c r="BU44" i="18"/>
  <c r="BU15" i="6"/>
  <c r="BU95" i="18"/>
  <c r="BU71" i="6"/>
  <c r="BU14" i="18"/>
  <c r="BU47" i="6"/>
  <c r="BU23" i="18"/>
  <c r="BU88" i="6"/>
  <c r="BU94" i="18"/>
  <c r="BU64" i="6"/>
  <c r="BV67" i="18"/>
  <c r="BV25" i="6"/>
  <c r="BV27" i="18"/>
  <c r="BV61" i="6"/>
  <c r="BV85" i="18"/>
  <c r="BV97" i="6"/>
  <c r="BX14" i="18"/>
  <c r="BX47" i="6"/>
  <c r="BX43" i="18"/>
  <c r="BX83" i="6"/>
  <c r="BV29" i="18"/>
  <c r="BV50" i="6"/>
  <c r="BV53" i="18"/>
  <c r="BV86" i="6"/>
  <c r="BX17" i="18"/>
  <c r="BX36" i="6"/>
  <c r="BX87" i="18"/>
  <c r="BX72" i="6"/>
  <c r="BV78" i="18"/>
  <c r="BV39" i="6"/>
  <c r="BV88" i="18"/>
  <c r="BV75" i="6"/>
  <c r="BX67" i="18"/>
  <c r="BX25" i="6"/>
  <c r="BX27" i="18"/>
  <c r="BX61" i="6"/>
  <c r="BX85" i="18"/>
  <c r="BX97" i="6"/>
  <c r="BV13" i="18"/>
  <c r="BV22" i="6"/>
  <c r="BV34" i="18"/>
  <c r="BV58" i="6"/>
  <c r="BV19" i="18"/>
  <c r="BV94" i="6"/>
  <c r="BX29" i="18"/>
  <c r="BX50" i="6"/>
  <c r="BX53" i="18"/>
  <c r="BX86" i="6"/>
  <c r="BV14" i="18"/>
  <c r="BV47" i="6"/>
  <c r="BV43" i="18"/>
  <c r="BV83" i="6"/>
  <c r="BX78" i="18"/>
  <c r="BX39" i="6"/>
  <c r="BX88" i="18"/>
  <c r="BX75" i="6"/>
  <c r="BV63" i="18"/>
  <c r="BV30" i="6"/>
  <c r="BV49" i="18"/>
  <c r="BV66" i="6"/>
  <c r="BX30" i="18"/>
  <c r="BX16" i="6"/>
  <c r="BX75" i="18"/>
  <c r="BX52" i="6"/>
  <c r="BX23" i="18"/>
  <c r="BX88" i="6"/>
  <c r="D26" i="8"/>
  <c r="C26" i="8" s="1"/>
  <c r="BW11" i="18"/>
  <c r="BW21" i="6"/>
  <c r="BW29" i="18"/>
  <c r="BW50" i="6"/>
  <c r="D19" i="7"/>
  <c r="C19" i="7" s="1"/>
  <c r="BU58" i="18"/>
  <c r="BU14" i="6"/>
  <c r="D87" i="7"/>
  <c r="C87" i="7" s="1"/>
  <c r="BU42" i="18"/>
  <c r="BU82" i="6"/>
  <c r="BU92" i="18"/>
  <c r="BU85" i="6"/>
  <c r="BU27" i="18"/>
  <c r="BU61" i="6"/>
  <c r="D43" i="7"/>
  <c r="C43" i="7" s="1"/>
  <c r="BU77" i="18"/>
  <c r="BU38" i="6"/>
  <c r="BU43" i="18"/>
  <c r="BU83" i="6"/>
  <c r="BU35" i="18"/>
  <c r="BU59" i="6"/>
  <c r="BU63" i="18"/>
  <c r="BU30" i="6"/>
  <c r="D81" i="7"/>
  <c r="C81" i="7" s="1"/>
  <c r="BU76" i="18"/>
  <c r="BU76" i="6"/>
  <c r="BU75" i="18"/>
  <c r="BU52" i="6"/>
  <c r="D64" i="8"/>
  <c r="C64" i="8" s="1"/>
  <c r="BW35" i="18"/>
  <c r="BW59" i="6"/>
  <c r="D88" i="8"/>
  <c r="C88" i="8" s="1"/>
  <c r="BW43" i="18"/>
  <c r="BW83" i="6"/>
  <c r="D20" i="8"/>
  <c r="C20" i="8" s="1"/>
  <c r="BW44" i="18"/>
  <c r="BW15" i="6"/>
  <c r="D48" i="8"/>
  <c r="C48" i="8" s="1"/>
  <c r="BW40" i="18"/>
  <c r="BW43" i="6"/>
  <c r="D69" i="8"/>
  <c r="C69" i="8" s="1"/>
  <c r="BW94" i="18"/>
  <c r="BW64" i="6"/>
  <c r="D93" i="8"/>
  <c r="C93" i="8" s="1"/>
  <c r="BW23" i="18"/>
  <c r="BW88" i="6"/>
  <c r="D18" i="8"/>
  <c r="C18" i="8" s="1"/>
  <c r="BW69" i="18"/>
  <c r="BW13" i="6"/>
  <c r="D70" i="8"/>
  <c r="C70" i="8" s="1"/>
  <c r="BW57" i="18"/>
  <c r="BW65" i="6"/>
  <c r="D94" i="8"/>
  <c r="C94" i="8" s="1"/>
  <c r="BW38" i="18"/>
  <c r="BW89" i="6"/>
  <c r="D36" i="8"/>
  <c r="C36" i="8" s="1"/>
  <c r="BW56" i="18"/>
  <c r="BW31" i="6"/>
  <c r="D71" i="8"/>
  <c r="C71" i="8" s="1"/>
  <c r="BW49" i="18"/>
  <c r="BW66" i="6"/>
  <c r="BW65" i="18"/>
  <c r="BW90" i="6"/>
  <c r="BW77" i="18"/>
  <c r="BW38" i="6"/>
  <c r="D90" i="7"/>
  <c r="C90" i="7" s="1"/>
  <c r="BU56" i="18"/>
  <c r="BU31" i="6"/>
  <c r="BU18" i="18"/>
  <c r="BU41" i="6"/>
  <c r="D17" i="7"/>
  <c r="C17" i="7" s="1"/>
  <c r="BU86" i="18"/>
  <c r="BU12" i="6"/>
  <c r="D95" i="7"/>
  <c r="C95" i="7" s="1"/>
  <c r="BU65" i="18"/>
  <c r="BU90" i="6"/>
  <c r="BU49" i="18"/>
  <c r="BU66" i="6"/>
  <c r="BU67" i="18"/>
  <c r="BU25" i="6"/>
  <c r="D74" i="7"/>
  <c r="C74" i="7" s="1"/>
  <c r="BU47" i="18"/>
  <c r="BU69" i="6"/>
  <c r="D50" i="7"/>
  <c r="C50" i="7" s="1"/>
  <c r="BU89" i="18"/>
  <c r="BU45" i="6"/>
  <c r="BU17" i="18"/>
  <c r="BU36" i="6"/>
  <c r="BU81" i="18"/>
  <c r="BU91" i="6"/>
  <c r="BU36" i="18"/>
  <c r="BU67" i="6"/>
  <c r="BU91" i="18"/>
  <c r="BU26" i="6"/>
  <c r="BU62" i="18"/>
  <c r="BU84" i="6"/>
  <c r="D65" i="7"/>
  <c r="C65" i="7" s="1"/>
  <c r="BU83" i="18"/>
  <c r="BU60" i="6"/>
  <c r="BV56" i="18"/>
  <c r="BV31" i="6"/>
  <c r="BV36" i="18"/>
  <c r="BV67" i="6"/>
  <c r="BX50" i="18"/>
  <c r="BX17" i="6"/>
  <c r="BX33" i="18"/>
  <c r="BX53" i="6"/>
  <c r="BX38" i="18"/>
  <c r="BX89" i="6"/>
  <c r="BV58" i="18"/>
  <c r="BV14" i="6"/>
  <c r="BV79" i="18"/>
  <c r="BV56" i="6"/>
  <c r="BV24" i="18"/>
  <c r="BV92" i="6"/>
  <c r="BX31" i="18"/>
  <c r="BX42" i="6"/>
  <c r="BX39" i="18"/>
  <c r="BX78" i="6"/>
  <c r="BV89" i="18"/>
  <c r="BV45" i="6"/>
  <c r="BV59" i="18"/>
  <c r="BV81" i="6"/>
  <c r="BX56" i="18"/>
  <c r="BX31" i="6"/>
  <c r="BX36" i="18"/>
  <c r="BX67" i="6"/>
  <c r="BV21" i="18"/>
  <c r="BV28" i="6"/>
  <c r="BV94" i="18"/>
  <c r="BV64" i="6"/>
  <c r="BX58" i="18"/>
  <c r="BX14" i="6"/>
  <c r="BX79" i="18"/>
  <c r="BX56" i="6"/>
  <c r="BX24" i="18"/>
  <c r="BX92" i="6"/>
  <c r="BV50" i="18"/>
  <c r="BV17" i="6"/>
  <c r="BV33" i="18"/>
  <c r="BV53" i="6"/>
  <c r="BV38" i="18"/>
  <c r="BV89" i="6"/>
  <c r="BX89" i="18"/>
  <c r="BX45" i="6"/>
  <c r="BX59" i="18"/>
  <c r="BX81" i="6"/>
  <c r="BV17" i="18"/>
  <c r="BV36" i="6"/>
  <c r="BV87" i="18"/>
  <c r="BV72" i="6"/>
  <c r="BX13" i="18"/>
  <c r="BX22" i="6"/>
  <c r="BX34" i="18"/>
  <c r="BX58" i="6"/>
  <c r="BX19" i="18"/>
  <c r="BX94" i="6"/>
  <c r="D28" i="8"/>
  <c r="C28" i="8" s="1"/>
  <c r="BW55" i="18"/>
  <c r="BW23" i="6"/>
  <c r="D45" i="8"/>
  <c r="C45" i="8" s="1"/>
  <c r="BW68" i="18"/>
  <c r="BW40" i="6"/>
  <c r="D78" i="8"/>
  <c r="C78" i="8" s="1"/>
  <c r="BW16" i="18"/>
  <c r="BW73" i="6"/>
  <c r="D46" i="8"/>
  <c r="C46" i="8" s="1"/>
  <c r="BW18" i="18"/>
  <c r="BW41" i="6"/>
  <c r="D25" i="8"/>
  <c r="C25" i="8" s="1"/>
  <c r="BW73" i="18"/>
  <c r="BW20" i="6"/>
  <c r="BU70" i="18"/>
  <c r="BU33" i="6"/>
  <c r="D17" i="8"/>
  <c r="C17" i="8" s="1"/>
  <c r="D68" i="8"/>
  <c r="C68" i="8" s="1"/>
  <c r="BW72" i="18"/>
  <c r="BW63" i="6"/>
  <c r="D92" i="8"/>
  <c r="C92" i="8" s="1"/>
  <c r="BW15" i="18"/>
  <c r="BW87" i="6"/>
  <c r="BW25" i="18"/>
  <c r="BW18" i="6"/>
  <c r="D73" i="8"/>
  <c r="C73" i="8" s="1"/>
  <c r="BW37" i="18"/>
  <c r="BW68" i="6"/>
  <c r="D97" i="8"/>
  <c r="C97" i="8" s="1"/>
  <c r="BW24" i="18"/>
  <c r="BW92" i="6"/>
  <c r="BW30" i="18"/>
  <c r="BW16" i="6"/>
  <c r="D50" i="8"/>
  <c r="C50" i="8" s="1"/>
  <c r="BW89" i="18"/>
  <c r="BW45" i="6"/>
  <c r="D74" i="8"/>
  <c r="C74" i="8" s="1"/>
  <c r="BW47" i="18"/>
  <c r="BW69" i="6"/>
  <c r="D39" i="8"/>
  <c r="C39" i="8" s="1"/>
  <c r="BW74" i="18"/>
  <c r="BW34" i="6"/>
  <c r="BW12" i="18"/>
  <c r="BW46" i="6"/>
  <c r="D75" i="8"/>
  <c r="C75" i="8" s="1"/>
  <c r="BW52" i="18"/>
  <c r="BW70" i="6"/>
  <c r="D22" i="8"/>
  <c r="C22" i="8" s="1"/>
  <c r="BW50" i="18"/>
  <c r="BW17" i="6"/>
  <c r="BW31" i="18"/>
  <c r="BW42" i="6"/>
  <c r="D64" i="7"/>
  <c r="C64" i="7" s="1"/>
  <c r="BU13" i="18"/>
  <c r="BU22" i="6"/>
  <c r="BU28" i="18"/>
  <c r="BU37" i="6"/>
  <c r="BU46" i="18"/>
  <c r="BU35" i="6"/>
  <c r="D91" i="7"/>
  <c r="C91" i="7" s="1"/>
  <c r="BU53" i="18"/>
  <c r="BU86" i="6"/>
  <c r="BU93" i="18"/>
  <c r="BU62" i="6"/>
  <c r="BU38" i="18"/>
  <c r="BU89" i="6"/>
  <c r="BU57" i="18"/>
  <c r="BU65" i="6"/>
  <c r="D101" i="7"/>
  <c r="C101" i="7" s="1"/>
  <c r="BU22" i="18"/>
  <c r="BU96" i="6"/>
  <c r="BU26" i="18"/>
  <c r="BU32" i="6"/>
  <c r="BU15" i="18"/>
  <c r="BU87" i="6"/>
  <c r="D68" i="7"/>
  <c r="C68" i="7" s="1"/>
  <c r="BU72" i="18"/>
  <c r="BU63" i="6"/>
  <c r="D47" i="7"/>
  <c r="C47" i="7" s="1"/>
  <c r="BU31" i="18"/>
  <c r="BU42" i="6"/>
  <c r="BU66" i="18"/>
  <c r="BU80" i="6"/>
  <c r="BU79" i="18"/>
  <c r="BU56" i="6"/>
  <c r="BV28" i="18"/>
  <c r="BV37" i="6"/>
  <c r="BV16" i="18"/>
  <c r="BV73" i="6"/>
  <c r="BX55" i="18"/>
  <c r="BX23" i="6"/>
  <c r="BX35" i="18"/>
  <c r="BX59" i="6"/>
  <c r="BX54" i="18"/>
  <c r="BX95" i="6"/>
  <c r="BV73" i="18"/>
  <c r="BV20" i="6"/>
  <c r="BV93" i="18"/>
  <c r="BV62" i="6"/>
  <c r="BV51" i="18"/>
  <c r="BV98" i="6"/>
  <c r="BX64" i="18"/>
  <c r="BX48" i="6"/>
  <c r="BX62" i="18"/>
  <c r="BX84" i="6"/>
  <c r="BV60" i="18"/>
  <c r="BV51" i="6"/>
  <c r="BV15" i="18"/>
  <c r="BV87" i="6"/>
  <c r="BX28" i="18"/>
  <c r="BX37" i="6"/>
  <c r="BX16" i="18"/>
  <c r="BX73" i="6"/>
  <c r="BV74" i="18"/>
  <c r="BV34" i="6"/>
  <c r="BV52" i="18"/>
  <c r="BV70" i="6"/>
  <c r="BX73" i="18"/>
  <c r="BX20" i="6"/>
  <c r="BX93" i="18"/>
  <c r="BX62" i="6"/>
  <c r="BX51" i="18"/>
  <c r="BX98" i="6"/>
  <c r="BV55" i="18"/>
  <c r="BV23" i="6"/>
  <c r="BV35" i="18"/>
  <c r="BV59" i="6"/>
  <c r="BV54" i="18"/>
  <c r="BV95" i="6"/>
  <c r="BX60" i="18"/>
  <c r="BX51" i="6"/>
  <c r="BX15" i="18"/>
  <c r="BX87" i="6"/>
  <c r="BV31" i="18"/>
  <c r="BV42" i="6"/>
  <c r="BV39" i="18"/>
  <c r="BV78" i="6"/>
  <c r="BX21" i="18"/>
  <c r="BX28" i="6"/>
  <c r="BX94" i="18"/>
  <c r="BX64" i="6"/>
  <c r="BV37" i="18"/>
  <c r="BV68" i="6"/>
  <c r="BV44" i="18"/>
  <c r="BV15" i="6"/>
  <c r="BV20" i="18"/>
  <c r="BV99" i="6"/>
  <c r="BX41" i="18"/>
  <c r="BX79" i="6"/>
  <c r="BV68" i="18"/>
  <c r="BV40" i="6"/>
  <c r="BV76" i="18"/>
  <c r="BV76" i="6"/>
  <c r="BX91" i="18"/>
  <c r="BX26" i="6"/>
  <c r="BX37" i="18"/>
  <c r="BX68" i="6"/>
  <c r="BV84" i="18"/>
  <c r="BV29" i="6"/>
  <c r="BV57" i="18"/>
  <c r="BV65" i="6"/>
  <c r="BX44" i="18"/>
  <c r="BX15" i="6"/>
  <c r="BX80" i="18"/>
  <c r="BX57" i="6"/>
  <c r="BX20" i="18"/>
  <c r="BX99" i="6"/>
  <c r="BV64" i="18"/>
  <c r="BV48" i="6"/>
  <c r="BV62" i="18"/>
  <c r="BV84" i="6"/>
  <c r="BX74" i="18"/>
  <c r="BX34" i="6"/>
  <c r="BX52" i="18"/>
  <c r="BX70" i="6"/>
  <c r="D96" i="8"/>
  <c r="C96" i="8" s="1"/>
  <c r="BW81" i="18"/>
  <c r="BW91" i="6"/>
  <c r="D77" i="8"/>
  <c r="C77" i="8" s="1"/>
  <c r="BW87" i="18"/>
  <c r="BW72" i="6"/>
  <c r="D79" i="8"/>
  <c r="C79" i="8" s="1"/>
  <c r="BW90" i="18"/>
  <c r="BW74" i="6"/>
  <c r="D63" i="7"/>
  <c r="C63" i="7" s="1"/>
  <c r="BU34" i="18"/>
  <c r="BU58" i="6"/>
  <c r="D33" i="7"/>
  <c r="C33" i="7" s="1"/>
  <c r="BU21" i="18"/>
  <c r="BU28" i="6"/>
  <c r="BV41" i="18"/>
  <c r="BV79" i="6"/>
  <c r="BX57" i="18"/>
  <c r="BX65" i="6"/>
  <c r="BV91" i="18"/>
  <c r="BV26" i="6"/>
  <c r="D52" i="8"/>
  <c r="C52" i="8" s="1"/>
  <c r="BW14" i="18"/>
  <c r="BW47" i="6"/>
  <c r="D76" i="8"/>
  <c r="C76" i="8" s="1"/>
  <c r="BW95" i="18"/>
  <c r="BW71" i="6"/>
  <c r="D35" i="8"/>
  <c r="C35" i="8" s="1"/>
  <c r="BW63" i="18"/>
  <c r="BW30" i="6"/>
  <c r="BW75" i="18"/>
  <c r="BW52" i="6"/>
  <c r="D81" i="8"/>
  <c r="C81" i="8" s="1"/>
  <c r="BW76" i="18"/>
  <c r="BW76" i="6"/>
  <c r="D102" i="8"/>
  <c r="C102" i="8" s="1"/>
  <c r="BW85" i="18"/>
  <c r="BW97" i="6"/>
  <c r="D33" i="8"/>
  <c r="C33" i="8" s="1"/>
  <c r="BW21" i="18"/>
  <c r="BW28" i="6"/>
  <c r="D58" i="8"/>
  <c r="C58" i="8" s="1"/>
  <c r="BW33" i="18"/>
  <c r="BW53" i="6"/>
  <c r="D82" i="8"/>
  <c r="C82" i="8" s="1"/>
  <c r="BW71" i="18"/>
  <c r="BW77" i="6"/>
  <c r="D19" i="8"/>
  <c r="C19" i="8" s="1"/>
  <c r="BW58" i="18"/>
  <c r="BW14" i="6"/>
  <c r="D51" i="8"/>
  <c r="C51" i="8" s="1"/>
  <c r="BW51" i="18"/>
  <c r="BW98" i="6"/>
  <c r="BW48" i="18"/>
  <c r="BW54" i="6"/>
  <c r="D83" i="8"/>
  <c r="C83" i="8" s="1"/>
  <c r="BW39" i="18"/>
  <c r="BW78" i="6"/>
  <c r="D104" i="8"/>
  <c r="C104" i="8" s="1"/>
  <c r="BW20" i="18"/>
  <c r="BW99" i="6"/>
  <c r="D40" i="7"/>
  <c r="C40" i="7" s="1"/>
  <c r="D66" i="7"/>
  <c r="C66" i="7" s="1"/>
  <c r="D38" i="7"/>
  <c r="C38" i="7" s="1"/>
  <c r="D35" i="7"/>
  <c r="C35" i="7" s="1"/>
  <c r="D100" i="7"/>
  <c r="C100" i="7" s="1"/>
  <c r="BU54" i="18"/>
  <c r="BU95" i="6"/>
  <c r="BU84" i="18"/>
  <c r="BU29" i="6"/>
  <c r="D104" i="7"/>
  <c r="C104" i="7" s="1"/>
  <c r="BU20" i="18"/>
  <c r="BU99" i="6"/>
  <c r="BU39" i="18"/>
  <c r="BU78" i="6"/>
  <c r="D59" i="7"/>
  <c r="C59" i="7" s="1"/>
  <c r="BU48" i="18"/>
  <c r="BU54" i="6"/>
  <c r="BU59" i="18"/>
  <c r="BU81" i="6"/>
  <c r="BU80" i="18"/>
  <c r="BU57" i="6"/>
  <c r="BU11" i="18"/>
  <c r="BU21" i="6"/>
  <c r="D28" i="7"/>
  <c r="C28" i="7" s="1"/>
  <c r="BU55" i="18"/>
  <c r="BU23" i="6"/>
  <c r="BU41" i="18"/>
  <c r="BU79" i="6"/>
  <c r="BU61" i="18"/>
  <c r="BU55" i="6"/>
  <c r="BU50" i="18"/>
  <c r="BU17" i="6"/>
  <c r="D77" i="7"/>
  <c r="C77" i="7" s="1"/>
  <c r="BU87" i="18"/>
  <c r="BU72" i="6"/>
  <c r="BU64" i="18"/>
  <c r="BU48" i="6"/>
  <c r="BV32" i="18"/>
  <c r="BV49" i="6"/>
  <c r="BV92" i="18"/>
  <c r="BV85" i="6"/>
  <c r="BX46" i="18"/>
  <c r="BX35" i="6"/>
  <c r="BX95" i="18"/>
  <c r="BX71" i="6"/>
  <c r="BV26" i="18"/>
  <c r="BV32" i="6"/>
  <c r="BV90" i="18"/>
  <c r="BV74" i="6"/>
  <c r="BX25" i="18"/>
  <c r="BX18" i="6"/>
  <c r="BX83" i="18"/>
  <c r="BX60" i="6"/>
  <c r="BX22" i="18"/>
  <c r="BX96" i="6"/>
  <c r="BV11" i="18"/>
  <c r="BV21" i="6"/>
  <c r="BV72" i="18"/>
  <c r="BV63" i="6"/>
  <c r="BX69" i="18"/>
  <c r="BX13" i="6"/>
  <c r="BX32" i="18"/>
  <c r="BX49" i="6"/>
  <c r="BX92" i="18"/>
  <c r="BX85" i="6"/>
  <c r="BV12" i="18"/>
  <c r="BV46" i="6"/>
  <c r="BV42" i="18"/>
  <c r="BV82" i="6"/>
  <c r="BX26" i="18"/>
  <c r="BX32" i="6"/>
  <c r="BX90" i="18"/>
  <c r="BX74" i="6"/>
  <c r="BV46" i="18"/>
  <c r="BV35" i="6"/>
  <c r="BV95" i="18"/>
  <c r="BV71" i="6"/>
  <c r="BX11" i="18"/>
  <c r="BX21" i="6"/>
  <c r="BX72" i="18"/>
  <c r="BX63" i="6"/>
  <c r="BV86" i="18"/>
  <c r="BV12" i="6"/>
  <c r="BV48" i="18"/>
  <c r="BV54" i="6"/>
  <c r="BV65" i="18"/>
  <c r="BV90" i="6"/>
  <c r="BX68" i="18"/>
  <c r="BX40" i="6"/>
  <c r="BX76" i="18"/>
  <c r="BX76" i="6"/>
  <c r="D72" i="8"/>
  <c r="C72" i="8" s="1"/>
  <c r="BW36" i="18"/>
  <c r="BW67" i="6"/>
  <c r="BW64" i="18"/>
  <c r="BW48" i="6"/>
  <c r="D54" i="8"/>
  <c r="C54" i="8" s="1"/>
  <c r="BW32" i="18"/>
  <c r="BW49" i="6"/>
  <c r="BW19" i="18"/>
  <c r="BW94" i="6"/>
  <c r="D100" i="8"/>
  <c r="C100" i="8" s="1"/>
  <c r="BW54" i="18"/>
  <c r="BW95" i="6"/>
  <c r="D23" i="7"/>
  <c r="C23" i="7" s="1"/>
  <c r="BU25" i="18"/>
  <c r="BU18" i="6"/>
  <c r="BV40" i="18"/>
  <c r="BV43" i="6"/>
  <c r="BX84" i="18"/>
  <c r="BX29" i="6"/>
  <c r="BX48" i="18"/>
  <c r="BX54" i="6"/>
  <c r="BV80" i="18"/>
  <c r="BV57" i="6"/>
  <c r="O10" i="6"/>
  <c r="O10" i="18"/>
  <c r="D56" i="8"/>
  <c r="C56" i="8" s="1"/>
  <c r="BW60" i="18"/>
  <c r="BW51" i="6"/>
  <c r="D80" i="8"/>
  <c r="C80" i="8" s="1"/>
  <c r="BW88" i="18"/>
  <c r="BW75" i="6"/>
  <c r="D59" i="8"/>
  <c r="C59" i="8" s="1"/>
  <c r="D40" i="8"/>
  <c r="C40" i="8" s="1"/>
  <c r="BW46" i="18"/>
  <c r="BW35" i="6"/>
  <c r="D61" i="8"/>
  <c r="C61" i="8" s="1"/>
  <c r="BW79" i="18"/>
  <c r="BW56" i="6"/>
  <c r="BW66" i="18"/>
  <c r="BW80" i="6"/>
  <c r="D42" i="8"/>
  <c r="C42" i="8" s="1"/>
  <c r="BW28" i="18"/>
  <c r="BW37" i="6"/>
  <c r="D38" i="8"/>
  <c r="C38" i="8" s="1"/>
  <c r="BW70" i="18"/>
  <c r="BW33" i="6"/>
  <c r="D62" i="8"/>
  <c r="C62" i="8" s="1"/>
  <c r="BW80" i="18"/>
  <c r="BW57" i="6"/>
  <c r="D86" i="8"/>
  <c r="C86" i="8" s="1"/>
  <c r="BW59" i="18"/>
  <c r="BW81" i="6"/>
  <c r="D24" i="8"/>
  <c r="C24" i="8" s="1"/>
  <c r="BW45" i="18"/>
  <c r="BW19" i="6"/>
  <c r="D55" i="8"/>
  <c r="C55" i="8" s="1"/>
  <c r="D30" i="8"/>
  <c r="C30" i="8" s="1"/>
  <c r="BW67" i="18"/>
  <c r="BW25" i="6"/>
  <c r="BW34" i="18"/>
  <c r="BW58" i="6"/>
  <c r="BW42" i="18"/>
  <c r="BW82" i="6"/>
  <c r="D34" i="8"/>
  <c r="C34" i="8" s="1"/>
  <c r="BW84" i="18"/>
  <c r="BW29" i="6"/>
  <c r="D20" i="7"/>
  <c r="C20" i="7" s="1"/>
  <c r="D70" i="7"/>
  <c r="C70" i="7" s="1"/>
  <c r="D88" i="7"/>
  <c r="C88" i="7" s="1"/>
  <c r="D42" i="7"/>
  <c r="C42" i="7" s="1"/>
  <c r="BU40" i="18"/>
  <c r="BU43" i="6"/>
  <c r="D103" i="7"/>
  <c r="C103" i="7" s="1"/>
  <c r="BU51" i="18"/>
  <c r="BU98" i="6"/>
  <c r="BU73" i="18"/>
  <c r="BU20" i="6"/>
  <c r="BU74" i="18"/>
  <c r="BU34" i="6"/>
  <c r="BU90" i="18"/>
  <c r="BU74" i="6"/>
  <c r="D55" i="7"/>
  <c r="C55" i="7" s="1"/>
  <c r="BU29" i="18"/>
  <c r="BU50" i="6"/>
  <c r="D82" i="7"/>
  <c r="C82" i="7" s="1"/>
  <c r="BU71" i="18"/>
  <c r="BU77" i="6"/>
  <c r="BU33" i="18"/>
  <c r="BU53" i="6"/>
  <c r="D102" i="7"/>
  <c r="C102" i="7" s="1"/>
  <c r="BU85" i="18"/>
  <c r="BU97" i="6"/>
  <c r="BU45" i="18"/>
  <c r="BU19" i="6"/>
  <c r="D80" i="7"/>
  <c r="C80" i="7" s="1"/>
  <c r="BU88" i="18"/>
  <c r="BU75" i="6"/>
  <c r="BU60" i="18"/>
  <c r="BU51" i="6"/>
  <c r="BU24" i="18"/>
  <c r="BU92" i="6"/>
  <c r="D73" i="7"/>
  <c r="C73" i="7" s="1"/>
  <c r="BU37" i="18"/>
  <c r="BU68" i="6"/>
  <c r="BV45" i="18"/>
  <c r="BV19" i="6"/>
  <c r="BV61" i="18"/>
  <c r="BV55" i="6"/>
  <c r="BV81" i="18"/>
  <c r="BV91" i="6"/>
  <c r="BX18" i="18"/>
  <c r="BX41" i="6"/>
  <c r="BX71" i="18"/>
  <c r="BX77" i="6"/>
  <c r="BV77" i="18"/>
  <c r="BV38" i="6"/>
  <c r="BV66" i="18"/>
  <c r="BV80" i="6"/>
  <c r="BX63" i="18"/>
  <c r="BX30" i="6"/>
  <c r="BX49" i="18"/>
  <c r="BX66" i="6"/>
  <c r="BV70" i="18"/>
  <c r="BV33" i="6"/>
  <c r="BV47" i="18"/>
  <c r="BV69" i="6"/>
  <c r="BX45" i="18"/>
  <c r="BX19" i="6"/>
  <c r="BX61" i="18"/>
  <c r="BX55" i="6"/>
  <c r="BX81" i="18"/>
  <c r="BX91" i="6"/>
  <c r="BV30" i="18"/>
  <c r="BV16" i="6"/>
  <c r="BV75" i="18"/>
  <c r="BV52" i="6"/>
  <c r="BV23" i="18"/>
  <c r="BV88" i="6"/>
  <c r="BX77" i="18"/>
  <c r="BX38" i="6"/>
  <c r="BX66" i="18"/>
  <c r="BX80" i="6"/>
  <c r="BV18" i="18"/>
  <c r="BV41" i="6"/>
  <c r="BV71" i="18"/>
  <c r="BV77" i="6"/>
  <c r="BX70" i="18"/>
  <c r="BX33" i="6"/>
  <c r="BX47" i="18"/>
  <c r="BX69" i="6"/>
  <c r="BV25" i="18"/>
  <c r="BV18" i="6"/>
  <c r="BV83" i="18"/>
  <c r="BV60" i="6"/>
  <c r="BV22" i="18"/>
  <c r="BV96" i="6"/>
  <c r="BX12" i="18"/>
  <c r="BX46" i="6"/>
  <c r="BX42" i="18"/>
  <c r="BX82" i="6"/>
  <c r="J15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F49" i="14"/>
  <c r="G49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J16" i="10"/>
  <c r="BF84" i="6" l="1"/>
  <c r="BF97" i="6"/>
  <c r="BF22" i="6"/>
  <c r="BF51" i="6"/>
  <c r="BF17" i="6"/>
  <c r="BF86" i="6"/>
  <c r="BF68" i="6"/>
  <c r="BF72" i="6"/>
  <c r="BF61" i="6"/>
  <c r="BF89" i="6"/>
  <c r="BF79" i="6"/>
  <c r="BF78" i="6"/>
  <c r="BF20" i="6"/>
  <c r="BF75" i="6"/>
  <c r="BF55" i="6"/>
  <c r="BF50" i="6"/>
  <c r="BF87" i="6"/>
  <c r="BF74" i="6"/>
  <c r="BF23" i="6"/>
  <c r="BF34" i="6"/>
  <c r="BF99" i="6"/>
  <c r="BF92" i="6"/>
  <c r="BF53" i="6"/>
  <c r="K49" i="14"/>
  <c r="BF48" i="6"/>
  <c r="BF81" i="6"/>
  <c r="BF95" i="6"/>
  <c r="BF63" i="6"/>
  <c r="BF67" i="6"/>
  <c r="BF45" i="6"/>
  <c r="BF25" i="6"/>
  <c r="BF31" i="6"/>
  <c r="BF30" i="6"/>
  <c r="BF38" i="6"/>
  <c r="BF70" i="6"/>
  <c r="BF80" i="6"/>
  <c r="BF96" i="6"/>
  <c r="BF35" i="6"/>
  <c r="BF12" i="6"/>
  <c r="BF52" i="6"/>
  <c r="BF82" i="6"/>
  <c r="BF88" i="6"/>
  <c r="BF15" i="6"/>
  <c r="BF73" i="6"/>
  <c r="BF94" i="6"/>
  <c r="BF43" i="6"/>
  <c r="BF18" i="6"/>
  <c r="BF21" i="6"/>
  <c r="BF54" i="6"/>
  <c r="BF58" i="6"/>
  <c r="BF62" i="6"/>
  <c r="BF91" i="6"/>
  <c r="BF66" i="6"/>
  <c r="BF59" i="6"/>
  <c r="BF13" i="6"/>
  <c r="BF42" i="6"/>
  <c r="BF37" i="6"/>
  <c r="BF69" i="6"/>
  <c r="BF76" i="6"/>
  <c r="BF47" i="6"/>
  <c r="BF40" i="6"/>
  <c r="BF19" i="6"/>
  <c r="BF57" i="6"/>
  <c r="BF29" i="6"/>
  <c r="BF65" i="6"/>
  <c r="BF26" i="6"/>
  <c r="BF36" i="6"/>
  <c r="BF90" i="6"/>
  <c r="BF41" i="6"/>
  <c r="BF83" i="6"/>
  <c r="BF14" i="6"/>
  <c r="BF46" i="6"/>
  <c r="BF16" i="6"/>
  <c r="BF39" i="6"/>
  <c r="BF77" i="6"/>
  <c r="BF98" i="6"/>
  <c r="BF28" i="6"/>
  <c r="BF56" i="6"/>
  <c r="BF32" i="6"/>
  <c r="BF33" i="6"/>
  <c r="BF60" i="6"/>
  <c r="BF85" i="6"/>
  <c r="BF64" i="6"/>
  <c r="BF71" i="6"/>
  <c r="BF49" i="6"/>
  <c r="L49" i="14"/>
  <c r="E49" i="14"/>
  <c r="I49" i="14" s="1"/>
  <c r="H98" i="18" s="1"/>
  <c r="D49" i="14"/>
  <c r="C49" i="14" s="1"/>
  <c r="C5" i="14"/>
  <c r="B5" i="14"/>
  <c r="CB5" i="6"/>
  <c r="K16" i="9"/>
  <c r="H16" i="14"/>
  <c r="F19" i="14"/>
  <c r="G19" i="14"/>
  <c r="F20" i="14"/>
  <c r="G20" i="14"/>
  <c r="F21" i="14"/>
  <c r="G21" i="14"/>
  <c r="E15" i="15"/>
  <c r="AW12" i="6"/>
  <c r="AW13" i="6"/>
  <c r="AW14" i="6"/>
  <c r="AW15" i="6"/>
  <c r="AW16" i="6"/>
  <c r="AW17" i="6"/>
  <c r="AW18" i="6"/>
  <c r="AW19" i="6"/>
  <c r="AW20" i="6"/>
  <c r="AW21" i="6"/>
  <c r="AW22" i="6"/>
  <c r="AW23" i="6"/>
  <c r="AW25" i="6"/>
  <c r="AW26" i="6"/>
  <c r="AW28" i="6"/>
  <c r="AW29" i="6"/>
  <c r="AW30" i="6"/>
  <c r="AW31" i="6"/>
  <c r="AW32" i="6"/>
  <c r="AW33" i="6"/>
  <c r="AW34" i="6"/>
  <c r="AW35" i="6"/>
  <c r="AW36" i="6"/>
  <c r="AW37" i="6"/>
  <c r="AW38" i="6"/>
  <c r="AW39" i="6"/>
  <c r="AW40" i="6"/>
  <c r="AW41" i="6"/>
  <c r="AW42" i="6"/>
  <c r="AW43" i="6"/>
  <c r="AW45" i="6"/>
  <c r="AW46" i="6"/>
  <c r="AW47" i="6"/>
  <c r="AW48" i="6"/>
  <c r="AW49" i="6"/>
  <c r="AW50" i="6"/>
  <c r="AW51" i="6"/>
  <c r="AW52" i="6"/>
  <c r="AW53" i="6"/>
  <c r="AW54" i="6"/>
  <c r="AW55" i="6"/>
  <c r="AW56" i="6"/>
  <c r="AW57" i="6"/>
  <c r="AW58" i="6"/>
  <c r="AW59" i="6"/>
  <c r="AW60" i="6"/>
  <c r="AW61" i="6"/>
  <c r="AW62" i="6"/>
  <c r="AW63" i="6"/>
  <c r="AW64" i="6"/>
  <c r="AW65" i="6"/>
  <c r="AW66" i="6"/>
  <c r="AW67" i="6"/>
  <c r="AW68" i="6"/>
  <c r="AW69" i="6"/>
  <c r="AW70" i="6"/>
  <c r="AW71" i="6"/>
  <c r="AW72" i="6"/>
  <c r="AW73" i="6"/>
  <c r="AW74" i="6"/>
  <c r="AW75" i="6"/>
  <c r="AW76" i="6"/>
  <c r="AW77" i="6"/>
  <c r="AW78" i="6"/>
  <c r="AW79" i="6"/>
  <c r="AW80" i="6"/>
  <c r="AW81" i="6"/>
  <c r="AW82" i="6"/>
  <c r="AW83" i="6"/>
  <c r="AW84" i="6"/>
  <c r="AW85" i="6"/>
  <c r="AW86" i="6"/>
  <c r="AW87" i="6"/>
  <c r="AW88" i="6"/>
  <c r="AW89" i="6"/>
  <c r="AW90" i="6"/>
  <c r="AW91" i="6"/>
  <c r="AW92" i="6"/>
  <c r="AW94" i="6"/>
  <c r="AW95" i="6"/>
  <c r="AW96" i="6"/>
  <c r="AW97" i="6"/>
  <c r="AW98" i="6"/>
  <c r="AW99" i="6"/>
  <c r="AW11" i="6"/>
  <c r="F15" i="17"/>
  <c r="G16" i="17"/>
  <c r="C42" i="3" s="1"/>
  <c r="D16" i="17"/>
  <c r="C17" i="16"/>
  <c r="C18" i="16"/>
  <c r="C19" i="16"/>
  <c r="C20" i="16"/>
  <c r="C21" i="16"/>
  <c r="C22" i="16"/>
  <c r="C23" i="16"/>
  <c r="C24" i="16"/>
  <c r="C25" i="16"/>
  <c r="C26" i="16"/>
  <c r="C27" i="16"/>
  <c r="C28" i="16"/>
  <c r="C30" i="16"/>
  <c r="C31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9" i="16"/>
  <c r="C100" i="16"/>
  <c r="C101" i="16"/>
  <c r="C102" i="16"/>
  <c r="C103" i="16"/>
  <c r="C104" i="16"/>
  <c r="C16" i="16"/>
  <c r="F16" i="15"/>
  <c r="D16" i="15"/>
  <c r="F23" i="14"/>
  <c r="G23" i="14"/>
  <c r="F26" i="14"/>
  <c r="G26" i="14"/>
  <c r="F27" i="14"/>
  <c r="G27" i="14"/>
  <c r="F28" i="14"/>
  <c r="G28" i="14"/>
  <c r="F33" i="14"/>
  <c r="G33" i="14"/>
  <c r="F36" i="14"/>
  <c r="G36" i="14"/>
  <c r="F37" i="14"/>
  <c r="G37" i="14"/>
  <c r="F38" i="14"/>
  <c r="G38" i="14"/>
  <c r="F41" i="14"/>
  <c r="G41" i="14"/>
  <c r="F42" i="14"/>
  <c r="G46" i="14"/>
  <c r="F47" i="14"/>
  <c r="G47" i="14"/>
  <c r="F48" i="14"/>
  <c r="F52" i="14"/>
  <c r="G52" i="14"/>
  <c r="F53" i="14"/>
  <c r="F56" i="14"/>
  <c r="G56" i="14"/>
  <c r="F58" i="14"/>
  <c r="G58" i="14"/>
  <c r="F59" i="14"/>
  <c r="G59" i="14"/>
  <c r="F60" i="14"/>
  <c r="F62" i="14"/>
  <c r="G62" i="14"/>
  <c r="F64" i="14"/>
  <c r="G64" i="14"/>
  <c r="F71" i="14"/>
  <c r="G71" i="14"/>
  <c r="F72" i="14"/>
  <c r="G72" i="14"/>
  <c r="F75" i="14"/>
  <c r="G75" i="14"/>
  <c r="F78" i="14"/>
  <c r="G78" i="14"/>
  <c r="F84" i="14"/>
  <c r="G84" i="14"/>
  <c r="F85" i="14"/>
  <c r="G85" i="14"/>
  <c r="F86" i="14"/>
  <c r="F87" i="14"/>
  <c r="G87" i="14"/>
  <c r="F88" i="14"/>
  <c r="F89" i="14"/>
  <c r="G89" i="14"/>
  <c r="F92" i="14"/>
  <c r="G92" i="14"/>
  <c r="F93" i="14"/>
  <c r="G93" i="14"/>
  <c r="F94" i="14"/>
  <c r="G94" i="14"/>
  <c r="F95" i="14"/>
  <c r="F99" i="14"/>
  <c r="G99" i="14"/>
  <c r="F100" i="14"/>
  <c r="G100" i="14"/>
  <c r="F101" i="14"/>
  <c r="G101" i="14"/>
  <c r="F103" i="14"/>
  <c r="G103" i="14"/>
  <c r="F104" i="14"/>
  <c r="G104" i="14"/>
  <c r="F16" i="14"/>
  <c r="F18" i="14"/>
  <c r="G18" i="14"/>
  <c r="F24" i="14"/>
  <c r="G24" i="14"/>
  <c r="F29" i="14"/>
  <c r="G29" i="14"/>
  <c r="F30" i="14"/>
  <c r="G30" i="14"/>
  <c r="F31" i="14"/>
  <c r="G31" i="14"/>
  <c r="F57" i="14"/>
  <c r="G57" i="14"/>
  <c r="F61" i="14"/>
  <c r="G61" i="14"/>
  <c r="G63" i="14"/>
  <c r="F65" i="14"/>
  <c r="G65" i="14"/>
  <c r="F69" i="14"/>
  <c r="G69" i="14"/>
  <c r="F70" i="14"/>
  <c r="G70" i="14"/>
  <c r="G74" i="14"/>
  <c r="F77" i="14"/>
  <c r="G77" i="14"/>
  <c r="G79" i="14"/>
  <c r="F82" i="14"/>
  <c r="G82" i="14"/>
  <c r="F83" i="14"/>
  <c r="G83" i="14"/>
  <c r="F90" i="14"/>
  <c r="G90" i="14"/>
  <c r="F98" i="14"/>
  <c r="G98" i="14"/>
  <c r="F45" i="14"/>
  <c r="G45" i="14"/>
  <c r="F32" i="14"/>
  <c r="G32" i="14"/>
  <c r="G16" i="14"/>
  <c r="J15" i="10"/>
  <c r="D52" i="14" l="1"/>
  <c r="C52" i="14" s="1"/>
  <c r="BK14" i="18" s="1"/>
  <c r="D16" i="14"/>
  <c r="K84" i="14"/>
  <c r="K36" i="14"/>
  <c r="K27" i="14"/>
  <c r="K69" i="14"/>
  <c r="K101" i="14"/>
  <c r="D94" i="14"/>
  <c r="C94" i="14" s="1"/>
  <c r="BK38" i="18" s="1"/>
  <c r="D89" i="14"/>
  <c r="C89" i="14" s="1"/>
  <c r="BK84" i="6" s="1"/>
  <c r="K28" i="14"/>
  <c r="K83" i="14"/>
  <c r="K65" i="14"/>
  <c r="K104" i="14"/>
  <c r="D32" i="14"/>
  <c r="C32" i="14" s="1"/>
  <c r="BK27" i="6" s="1"/>
  <c r="K30" i="14"/>
  <c r="D20" i="14"/>
  <c r="C20" i="14" s="1"/>
  <c r="BK44" i="18" s="1"/>
  <c r="D45" i="14"/>
  <c r="C45" i="14" s="1"/>
  <c r="K19" i="14"/>
  <c r="K58" i="14"/>
  <c r="K37" i="14"/>
  <c r="K24" i="14"/>
  <c r="K78" i="14"/>
  <c r="D19" i="14"/>
  <c r="C19" i="14" s="1"/>
  <c r="BK58" i="18" s="1"/>
  <c r="K18" i="14"/>
  <c r="K93" i="14"/>
  <c r="K92" i="14"/>
  <c r="K72" i="14"/>
  <c r="K45" i="14"/>
  <c r="K61" i="14"/>
  <c r="K71" i="14"/>
  <c r="D47" i="14"/>
  <c r="C47" i="14" s="1"/>
  <c r="BK42" i="6" s="1"/>
  <c r="K31" i="14"/>
  <c r="K62" i="14"/>
  <c r="K100" i="14"/>
  <c r="K41" i="14"/>
  <c r="K23" i="14"/>
  <c r="K59" i="14"/>
  <c r="BJ11" i="6"/>
  <c r="BJ82" i="18"/>
  <c r="BJ19" i="18"/>
  <c r="BJ94" i="6"/>
  <c r="BJ15" i="18"/>
  <c r="BJ87" i="6"/>
  <c r="BJ88" i="18"/>
  <c r="BJ75" i="6"/>
  <c r="BJ47" i="18"/>
  <c r="BJ69" i="6"/>
  <c r="BJ72" i="18"/>
  <c r="BJ63" i="6"/>
  <c r="BJ60" i="18"/>
  <c r="BJ51" i="6"/>
  <c r="BJ89" i="18"/>
  <c r="BJ45" i="6"/>
  <c r="BJ77" i="18"/>
  <c r="BJ38" i="6"/>
  <c r="BJ67" i="18"/>
  <c r="BJ25" i="6"/>
  <c r="BJ25" i="18"/>
  <c r="BJ18" i="6"/>
  <c r="BJ86" i="18"/>
  <c r="BJ12" i="6"/>
  <c r="BK98" i="18"/>
  <c r="BK44" i="6"/>
  <c r="K98" i="14"/>
  <c r="K82" i="14"/>
  <c r="K70" i="14"/>
  <c r="K103" i="14"/>
  <c r="K99" i="14"/>
  <c r="K87" i="14"/>
  <c r="K56" i="14"/>
  <c r="K47" i="14"/>
  <c r="K38" i="14"/>
  <c r="K33" i="14"/>
  <c r="K26" i="14"/>
  <c r="BJ20" i="18"/>
  <c r="BJ99" i="6"/>
  <c r="BJ24" i="18"/>
  <c r="BJ92" i="6"/>
  <c r="BJ90" i="18"/>
  <c r="BJ74" i="6"/>
  <c r="BJ37" i="18"/>
  <c r="BJ68" i="6"/>
  <c r="BJ93" i="18"/>
  <c r="BJ62" i="6"/>
  <c r="BJ79" i="18"/>
  <c r="BJ56" i="6"/>
  <c r="BJ29" i="18"/>
  <c r="BJ50" i="6"/>
  <c r="BJ40" i="18"/>
  <c r="BJ43" i="6"/>
  <c r="BJ28" i="18"/>
  <c r="BJ37" i="6"/>
  <c r="BJ56" i="18"/>
  <c r="BJ31" i="6"/>
  <c r="BJ55" i="18"/>
  <c r="BJ23" i="6"/>
  <c r="K21" i="14"/>
  <c r="D59" i="14"/>
  <c r="C59" i="14" s="1"/>
  <c r="D37" i="14"/>
  <c r="C37" i="14" s="1"/>
  <c r="D28" i="14"/>
  <c r="C28" i="14" s="1"/>
  <c r="BJ81" i="18"/>
  <c r="BJ91" i="6"/>
  <c r="BJ92" i="18"/>
  <c r="BJ85" i="6"/>
  <c r="BJ41" i="18"/>
  <c r="BJ79" i="6"/>
  <c r="BJ16" i="18"/>
  <c r="BJ73" i="6"/>
  <c r="BJ36" i="18"/>
  <c r="BJ67" i="6"/>
  <c r="BJ31" i="18"/>
  <c r="BJ42" i="6"/>
  <c r="BJ17" i="18"/>
  <c r="BJ36" i="6"/>
  <c r="BJ63" i="18"/>
  <c r="BJ30" i="6"/>
  <c r="BJ13" i="18"/>
  <c r="BJ22" i="6"/>
  <c r="BJ30" i="18"/>
  <c r="BJ16" i="6"/>
  <c r="BL98" i="18"/>
  <c r="BL44" i="6"/>
  <c r="K90" i="14"/>
  <c r="K16" i="14"/>
  <c r="BJ65" i="18"/>
  <c r="BJ90" i="6"/>
  <c r="BJ62" i="18"/>
  <c r="BJ84" i="6"/>
  <c r="BJ39" i="18"/>
  <c r="BJ78" i="6"/>
  <c r="BJ87" i="18"/>
  <c r="BJ72" i="6"/>
  <c r="BJ49" i="18"/>
  <c r="BJ66" i="6"/>
  <c r="BJ83" i="18"/>
  <c r="BJ60" i="6"/>
  <c r="BJ48" i="18"/>
  <c r="BJ54" i="6"/>
  <c r="BJ64" i="18"/>
  <c r="BJ48" i="6"/>
  <c r="BJ18" i="18"/>
  <c r="BJ41" i="6"/>
  <c r="BJ11" i="18"/>
  <c r="BJ21" i="6"/>
  <c r="BJ44" i="18"/>
  <c r="BJ15" i="6"/>
  <c r="BB9" i="18"/>
  <c r="BB9" i="6"/>
  <c r="K20" i="14"/>
  <c r="K32" i="14"/>
  <c r="BK68" i="18"/>
  <c r="BK40" i="6"/>
  <c r="K77" i="14"/>
  <c r="K57" i="14"/>
  <c r="K29" i="14"/>
  <c r="K94" i="14"/>
  <c r="K89" i="14"/>
  <c r="K85" i="14"/>
  <c r="K75" i="14"/>
  <c r="K64" i="14"/>
  <c r="K52" i="14"/>
  <c r="D41" i="14"/>
  <c r="C41" i="14" s="1"/>
  <c r="BJ38" i="18"/>
  <c r="BJ89" i="6"/>
  <c r="BJ43" i="18"/>
  <c r="BJ83" i="6"/>
  <c r="BJ71" i="18"/>
  <c r="BJ77" i="6"/>
  <c r="BJ57" i="18"/>
  <c r="BJ65" i="6"/>
  <c r="BJ35" i="18"/>
  <c r="BJ59" i="6"/>
  <c r="BJ14" i="18"/>
  <c r="BJ47" i="6"/>
  <c r="BJ68" i="18"/>
  <c r="BJ40" i="6"/>
  <c r="BJ74" i="18"/>
  <c r="BJ34" i="6"/>
  <c r="BJ73" i="18"/>
  <c r="BJ20" i="6"/>
  <c r="BJ58" i="18"/>
  <c r="BJ14" i="6"/>
  <c r="D31" i="14"/>
  <c r="C31" i="14" s="1"/>
  <c r="D72" i="14"/>
  <c r="C72" i="14" s="1"/>
  <c r="BJ54" i="18"/>
  <c r="BJ95" i="6"/>
  <c r="BJ23" i="18"/>
  <c r="BJ88" i="6"/>
  <c r="BJ42" i="18"/>
  <c r="BJ82" i="6"/>
  <c r="BJ76" i="18"/>
  <c r="BJ76" i="6"/>
  <c r="BJ52" i="18"/>
  <c r="BJ70" i="6"/>
  <c r="BJ34" i="18"/>
  <c r="BJ58" i="6"/>
  <c r="BJ75" i="18"/>
  <c r="BJ52" i="6"/>
  <c r="BJ12" i="18"/>
  <c r="BJ46" i="6"/>
  <c r="BJ78" i="18"/>
  <c r="BJ39" i="6"/>
  <c r="BJ91" i="18"/>
  <c r="BJ26" i="6"/>
  <c r="BJ45" i="18"/>
  <c r="BJ19" i="6"/>
  <c r="BJ69" i="18"/>
  <c r="BJ13" i="6"/>
  <c r="BJ51" i="18"/>
  <c r="BJ98" i="6"/>
  <c r="BJ85" i="18"/>
  <c r="BJ97" i="6"/>
  <c r="BJ53" i="18"/>
  <c r="BJ86" i="6"/>
  <c r="BJ81" i="6"/>
  <c r="BJ59" i="18"/>
  <c r="BJ80" i="6"/>
  <c r="BJ66" i="18"/>
  <c r="BJ71" i="6"/>
  <c r="BJ95" i="18"/>
  <c r="BJ61" i="6"/>
  <c r="BJ27" i="18"/>
  <c r="BJ57" i="6"/>
  <c r="BJ80" i="18"/>
  <c r="BJ61" i="18"/>
  <c r="BJ55" i="6"/>
  <c r="BJ33" i="18"/>
  <c r="BJ53" i="6"/>
  <c r="BJ32" i="18"/>
  <c r="BJ49" i="6"/>
  <c r="BJ35" i="6"/>
  <c r="BJ46" i="18"/>
  <c r="BJ26" i="18"/>
  <c r="BJ32" i="6"/>
  <c r="BJ29" i="6"/>
  <c r="BJ84" i="18"/>
  <c r="BJ21" i="18"/>
  <c r="BJ28" i="6"/>
  <c r="BJ17" i="6"/>
  <c r="BJ50" i="18"/>
  <c r="BJ96" i="6"/>
  <c r="BJ22" i="18"/>
  <c r="BJ64" i="6"/>
  <c r="BJ94" i="18"/>
  <c r="BJ33" i="6"/>
  <c r="BJ70" i="18"/>
  <c r="L32" i="14"/>
  <c r="L31" i="14"/>
  <c r="E24" i="14"/>
  <c r="I24" i="14" s="1"/>
  <c r="H45" i="18" s="1"/>
  <c r="L24" i="14"/>
  <c r="L93" i="14"/>
  <c r="D87" i="14"/>
  <c r="C87" i="14" s="1"/>
  <c r="L84" i="14"/>
  <c r="L72" i="14"/>
  <c r="L62" i="14"/>
  <c r="E98" i="14"/>
  <c r="I98" i="14" s="1"/>
  <c r="H99" i="18" s="1"/>
  <c r="L98" i="14"/>
  <c r="E82" i="14"/>
  <c r="I82" i="14" s="1"/>
  <c r="H71" i="18" s="1"/>
  <c r="L82" i="14"/>
  <c r="L70" i="14"/>
  <c r="D18" i="14"/>
  <c r="C18" i="14" s="1"/>
  <c r="E103" i="14"/>
  <c r="I103" i="14" s="1"/>
  <c r="H51" i="18" s="1"/>
  <c r="L103" i="14"/>
  <c r="L99" i="14"/>
  <c r="L87" i="14"/>
  <c r="E56" i="14"/>
  <c r="I56" i="14" s="1"/>
  <c r="H60" i="18" s="1"/>
  <c r="L56" i="14"/>
  <c r="L47" i="14"/>
  <c r="L38" i="14"/>
  <c r="L33" i="14"/>
  <c r="E26" i="14"/>
  <c r="I26" i="14" s="1"/>
  <c r="H11" i="18" s="1"/>
  <c r="L26" i="14"/>
  <c r="L19" i="14"/>
  <c r="L61" i="14"/>
  <c r="L30" i="14"/>
  <c r="L18" i="14"/>
  <c r="L92" i="14"/>
  <c r="E78" i="14"/>
  <c r="I78" i="14" s="1"/>
  <c r="H16" i="18" s="1"/>
  <c r="L78" i="14"/>
  <c r="L71" i="14"/>
  <c r="L90" i="14"/>
  <c r="E69" i="14"/>
  <c r="I69" i="14" s="1"/>
  <c r="H94" i="18" s="1"/>
  <c r="L69" i="14"/>
  <c r="L101" i="14"/>
  <c r="L59" i="14"/>
  <c r="L37" i="14"/>
  <c r="L28" i="14"/>
  <c r="L23" i="14"/>
  <c r="L21" i="14"/>
  <c r="H44" i="6"/>
  <c r="M49" i="14"/>
  <c r="E77" i="14"/>
  <c r="I77" i="14" s="1"/>
  <c r="H87" i="18" s="1"/>
  <c r="L77" i="14"/>
  <c r="E57" i="14"/>
  <c r="I57" i="14" s="1"/>
  <c r="H75" i="18" s="1"/>
  <c r="L57" i="14"/>
  <c r="L29" i="14"/>
  <c r="L94" i="14"/>
  <c r="L89" i="14"/>
  <c r="L85" i="14"/>
  <c r="L75" i="14"/>
  <c r="E64" i="14"/>
  <c r="I64" i="14" s="1"/>
  <c r="H35" i="18" s="1"/>
  <c r="L64" i="14"/>
  <c r="L52" i="14"/>
  <c r="L45" i="14"/>
  <c r="E83" i="14"/>
  <c r="I83" i="14" s="1"/>
  <c r="H39" i="18" s="1"/>
  <c r="L83" i="14"/>
  <c r="E65" i="14"/>
  <c r="I65" i="14" s="1"/>
  <c r="H83" i="18" s="1"/>
  <c r="L65" i="14"/>
  <c r="L104" i="14"/>
  <c r="E100" i="14"/>
  <c r="I100" i="14" s="1"/>
  <c r="H54" i="18" s="1"/>
  <c r="L100" i="14"/>
  <c r="L58" i="14"/>
  <c r="L41" i="14"/>
  <c r="L36" i="14"/>
  <c r="L27" i="14"/>
  <c r="L20" i="14"/>
  <c r="N49" i="14"/>
  <c r="C16" i="17"/>
  <c r="E87" i="14"/>
  <c r="I87" i="14" s="1"/>
  <c r="H42" i="18" s="1"/>
  <c r="E47" i="14"/>
  <c r="I47" i="14" s="1"/>
  <c r="H31" i="18" s="1"/>
  <c r="E90" i="14"/>
  <c r="I90" i="14" s="1"/>
  <c r="H92" i="18" s="1"/>
  <c r="E61" i="14"/>
  <c r="I61" i="14" s="1"/>
  <c r="H79" i="18" s="1"/>
  <c r="E30" i="14"/>
  <c r="I30" i="14" s="1"/>
  <c r="H67" i="18" s="1"/>
  <c r="E93" i="14"/>
  <c r="I93" i="14" s="1"/>
  <c r="H23" i="18" s="1"/>
  <c r="D98" i="14"/>
  <c r="C98" i="14" s="1"/>
  <c r="D83" i="14"/>
  <c r="C83" i="14" s="1"/>
  <c r="D65" i="14"/>
  <c r="C65" i="14" s="1"/>
  <c r="D57" i="14"/>
  <c r="C57" i="14" s="1"/>
  <c r="D29" i="14"/>
  <c r="C29" i="14" s="1"/>
  <c r="D24" i="14"/>
  <c r="C24" i="14" s="1"/>
  <c r="D103" i="14"/>
  <c r="C103" i="14" s="1"/>
  <c r="D101" i="14"/>
  <c r="C101" i="14" s="1"/>
  <c r="D84" i="14"/>
  <c r="C84" i="14" s="1"/>
  <c r="D78" i="14"/>
  <c r="C78" i="14" s="1"/>
  <c r="D64" i="14"/>
  <c r="C64" i="14" s="1"/>
  <c r="D56" i="14"/>
  <c r="C56" i="14" s="1"/>
  <c r="D82" i="14"/>
  <c r="C82" i="14" s="1"/>
  <c r="D100" i="14"/>
  <c r="C100" i="14" s="1"/>
  <c r="D92" i="14"/>
  <c r="C92" i="14" s="1"/>
  <c r="E38" i="14"/>
  <c r="I38" i="14" s="1"/>
  <c r="H70" i="18" s="1"/>
  <c r="D85" i="14"/>
  <c r="C85" i="14" s="1"/>
  <c r="G80" i="14"/>
  <c r="G76" i="14"/>
  <c r="G43" i="14"/>
  <c r="G25" i="14"/>
  <c r="D26" i="14"/>
  <c r="C26" i="14" s="1"/>
  <c r="E92" i="14"/>
  <c r="I92" i="14" s="1"/>
  <c r="H15" i="18" s="1"/>
  <c r="E62" i="14"/>
  <c r="I62" i="14" s="1"/>
  <c r="H80" i="18" s="1"/>
  <c r="E27" i="14"/>
  <c r="I27" i="14" s="1"/>
  <c r="H13" i="18" s="1"/>
  <c r="G68" i="14"/>
  <c r="F79" i="14"/>
  <c r="K79" i="14" s="1"/>
  <c r="E85" i="14"/>
  <c r="I85" i="14" s="1"/>
  <c r="H66" i="18" s="1"/>
  <c r="F80" i="14"/>
  <c r="F76" i="14"/>
  <c r="F43" i="14"/>
  <c r="E37" i="14"/>
  <c r="I37" i="14" s="1"/>
  <c r="H26" i="18" s="1"/>
  <c r="F25" i="14"/>
  <c r="E36" i="14"/>
  <c r="I36" i="14" s="1"/>
  <c r="H56" i="18" s="1"/>
  <c r="E58" i="14"/>
  <c r="I58" i="14" s="1"/>
  <c r="H33" i="18" s="1"/>
  <c r="F74" i="14"/>
  <c r="K74" i="14" s="1"/>
  <c r="F63" i="14"/>
  <c r="K63" i="14" s="1"/>
  <c r="D70" i="14"/>
  <c r="C70" i="14" s="1"/>
  <c r="D61" i="14"/>
  <c r="C61" i="14" s="1"/>
  <c r="D104" i="14"/>
  <c r="C104" i="14" s="1"/>
  <c r="G102" i="14"/>
  <c r="G97" i="14"/>
  <c r="D93" i="14"/>
  <c r="C93" i="14" s="1"/>
  <c r="D75" i="14"/>
  <c r="C75" i="14" s="1"/>
  <c r="D71" i="14"/>
  <c r="C71" i="14" s="1"/>
  <c r="G66" i="14"/>
  <c r="D58" i="14"/>
  <c r="C58" i="14" s="1"/>
  <c r="G54" i="14"/>
  <c r="G40" i="14"/>
  <c r="D36" i="14"/>
  <c r="C36" i="14" s="1"/>
  <c r="D27" i="14"/>
  <c r="C27" i="14" s="1"/>
  <c r="D23" i="14"/>
  <c r="C23" i="14" s="1"/>
  <c r="D21" i="14"/>
  <c r="C21" i="14" s="1"/>
  <c r="E75" i="14"/>
  <c r="I75" i="14" s="1"/>
  <c r="H52" i="18" s="1"/>
  <c r="D30" i="14"/>
  <c r="C30" i="14" s="1"/>
  <c r="E31" i="14"/>
  <c r="I31" i="14" s="1"/>
  <c r="H91" i="18" s="1"/>
  <c r="E71" i="14"/>
  <c r="I71" i="14" s="1"/>
  <c r="H49" i="18" s="1"/>
  <c r="F68" i="14"/>
  <c r="F102" i="14"/>
  <c r="F97" i="14"/>
  <c r="F66" i="14"/>
  <c r="F54" i="14"/>
  <c r="F40" i="14"/>
  <c r="E21" i="14"/>
  <c r="I21" i="14" s="1"/>
  <c r="H30" i="18" s="1"/>
  <c r="E52" i="14"/>
  <c r="I52" i="14" s="1"/>
  <c r="H14" i="18" s="1"/>
  <c r="E70" i="14"/>
  <c r="I70" i="14" s="1"/>
  <c r="H57" i="18" s="1"/>
  <c r="E45" i="14"/>
  <c r="I45" i="14" s="1"/>
  <c r="H68" i="18" s="1"/>
  <c r="D69" i="14"/>
  <c r="C69" i="14" s="1"/>
  <c r="G50" i="14"/>
  <c r="G35" i="14"/>
  <c r="G67" i="14"/>
  <c r="G44" i="14"/>
  <c r="G39" i="14"/>
  <c r="G34" i="14"/>
  <c r="G17" i="14"/>
  <c r="E89" i="14"/>
  <c r="I89" i="14" s="1"/>
  <c r="H62" i="18" s="1"/>
  <c r="D77" i="14"/>
  <c r="C77" i="14" s="1"/>
  <c r="F50" i="14"/>
  <c r="F35" i="14"/>
  <c r="E29" i="14"/>
  <c r="I29" i="14" s="1"/>
  <c r="H96" i="18" s="1"/>
  <c r="E101" i="14"/>
  <c r="I101" i="14" s="1"/>
  <c r="H22" i="18" s="1"/>
  <c r="F67" i="14"/>
  <c r="F46" i="14"/>
  <c r="K46" i="14" s="1"/>
  <c r="F44" i="14"/>
  <c r="F39" i="14"/>
  <c r="K39" i="14" s="1"/>
  <c r="F34" i="14"/>
  <c r="K34" i="14" s="1"/>
  <c r="F17" i="14"/>
  <c r="D90" i="14"/>
  <c r="C90" i="14" s="1"/>
  <c r="E94" i="14"/>
  <c r="I94" i="14" s="1"/>
  <c r="H38" i="18" s="1"/>
  <c r="E20" i="14"/>
  <c r="I20" i="14" s="1"/>
  <c r="H44" i="18" s="1"/>
  <c r="D99" i="14"/>
  <c r="C99" i="14" s="1"/>
  <c r="G96" i="14"/>
  <c r="G95" i="14"/>
  <c r="D95" i="14" s="1"/>
  <c r="C95" i="14" s="1"/>
  <c r="G91" i="14"/>
  <c r="G88" i="14"/>
  <c r="D88" i="14" s="1"/>
  <c r="C88" i="14" s="1"/>
  <c r="G86" i="14"/>
  <c r="D86" i="14" s="1"/>
  <c r="C86" i="14" s="1"/>
  <c r="G81" i="14"/>
  <c r="G73" i="14"/>
  <c r="D62" i="14"/>
  <c r="C62" i="14" s="1"/>
  <c r="G60" i="14"/>
  <c r="D60" i="14" s="1"/>
  <c r="C60" i="14" s="1"/>
  <c r="G55" i="14"/>
  <c r="G53" i="14"/>
  <c r="E53" i="14" s="1"/>
  <c r="I53" i="14" s="1"/>
  <c r="H64" i="18" s="1"/>
  <c r="G51" i="14"/>
  <c r="G48" i="14"/>
  <c r="D48" i="14" s="1"/>
  <c r="C48" i="14" s="1"/>
  <c r="G42" i="14"/>
  <c r="L42" i="14" s="1"/>
  <c r="D38" i="14"/>
  <c r="C38" i="14" s="1"/>
  <c r="D33" i="14"/>
  <c r="C33" i="14" s="1"/>
  <c r="G22" i="14"/>
  <c r="E18" i="14"/>
  <c r="I18" i="14" s="1"/>
  <c r="H69" i="18" s="1"/>
  <c r="E59" i="14"/>
  <c r="I59" i="14" s="1"/>
  <c r="H48" i="18" s="1"/>
  <c r="E41" i="14"/>
  <c r="I41" i="14" s="1"/>
  <c r="H17" i="18" s="1"/>
  <c r="E104" i="14"/>
  <c r="I104" i="14" s="1"/>
  <c r="H20" i="18" s="1"/>
  <c r="E32" i="14"/>
  <c r="I32" i="14" s="1"/>
  <c r="H97" i="18" s="1"/>
  <c r="E28" i="14"/>
  <c r="I28" i="14" s="1"/>
  <c r="H55" i="18" s="1"/>
  <c r="F96" i="14"/>
  <c r="F91" i="14"/>
  <c r="F81" i="14"/>
  <c r="F73" i="14"/>
  <c r="F55" i="14"/>
  <c r="F51" i="14"/>
  <c r="F22" i="14"/>
  <c r="E99" i="14"/>
  <c r="I99" i="14" s="1"/>
  <c r="H19" i="18" s="1"/>
  <c r="E84" i="14"/>
  <c r="I84" i="14" s="1"/>
  <c r="H41" i="18" s="1"/>
  <c r="E19" i="14"/>
  <c r="I19" i="14" s="1"/>
  <c r="H58" i="18" s="1"/>
  <c r="E33" i="14"/>
  <c r="I33" i="14" s="1"/>
  <c r="H21" i="18" s="1"/>
  <c r="E23" i="14"/>
  <c r="I23" i="14" s="1"/>
  <c r="H25" i="18" s="1"/>
  <c r="E72" i="14"/>
  <c r="I72" i="14" s="1"/>
  <c r="H36" i="18" s="1"/>
  <c r="C6" i="3"/>
  <c r="B6" i="3"/>
  <c r="L16" i="14"/>
  <c r="C16" i="15"/>
  <c r="E16" i="14"/>
  <c r="I16" i="14" s="1"/>
  <c r="H82" i="18" s="1"/>
  <c r="H15" i="14"/>
  <c r="F11" i="10"/>
  <c r="R16" i="9"/>
  <c r="B40" i="3"/>
  <c r="B39" i="3"/>
  <c r="B38" i="3"/>
  <c r="B37" i="3"/>
  <c r="B36" i="3"/>
  <c r="C38" i="3"/>
  <c r="N16" i="9"/>
  <c r="C37" i="3"/>
  <c r="M16" i="9"/>
  <c r="C40" i="3"/>
  <c r="P16" i="9"/>
  <c r="C39" i="3"/>
  <c r="O16" i="9"/>
  <c r="C36" i="3"/>
  <c r="L16" i="9"/>
  <c r="C16" i="9"/>
  <c r="E16" i="7"/>
  <c r="C33" i="3"/>
  <c r="C29" i="3"/>
  <c r="J15" i="7"/>
  <c r="J16" i="7"/>
  <c r="I15" i="7"/>
  <c r="I16" i="7"/>
  <c r="I15" i="8"/>
  <c r="J15" i="8"/>
  <c r="F16" i="8"/>
  <c r="F16" i="7"/>
  <c r="AA19" i="5"/>
  <c r="AA25" i="5"/>
  <c r="AA26" i="5"/>
  <c r="AA27" i="5"/>
  <c r="AA31" i="5"/>
  <c r="AA33" i="5"/>
  <c r="AA35" i="5"/>
  <c r="AA37" i="5"/>
  <c r="AA40" i="5"/>
  <c r="AA45" i="5"/>
  <c r="AA46" i="5"/>
  <c r="AA50" i="5"/>
  <c r="AA54" i="5"/>
  <c r="AA57" i="5"/>
  <c r="AA58" i="5"/>
  <c r="AA61" i="5"/>
  <c r="AA67" i="5"/>
  <c r="AA69" i="5"/>
  <c r="AA71" i="5"/>
  <c r="AA72" i="5"/>
  <c r="AA75" i="5"/>
  <c r="AA76" i="5"/>
  <c r="AA79" i="5"/>
  <c r="AA83" i="5"/>
  <c r="AA84" i="5"/>
  <c r="AA88" i="5"/>
  <c r="AA91" i="5"/>
  <c r="AA93" i="5"/>
  <c r="AA97" i="5"/>
  <c r="AA100" i="5"/>
  <c r="AA101" i="5"/>
  <c r="AA104" i="5"/>
  <c r="T17" i="5"/>
  <c r="T18" i="5"/>
  <c r="T19" i="5"/>
  <c r="T20" i="5"/>
  <c r="T21" i="5"/>
  <c r="T22" i="5"/>
  <c r="T23" i="5"/>
  <c r="T24" i="5"/>
  <c r="T25" i="5"/>
  <c r="T26" i="5"/>
  <c r="T27" i="5"/>
  <c r="T28" i="5"/>
  <c r="T30" i="5"/>
  <c r="T31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9" i="5"/>
  <c r="T100" i="5"/>
  <c r="T101" i="5"/>
  <c r="T102" i="5"/>
  <c r="T103" i="5"/>
  <c r="T104" i="5"/>
  <c r="T16" i="5"/>
  <c r="N104" i="5"/>
  <c r="N103" i="5"/>
  <c r="N102" i="5"/>
  <c r="N101" i="5"/>
  <c r="N100" i="5"/>
  <c r="N99" i="5"/>
  <c r="N97" i="5"/>
  <c r="N96" i="5"/>
  <c r="N95" i="5"/>
  <c r="N94" i="5"/>
  <c r="N93" i="5"/>
  <c r="N92" i="5"/>
  <c r="N91" i="5"/>
  <c r="N90" i="5"/>
  <c r="N89" i="5"/>
  <c r="N88" i="5"/>
  <c r="N87" i="5"/>
  <c r="N86" i="5"/>
  <c r="N85" i="5"/>
  <c r="N84" i="5"/>
  <c r="N83" i="5"/>
  <c r="N82" i="5"/>
  <c r="N81" i="5"/>
  <c r="N80" i="5"/>
  <c r="N79" i="5"/>
  <c r="N78" i="5"/>
  <c r="N77" i="5"/>
  <c r="N76" i="5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1" i="5"/>
  <c r="N30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I15" i="5"/>
  <c r="H15" i="5"/>
  <c r="T17" i="2"/>
  <c r="T18" i="2"/>
  <c r="T19" i="2"/>
  <c r="T20" i="2"/>
  <c r="T21" i="2"/>
  <c r="T22" i="2"/>
  <c r="T23" i="2"/>
  <c r="T24" i="2"/>
  <c r="T25" i="2"/>
  <c r="T26" i="2"/>
  <c r="T27" i="2"/>
  <c r="T28" i="2"/>
  <c r="T30" i="2"/>
  <c r="T31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9" i="2"/>
  <c r="T100" i="2"/>
  <c r="T101" i="2"/>
  <c r="T102" i="2"/>
  <c r="T103" i="2"/>
  <c r="T104" i="2"/>
  <c r="AA19" i="2"/>
  <c r="AA23" i="2"/>
  <c r="AA25" i="2"/>
  <c r="AA26" i="2"/>
  <c r="AA27" i="2"/>
  <c r="AA28" i="2"/>
  <c r="AA31" i="2"/>
  <c r="AA33" i="2"/>
  <c r="AA35" i="2"/>
  <c r="AA37" i="2"/>
  <c r="AA40" i="2"/>
  <c r="AA45" i="2"/>
  <c r="AA46" i="2"/>
  <c r="AA47" i="2"/>
  <c r="AA50" i="2"/>
  <c r="AA57" i="2"/>
  <c r="AA58" i="2"/>
  <c r="AA61" i="2"/>
  <c r="AA71" i="2"/>
  <c r="AA72" i="2"/>
  <c r="AA74" i="2"/>
  <c r="AA75" i="2"/>
  <c r="AA84" i="2"/>
  <c r="AA88" i="2"/>
  <c r="AA91" i="2"/>
  <c r="AA93" i="2"/>
  <c r="AA100" i="2"/>
  <c r="AA101" i="2"/>
  <c r="U18" i="2"/>
  <c r="U20" i="2"/>
  <c r="U21" i="2"/>
  <c r="U22" i="2"/>
  <c r="U23" i="2"/>
  <c r="U25" i="2"/>
  <c r="U46" i="2"/>
  <c r="U48" i="2"/>
  <c r="U50" i="2"/>
  <c r="U52" i="2"/>
  <c r="U55" i="2"/>
  <c r="U58" i="2"/>
  <c r="U70" i="2"/>
  <c r="U72" i="2"/>
  <c r="U78" i="2"/>
  <c r="U85" i="2"/>
  <c r="U92" i="2"/>
  <c r="U93" i="2"/>
  <c r="U101" i="2"/>
  <c r="U102" i="2"/>
  <c r="U104" i="2"/>
  <c r="K96" i="14" l="1"/>
  <c r="BK47" i="6"/>
  <c r="BK14" i="6"/>
  <c r="BK15" i="6"/>
  <c r="K17" i="14"/>
  <c r="K44" i="14"/>
  <c r="K55" i="14"/>
  <c r="K102" i="14"/>
  <c r="K91" i="14"/>
  <c r="BK62" i="18"/>
  <c r="BK89" i="6"/>
  <c r="K81" i="14"/>
  <c r="K40" i="14"/>
  <c r="BK97" i="18"/>
  <c r="K50" i="14"/>
  <c r="K76" i="14"/>
  <c r="K54" i="14"/>
  <c r="BK31" i="18"/>
  <c r="D76" i="14"/>
  <c r="C76" i="14" s="1"/>
  <c r="BK95" i="18" s="1"/>
  <c r="K67" i="14"/>
  <c r="K25" i="14"/>
  <c r="K35" i="14"/>
  <c r="K66" i="14"/>
  <c r="K80" i="14"/>
  <c r="K97" i="14"/>
  <c r="K51" i="14"/>
  <c r="AI44" i="18"/>
  <c r="AI15" i="6"/>
  <c r="AI61" i="18"/>
  <c r="AI55" i="6"/>
  <c r="C14" i="3"/>
  <c r="AI82" i="18"/>
  <c r="AI11" i="6"/>
  <c r="AI50" i="18"/>
  <c r="AI17" i="6"/>
  <c r="AI56" i="18"/>
  <c r="AI31" i="6"/>
  <c r="AI28" i="18"/>
  <c r="AI37" i="6"/>
  <c r="AI40" i="18"/>
  <c r="AI43" i="6"/>
  <c r="AI29" i="18"/>
  <c r="AI50" i="6"/>
  <c r="AI79" i="18"/>
  <c r="AI56" i="6"/>
  <c r="AI93" i="18"/>
  <c r="AI62" i="6"/>
  <c r="AI37" i="18"/>
  <c r="AI68" i="6"/>
  <c r="AI90" i="18"/>
  <c r="AI74" i="6"/>
  <c r="AI66" i="18"/>
  <c r="AI80" i="6"/>
  <c r="AI53" i="18"/>
  <c r="AI86" i="6"/>
  <c r="AI24" i="18"/>
  <c r="AI92" i="6"/>
  <c r="AI20" i="18"/>
  <c r="AI99" i="6"/>
  <c r="BT11" i="6"/>
  <c r="BT82" i="18"/>
  <c r="BK21" i="18"/>
  <c r="BK28" i="6"/>
  <c r="BK43" i="18"/>
  <c r="BK83" i="6"/>
  <c r="BK87" i="18"/>
  <c r="BK72" i="6"/>
  <c r="BK30" i="18"/>
  <c r="BK16" i="6"/>
  <c r="BK33" i="18"/>
  <c r="BK53" i="6"/>
  <c r="BK66" i="18"/>
  <c r="BK80" i="6"/>
  <c r="BK35" i="18"/>
  <c r="BK59" i="6"/>
  <c r="BK96" i="18"/>
  <c r="BK24" i="6"/>
  <c r="BL54" i="18"/>
  <c r="BL95" i="6"/>
  <c r="BL66" i="18"/>
  <c r="BL80" i="6"/>
  <c r="BL87" i="18"/>
  <c r="BL72" i="6"/>
  <c r="BL55" i="18"/>
  <c r="BL23" i="6"/>
  <c r="BL92" i="18"/>
  <c r="BL85" i="6"/>
  <c r="BL67" i="18"/>
  <c r="BL25" i="6"/>
  <c r="BL70" i="18"/>
  <c r="BL33" i="6"/>
  <c r="BL51" i="18"/>
  <c r="BL98" i="6"/>
  <c r="BL99" i="18"/>
  <c r="BL93" i="6"/>
  <c r="BL23" i="18"/>
  <c r="BL88" i="6"/>
  <c r="BK48" i="18"/>
  <c r="BK54" i="6"/>
  <c r="AI17" i="18"/>
  <c r="AI36" i="6"/>
  <c r="AI27" i="18"/>
  <c r="AI61" i="6"/>
  <c r="AI92" i="18"/>
  <c r="AI85" i="6"/>
  <c r="BW82" i="18"/>
  <c r="BW11" i="6"/>
  <c r="AI86" i="18"/>
  <c r="AI12" i="6"/>
  <c r="AI25" i="18"/>
  <c r="AI18" i="6"/>
  <c r="AI67" i="18"/>
  <c r="AI25" i="6"/>
  <c r="AI26" i="18"/>
  <c r="AI32" i="6"/>
  <c r="AI77" i="18"/>
  <c r="AI38" i="6"/>
  <c r="AI89" i="18"/>
  <c r="AI45" i="6"/>
  <c r="AI60" i="18"/>
  <c r="AI51" i="6"/>
  <c r="AI80" i="18"/>
  <c r="AI57" i="6"/>
  <c r="AI72" i="18"/>
  <c r="AI63" i="6"/>
  <c r="AI47" i="18"/>
  <c r="AI69" i="6"/>
  <c r="AI88" i="18"/>
  <c r="AI75" i="6"/>
  <c r="AI59" i="18"/>
  <c r="AI81" i="6"/>
  <c r="AI15" i="18"/>
  <c r="AI87" i="6"/>
  <c r="AI19" i="18"/>
  <c r="AI94" i="6"/>
  <c r="BL11" i="6"/>
  <c r="BL82" i="18"/>
  <c r="K73" i="14"/>
  <c r="BK70" i="18"/>
  <c r="BK33" i="6"/>
  <c r="BK61" i="18"/>
  <c r="BK55" i="6"/>
  <c r="BK92" i="18"/>
  <c r="BK85" i="6"/>
  <c r="K68" i="14"/>
  <c r="BK25" i="18"/>
  <c r="BK18" i="6"/>
  <c r="BK20" i="18"/>
  <c r="BK99" i="6"/>
  <c r="BK11" i="18"/>
  <c r="BK21" i="6"/>
  <c r="BK16" i="18"/>
  <c r="BK73" i="6"/>
  <c r="BK75" i="18"/>
  <c r="BK52" i="6"/>
  <c r="BL44" i="18"/>
  <c r="BL15" i="6"/>
  <c r="BL68" i="18"/>
  <c r="BL40" i="6"/>
  <c r="BL62" i="18"/>
  <c r="BL84" i="6"/>
  <c r="BL26" i="18"/>
  <c r="BL32" i="6"/>
  <c r="BL49" i="18"/>
  <c r="BL66" i="6"/>
  <c r="BL79" i="18"/>
  <c r="BL56" i="6"/>
  <c r="BL31" i="18"/>
  <c r="BL42" i="6"/>
  <c r="BL45" i="18"/>
  <c r="BL19" i="6"/>
  <c r="K48" i="14"/>
  <c r="K86" i="14"/>
  <c r="K60" i="14"/>
  <c r="AI84" i="18"/>
  <c r="AI29" i="6"/>
  <c r="AI30" i="18"/>
  <c r="AI16" i="6"/>
  <c r="AI63" i="18"/>
  <c r="AI30" i="6"/>
  <c r="AI31" i="18"/>
  <c r="AI42" i="6"/>
  <c r="AI36" i="18"/>
  <c r="AI67" i="6"/>
  <c r="AI16" i="18"/>
  <c r="AI73" i="6"/>
  <c r="AI41" i="18"/>
  <c r="AI79" i="6"/>
  <c r="AI51" i="18"/>
  <c r="AI98" i="6"/>
  <c r="AI69" i="18"/>
  <c r="AI13" i="6"/>
  <c r="AI45" i="18"/>
  <c r="AI19" i="6"/>
  <c r="AI91" i="18"/>
  <c r="AI26" i="6"/>
  <c r="AI70" i="18"/>
  <c r="AI33" i="6"/>
  <c r="AI78" i="18"/>
  <c r="AI39" i="6"/>
  <c r="AI12" i="18"/>
  <c r="AI46" i="6"/>
  <c r="AI75" i="18"/>
  <c r="AI52" i="6"/>
  <c r="AI34" i="18"/>
  <c r="AI58" i="6"/>
  <c r="AI94" i="18"/>
  <c r="AI64" i="6"/>
  <c r="AI52" i="18"/>
  <c r="AI70" i="6"/>
  <c r="AI76" i="18"/>
  <c r="AI76" i="6"/>
  <c r="AI42" i="18"/>
  <c r="AI82" i="6"/>
  <c r="AI23" i="18"/>
  <c r="AI88" i="6"/>
  <c r="AI54" i="18"/>
  <c r="AI95" i="6"/>
  <c r="BV82" i="18"/>
  <c r="BV11" i="6"/>
  <c r="BL28" i="18"/>
  <c r="BL37" i="6"/>
  <c r="BK80" i="18"/>
  <c r="BK57" i="6"/>
  <c r="BK65" i="18"/>
  <c r="BK90" i="6"/>
  <c r="BK13" i="18"/>
  <c r="BK22" i="6"/>
  <c r="BK49" i="18"/>
  <c r="BK66" i="6"/>
  <c r="BK79" i="18"/>
  <c r="BK56" i="6"/>
  <c r="BK15" i="18"/>
  <c r="BK87" i="6"/>
  <c r="BK41" i="18"/>
  <c r="BK79" i="6"/>
  <c r="BK83" i="18"/>
  <c r="BK60" i="6"/>
  <c r="BL13" i="18"/>
  <c r="BL22" i="6"/>
  <c r="BL20" i="18"/>
  <c r="BL99" i="6"/>
  <c r="BL14" i="18"/>
  <c r="BL47" i="6"/>
  <c r="BL38" i="18"/>
  <c r="BL89" i="6"/>
  <c r="BL48" i="18"/>
  <c r="BL54" i="6"/>
  <c r="BL16" i="18"/>
  <c r="BL73" i="6"/>
  <c r="BL58" i="18"/>
  <c r="BL14" i="6"/>
  <c r="BL60" i="18"/>
  <c r="BL51" i="6"/>
  <c r="BK69" i="18"/>
  <c r="BK13" i="6"/>
  <c r="BL80" i="18"/>
  <c r="BL57" i="6"/>
  <c r="BK36" i="18"/>
  <c r="BK67" i="6"/>
  <c r="K95" i="14"/>
  <c r="AI58" i="18"/>
  <c r="AI14" i="6"/>
  <c r="AI73" i="18"/>
  <c r="AI20" i="6"/>
  <c r="AI21" i="18"/>
  <c r="AI28" i="6"/>
  <c r="AI74" i="18"/>
  <c r="AI34" i="6"/>
  <c r="AI68" i="18"/>
  <c r="AI40" i="6"/>
  <c r="AI14" i="18"/>
  <c r="AI47" i="6"/>
  <c r="AI33" i="18"/>
  <c r="AI53" i="6"/>
  <c r="AI35" i="18"/>
  <c r="AI59" i="6"/>
  <c r="AI57" i="18"/>
  <c r="AI65" i="6"/>
  <c r="AI95" i="18"/>
  <c r="AI71" i="6"/>
  <c r="AI71" i="18"/>
  <c r="AI77" i="6"/>
  <c r="AI43" i="18"/>
  <c r="AI83" i="6"/>
  <c r="AI38" i="18"/>
  <c r="AI89" i="6"/>
  <c r="AI22" i="18"/>
  <c r="AI96" i="6"/>
  <c r="BY11" i="6"/>
  <c r="BY82" i="18"/>
  <c r="C16" i="14"/>
  <c r="BK82" i="18" s="1"/>
  <c r="BK40" i="18"/>
  <c r="BK43" i="6"/>
  <c r="BK94" i="18"/>
  <c r="BK64" i="6"/>
  <c r="BK56" i="18"/>
  <c r="BK31" i="6"/>
  <c r="BK52" i="18"/>
  <c r="BK70" i="6"/>
  <c r="BK57" i="18"/>
  <c r="BK65" i="6"/>
  <c r="BK54" i="18"/>
  <c r="BK95" i="6"/>
  <c r="BK22" i="18"/>
  <c r="BK96" i="6"/>
  <c r="BK39" i="18"/>
  <c r="BK78" i="6"/>
  <c r="BL56" i="18"/>
  <c r="BL31" i="6"/>
  <c r="BL83" i="18"/>
  <c r="BL60" i="6"/>
  <c r="BL35" i="18"/>
  <c r="BL59" i="6"/>
  <c r="BL96" i="18"/>
  <c r="BL24" i="6"/>
  <c r="BL22" i="18"/>
  <c r="BL96" i="6"/>
  <c r="BL11" i="18"/>
  <c r="BL21" i="6"/>
  <c r="BL57" i="18"/>
  <c r="BL65" i="6"/>
  <c r="BL36" i="18"/>
  <c r="BL67" i="6"/>
  <c r="BL91" i="18"/>
  <c r="BL26" i="6"/>
  <c r="K88" i="14"/>
  <c r="BK17" i="18"/>
  <c r="BK36" i="6"/>
  <c r="BK55" i="18"/>
  <c r="BK23" i="6"/>
  <c r="AI46" i="18"/>
  <c r="AI35" i="6"/>
  <c r="AI18" i="18"/>
  <c r="AI41" i="6"/>
  <c r="AI64" i="18"/>
  <c r="AI48" i="6"/>
  <c r="AI48" i="18"/>
  <c r="AI54" i="6"/>
  <c r="AI83" i="18"/>
  <c r="AI60" i="6"/>
  <c r="AI49" i="18"/>
  <c r="AI66" i="6"/>
  <c r="AI87" i="18"/>
  <c r="AI72" i="6"/>
  <c r="AI39" i="18"/>
  <c r="AI78" i="6"/>
  <c r="AI62" i="18"/>
  <c r="AI84" i="6"/>
  <c r="AI65" i="18"/>
  <c r="AI90" i="6"/>
  <c r="AI85" i="18"/>
  <c r="AI97" i="6"/>
  <c r="BU82" i="18"/>
  <c r="BU11" i="6"/>
  <c r="K22" i="14"/>
  <c r="BK19" i="18"/>
  <c r="BK94" i="6"/>
  <c r="BK67" i="18"/>
  <c r="BK25" i="6"/>
  <c r="BK23" i="18"/>
  <c r="BK88" i="6"/>
  <c r="K43" i="14"/>
  <c r="BK71" i="18"/>
  <c r="BK77" i="6"/>
  <c r="BK51" i="18"/>
  <c r="BK98" i="6"/>
  <c r="BK99" i="18"/>
  <c r="BK93" i="6"/>
  <c r="BL17" i="18"/>
  <c r="BL36" i="6"/>
  <c r="BL75" i="18"/>
  <c r="BL52" i="6"/>
  <c r="BL30" i="18"/>
  <c r="BL16" i="6"/>
  <c r="BL94" i="18"/>
  <c r="BL64" i="6"/>
  <c r="BL15" i="18"/>
  <c r="BL87" i="6"/>
  <c r="BL42" i="18"/>
  <c r="BL82" i="6"/>
  <c r="BL71" i="18"/>
  <c r="BL77" i="6"/>
  <c r="BL41" i="18"/>
  <c r="BL79" i="6"/>
  <c r="BL97" i="18"/>
  <c r="BL27" i="6"/>
  <c r="BK91" i="18"/>
  <c r="BK26" i="6"/>
  <c r="K42" i="14"/>
  <c r="BK26" i="18"/>
  <c r="BK32" i="6"/>
  <c r="AE10" i="18"/>
  <c r="Q15" i="5"/>
  <c r="X22" i="5" s="1"/>
  <c r="AE10" i="6"/>
  <c r="R15" i="5"/>
  <c r="AB15" i="5" s="1"/>
  <c r="AI32" i="18"/>
  <c r="AI49" i="6"/>
  <c r="AI81" i="18"/>
  <c r="AI91" i="6"/>
  <c r="BK59" i="18"/>
  <c r="BK81" i="6"/>
  <c r="BK60" i="18"/>
  <c r="BK51" i="6"/>
  <c r="BK45" i="18"/>
  <c r="BK19" i="6"/>
  <c r="B42" i="3"/>
  <c r="BZ82" i="18"/>
  <c r="BL33" i="18"/>
  <c r="BL53" i="6"/>
  <c r="BL39" i="18"/>
  <c r="BL78" i="6"/>
  <c r="BL52" i="18"/>
  <c r="BL70" i="6"/>
  <c r="BL25" i="18"/>
  <c r="BL18" i="6"/>
  <c r="BL69" i="18"/>
  <c r="BL13" i="6"/>
  <c r="BL21" i="18"/>
  <c r="BL28" i="6"/>
  <c r="BL19" i="18"/>
  <c r="BL94" i="6"/>
  <c r="BK42" i="18"/>
  <c r="BK82" i="6"/>
  <c r="K53" i="14"/>
  <c r="H18" i="6"/>
  <c r="M23" i="14"/>
  <c r="H79" i="6"/>
  <c r="M84" i="14"/>
  <c r="H94" i="6"/>
  <c r="M99" i="14"/>
  <c r="L91" i="14"/>
  <c r="H54" i="6"/>
  <c r="M59" i="14"/>
  <c r="L34" i="14"/>
  <c r="H24" i="6"/>
  <c r="M29" i="14"/>
  <c r="L54" i="14"/>
  <c r="H26" i="6"/>
  <c r="M31" i="14"/>
  <c r="H32" i="6"/>
  <c r="M37" i="14"/>
  <c r="H42" i="6"/>
  <c r="M47" i="14"/>
  <c r="N36" i="14"/>
  <c r="N64" i="14"/>
  <c r="N85" i="14"/>
  <c r="H72" i="6"/>
  <c r="M77" i="14"/>
  <c r="N69" i="14"/>
  <c r="L53" i="14"/>
  <c r="L86" i="14"/>
  <c r="N56" i="14"/>
  <c r="N99" i="14"/>
  <c r="N70" i="14"/>
  <c r="N98" i="14"/>
  <c r="N24" i="14"/>
  <c r="L39" i="14"/>
  <c r="L35" i="14"/>
  <c r="H40" i="6"/>
  <c r="M45" i="14"/>
  <c r="L66" i="14"/>
  <c r="D63" i="14"/>
  <c r="C63" i="14" s="1"/>
  <c r="L63" i="14"/>
  <c r="L43" i="14"/>
  <c r="H22" i="6"/>
  <c r="M27" i="14"/>
  <c r="H82" i="6"/>
  <c r="M87" i="14"/>
  <c r="N41" i="14"/>
  <c r="N104" i="14"/>
  <c r="H78" i="6"/>
  <c r="M83" i="14"/>
  <c r="N89" i="14"/>
  <c r="N57" i="14"/>
  <c r="N28" i="14"/>
  <c r="N59" i="14"/>
  <c r="N71" i="14"/>
  <c r="N18" i="14"/>
  <c r="N19" i="14"/>
  <c r="H51" i="6"/>
  <c r="M56" i="14"/>
  <c r="H93" i="6"/>
  <c r="M98" i="14"/>
  <c r="N84" i="14"/>
  <c r="H19" i="6"/>
  <c r="M24" i="14"/>
  <c r="L96" i="14"/>
  <c r="L44" i="14"/>
  <c r="L50" i="14"/>
  <c r="H65" i="6"/>
  <c r="M70" i="14"/>
  <c r="L97" i="14"/>
  <c r="H70" i="6"/>
  <c r="M75" i="14"/>
  <c r="D74" i="14"/>
  <c r="C74" i="14" s="1"/>
  <c r="L74" i="14"/>
  <c r="L76" i="14"/>
  <c r="H57" i="6"/>
  <c r="M62" i="14"/>
  <c r="H88" i="6"/>
  <c r="M93" i="14"/>
  <c r="N20" i="14"/>
  <c r="L88" i="14"/>
  <c r="N65" i="14"/>
  <c r="N45" i="14"/>
  <c r="H59" i="6"/>
  <c r="M64" i="14"/>
  <c r="H64" i="6"/>
  <c r="M69" i="14"/>
  <c r="N38" i="14"/>
  <c r="L60" i="14"/>
  <c r="N82" i="14"/>
  <c r="L22" i="14"/>
  <c r="H13" i="6"/>
  <c r="M18" i="14"/>
  <c r="H48" i="6"/>
  <c r="M53" i="14"/>
  <c r="H28" i="6"/>
  <c r="M33" i="14"/>
  <c r="L55" i="14"/>
  <c r="H27" i="6"/>
  <c r="M32" i="14"/>
  <c r="H89" i="6"/>
  <c r="M94" i="14"/>
  <c r="E46" i="14"/>
  <c r="I46" i="14" s="1"/>
  <c r="H18" i="18" s="1"/>
  <c r="L46" i="14"/>
  <c r="H47" i="6"/>
  <c r="M52" i="14"/>
  <c r="L102" i="14"/>
  <c r="D102" i="14"/>
  <c r="C102" i="14" s="1"/>
  <c r="H53" i="6"/>
  <c r="M58" i="14"/>
  <c r="L80" i="14"/>
  <c r="H87" i="6"/>
  <c r="M92" i="14"/>
  <c r="H25" i="6"/>
  <c r="M30" i="14"/>
  <c r="N27" i="14"/>
  <c r="L48" i="14"/>
  <c r="N100" i="14"/>
  <c r="N75" i="14"/>
  <c r="N94" i="14"/>
  <c r="H52" i="6"/>
  <c r="M57" i="14"/>
  <c r="N21" i="14"/>
  <c r="N101" i="14"/>
  <c r="N92" i="14"/>
  <c r="N30" i="14"/>
  <c r="N26" i="14"/>
  <c r="N47" i="14"/>
  <c r="N103" i="14"/>
  <c r="N62" i="14"/>
  <c r="N93" i="14"/>
  <c r="N31" i="14"/>
  <c r="H67" i="6"/>
  <c r="M72" i="14"/>
  <c r="L51" i="14"/>
  <c r="H23" i="6"/>
  <c r="M28" i="14"/>
  <c r="H15" i="6"/>
  <c r="M20" i="14"/>
  <c r="H14" i="6"/>
  <c r="M19" i="14"/>
  <c r="L73" i="14"/>
  <c r="H99" i="6"/>
  <c r="M104" i="14"/>
  <c r="D91" i="14"/>
  <c r="C91" i="14" s="1"/>
  <c r="L67" i="14"/>
  <c r="H84" i="6"/>
  <c r="M89" i="14"/>
  <c r="H16" i="6"/>
  <c r="M21" i="14"/>
  <c r="L68" i="14"/>
  <c r="H31" i="6"/>
  <c r="M36" i="14"/>
  <c r="H80" i="6"/>
  <c r="M85" i="14"/>
  <c r="H33" i="6"/>
  <c r="M38" i="14"/>
  <c r="H56" i="6"/>
  <c r="M61" i="14"/>
  <c r="H60" i="6"/>
  <c r="M65" i="14"/>
  <c r="N52" i="14"/>
  <c r="N77" i="14"/>
  <c r="N37" i="14"/>
  <c r="N90" i="14"/>
  <c r="N78" i="14"/>
  <c r="H21" i="6"/>
  <c r="M26" i="14"/>
  <c r="N87" i="14"/>
  <c r="H98" i="6"/>
  <c r="M103" i="14"/>
  <c r="H77" i="6"/>
  <c r="M82" i="14"/>
  <c r="L81" i="14"/>
  <c r="H36" i="6"/>
  <c r="M41" i="14"/>
  <c r="L17" i="14"/>
  <c r="H96" i="6"/>
  <c r="M101" i="14"/>
  <c r="L40" i="14"/>
  <c r="H66" i="6"/>
  <c r="M71" i="14"/>
  <c r="L25" i="14"/>
  <c r="L79" i="14"/>
  <c r="H85" i="6"/>
  <c r="M90" i="14"/>
  <c r="N58" i="14"/>
  <c r="H95" i="6"/>
  <c r="M100" i="14"/>
  <c r="N83" i="14"/>
  <c r="N29" i="14"/>
  <c r="N23" i="14"/>
  <c r="N16" i="14"/>
  <c r="H73" i="6"/>
  <c r="M78" i="14"/>
  <c r="L95" i="14"/>
  <c r="N61" i="14"/>
  <c r="N33" i="14"/>
  <c r="N72" i="14"/>
  <c r="N32" i="14"/>
  <c r="BZ11" i="6"/>
  <c r="E50" i="14"/>
  <c r="I50" i="14" s="1"/>
  <c r="H89" i="18" s="1"/>
  <c r="E48" i="14"/>
  <c r="I48" i="14" s="1"/>
  <c r="H40" i="18" s="1"/>
  <c r="D39" i="14"/>
  <c r="C39" i="14" s="1"/>
  <c r="D44" i="14"/>
  <c r="C44" i="14" s="1"/>
  <c r="D68" i="14"/>
  <c r="C68" i="14" s="1"/>
  <c r="D55" i="14"/>
  <c r="C55" i="14" s="1"/>
  <c r="E81" i="14"/>
  <c r="I81" i="14" s="1"/>
  <c r="H76" i="18" s="1"/>
  <c r="D73" i="14"/>
  <c r="C73" i="14" s="1"/>
  <c r="E39" i="14"/>
  <c r="I39" i="14" s="1"/>
  <c r="H74" i="18" s="1"/>
  <c r="D46" i="14"/>
  <c r="C46" i="14" s="1"/>
  <c r="E102" i="14"/>
  <c r="I102" i="14" s="1"/>
  <c r="H85" i="18" s="1"/>
  <c r="E55" i="14"/>
  <c r="I55" i="14" s="1"/>
  <c r="H29" i="18" s="1"/>
  <c r="D42" i="14"/>
  <c r="C42" i="14" s="1"/>
  <c r="D81" i="14"/>
  <c r="C81" i="14" s="1"/>
  <c r="E44" i="14"/>
  <c r="I44" i="14" s="1"/>
  <c r="H78" i="18" s="1"/>
  <c r="E68" i="14"/>
  <c r="I68" i="14" s="1"/>
  <c r="H72" i="18" s="1"/>
  <c r="E22" i="14"/>
  <c r="I22" i="14" s="1"/>
  <c r="H50" i="18" s="1"/>
  <c r="D67" i="14"/>
  <c r="C67" i="14" s="1"/>
  <c r="B8" i="3" s="1"/>
  <c r="E63" i="14"/>
  <c r="I63" i="14" s="1"/>
  <c r="H34" i="18" s="1"/>
  <c r="E25" i="14"/>
  <c r="I25" i="14" s="1"/>
  <c r="H73" i="18" s="1"/>
  <c r="E42" i="14"/>
  <c r="I42" i="14" s="1"/>
  <c r="H28" i="18" s="1"/>
  <c r="E91" i="14"/>
  <c r="I91" i="14" s="1"/>
  <c r="H53" i="18" s="1"/>
  <c r="D51" i="14"/>
  <c r="C51" i="14" s="1"/>
  <c r="D35" i="14"/>
  <c r="C35" i="14" s="1"/>
  <c r="D40" i="14"/>
  <c r="C40" i="14" s="1"/>
  <c r="E74" i="14"/>
  <c r="I74" i="14" s="1"/>
  <c r="H47" i="18" s="1"/>
  <c r="E79" i="14"/>
  <c r="I79" i="14" s="1"/>
  <c r="H90" i="18" s="1"/>
  <c r="D25" i="14"/>
  <c r="C25" i="14" s="1"/>
  <c r="D53" i="14"/>
  <c r="C53" i="14" s="1"/>
  <c r="E35" i="14"/>
  <c r="I35" i="14" s="1"/>
  <c r="H63" i="18" s="1"/>
  <c r="D17" i="14"/>
  <c r="C17" i="14" s="1"/>
  <c r="D50" i="14"/>
  <c r="C50" i="14" s="1"/>
  <c r="E40" i="14"/>
  <c r="I40" i="14" s="1"/>
  <c r="H46" i="18" s="1"/>
  <c r="D54" i="14"/>
  <c r="C54" i="14" s="1"/>
  <c r="E76" i="14"/>
  <c r="I76" i="14" s="1"/>
  <c r="H95" i="18" s="1"/>
  <c r="D43" i="14"/>
  <c r="C43" i="14" s="1"/>
  <c r="E60" i="14"/>
  <c r="I60" i="14" s="1"/>
  <c r="H61" i="18" s="1"/>
  <c r="E67" i="14"/>
  <c r="I67" i="14" s="1"/>
  <c r="H93" i="18" s="1"/>
  <c r="D34" i="14"/>
  <c r="C34" i="14" s="1"/>
  <c r="E54" i="14"/>
  <c r="I54" i="14" s="1"/>
  <c r="H32" i="18" s="1"/>
  <c r="E80" i="14"/>
  <c r="I80" i="14" s="1"/>
  <c r="H88" i="18" s="1"/>
  <c r="D79" i="14"/>
  <c r="C79" i="14" s="1"/>
  <c r="E86" i="14"/>
  <c r="I86" i="14" s="1"/>
  <c r="H59" i="18" s="1"/>
  <c r="E51" i="14"/>
  <c r="I51" i="14" s="1"/>
  <c r="H12" i="18" s="1"/>
  <c r="D22" i="14"/>
  <c r="C22" i="14" s="1"/>
  <c r="E96" i="14"/>
  <c r="I96" i="14" s="1"/>
  <c r="H81" i="18" s="1"/>
  <c r="D96" i="14"/>
  <c r="C96" i="14" s="1"/>
  <c r="E66" i="14"/>
  <c r="I66" i="14" s="1"/>
  <c r="H27" i="18" s="1"/>
  <c r="D66" i="14"/>
  <c r="C66" i="14" s="1"/>
  <c r="D80" i="14"/>
  <c r="C80" i="14" s="1"/>
  <c r="E88" i="14"/>
  <c r="I88" i="14" s="1"/>
  <c r="H43" i="18" s="1"/>
  <c r="E17" i="14"/>
  <c r="I17" i="14" s="1"/>
  <c r="H86" i="18" s="1"/>
  <c r="E73" i="14"/>
  <c r="I73" i="14" s="1"/>
  <c r="H37" i="18" s="1"/>
  <c r="E34" i="14"/>
  <c r="I34" i="14" s="1"/>
  <c r="H84" i="18" s="1"/>
  <c r="D97" i="14"/>
  <c r="C97" i="14" s="1"/>
  <c r="E97" i="14"/>
  <c r="I97" i="14" s="1"/>
  <c r="H24" i="18" s="1"/>
  <c r="E43" i="14"/>
  <c r="I43" i="14" s="1"/>
  <c r="H77" i="18" s="1"/>
  <c r="E95" i="14"/>
  <c r="I95" i="14" s="1"/>
  <c r="H65" i="18" s="1"/>
  <c r="F15" i="14"/>
  <c r="C28" i="3"/>
  <c r="C31" i="3"/>
  <c r="B31" i="3"/>
  <c r="C32" i="3"/>
  <c r="B27" i="3"/>
  <c r="B9" i="3"/>
  <c r="C21" i="3"/>
  <c r="B32" i="3"/>
  <c r="H11" i="6"/>
  <c r="M16" i="14"/>
  <c r="C27" i="3"/>
  <c r="G15" i="14"/>
  <c r="B28" i="3"/>
  <c r="D16" i="7"/>
  <c r="D16" i="8"/>
  <c r="X31" i="5"/>
  <c r="N15" i="5"/>
  <c r="X45" i="5"/>
  <c r="Y83" i="5" l="1"/>
  <c r="Y104" i="5"/>
  <c r="X36" i="5"/>
  <c r="X67" i="5"/>
  <c r="Y101" i="5"/>
  <c r="X62" i="5"/>
  <c r="X59" i="5"/>
  <c r="Y65" i="5"/>
  <c r="Y16" i="5"/>
  <c r="Y96" i="5"/>
  <c r="X76" i="5"/>
  <c r="X61" i="5"/>
  <c r="X92" i="5"/>
  <c r="Y82" i="5"/>
  <c r="X68" i="5"/>
  <c r="X39" i="5"/>
  <c r="X63" i="5"/>
  <c r="X64" i="5"/>
  <c r="X27" i="5"/>
  <c r="X33" i="5"/>
  <c r="Y64" i="5"/>
  <c r="X17" i="5"/>
  <c r="Y19" i="5"/>
  <c r="X73" i="5"/>
  <c r="Y71" i="5"/>
  <c r="X72" i="5"/>
  <c r="Y90" i="5"/>
  <c r="X86" i="5"/>
  <c r="Y67" i="5"/>
  <c r="Y97" i="5"/>
  <c r="Y37" i="5"/>
  <c r="Y35" i="5"/>
  <c r="X97" i="5"/>
  <c r="Y62" i="5"/>
  <c r="X70" i="5"/>
  <c r="X96" i="5"/>
  <c r="Y46" i="5"/>
  <c r="X34" i="5"/>
  <c r="BK71" i="6"/>
  <c r="BF11" i="6"/>
  <c r="BK11" i="6"/>
  <c r="X78" i="5"/>
  <c r="Y93" i="5"/>
  <c r="X83" i="5"/>
  <c r="Y23" i="5"/>
  <c r="Y84" i="5"/>
  <c r="X79" i="5"/>
  <c r="Y34" i="5"/>
  <c r="Y43" i="5"/>
  <c r="X88" i="5"/>
  <c r="X102" i="5"/>
  <c r="X16" i="5"/>
  <c r="Y102" i="5"/>
  <c r="Y74" i="5"/>
  <c r="X19" i="5"/>
  <c r="X60" i="5"/>
  <c r="Y47" i="5"/>
  <c r="X28" i="5"/>
  <c r="Y36" i="5"/>
  <c r="Z36" i="5" s="1"/>
  <c r="X65" i="5"/>
  <c r="X30" i="5"/>
  <c r="X89" i="5"/>
  <c r="Y26" i="5"/>
  <c r="Y40" i="5"/>
  <c r="Y95" i="5"/>
  <c r="X44" i="5"/>
  <c r="Y91" i="5"/>
  <c r="Y58" i="5"/>
  <c r="X51" i="5"/>
  <c r="X58" i="5"/>
  <c r="Y78" i="5"/>
  <c r="Y56" i="5"/>
  <c r="Y44" i="5"/>
  <c r="X94" i="5"/>
  <c r="Y88" i="5"/>
  <c r="Y27" i="5"/>
  <c r="X93" i="5"/>
  <c r="Y22" i="5"/>
  <c r="Z22" i="5" s="1"/>
  <c r="X74" i="5"/>
  <c r="Y39" i="5"/>
  <c r="Y30" i="5"/>
  <c r="X75" i="5"/>
  <c r="X40" i="5"/>
  <c r="Y76" i="5"/>
  <c r="Y63" i="5"/>
  <c r="X18" i="5"/>
  <c r="Y41" i="5"/>
  <c r="Y92" i="5"/>
  <c r="Z92" i="5" s="1"/>
  <c r="Y33" i="5"/>
  <c r="X90" i="5"/>
  <c r="Z90" i="5" s="1"/>
  <c r="Y81" i="5"/>
  <c r="X100" i="5"/>
  <c r="C16" i="8"/>
  <c r="AS9" i="6"/>
  <c r="AS9" i="18"/>
  <c r="BL86" i="18"/>
  <c r="BL12" i="6"/>
  <c r="BL95" i="18"/>
  <c r="BL71" i="6"/>
  <c r="BK50" i="18"/>
  <c r="BK17" i="6"/>
  <c r="BK84" i="18"/>
  <c r="BK29" i="6"/>
  <c r="BK74" i="18"/>
  <c r="BK34" i="6"/>
  <c r="BL46" i="18"/>
  <c r="BL35" i="6"/>
  <c r="BL76" i="18"/>
  <c r="BL76" i="6"/>
  <c r="BK85" i="18"/>
  <c r="BK97" i="6"/>
  <c r="BL78" i="18"/>
  <c r="BL39" i="6"/>
  <c r="BL77" i="18"/>
  <c r="BL38" i="6"/>
  <c r="BL63" i="18"/>
  <c r="BL30" i="6"/>
  <c r="BL84" i="18"/>
  <c r="BL29" i="6"/>
  <c r="H9" i="6"/>
  <c r="BL73" i="18"/>
  <c r="BL20" i="6"/>
  <c r="BL12" i="18"/>
  <c r="BL46" i="6"/>
  <c r="AI10" i="18"/>
  <c r="AI10" i="6"/>
  <c r="BK88" i="18"/>
  <c r="BK75" i="6"/>
  <c r="BK89" i="18"/>
  <c r="BK45" i="6"/>
  <c r="BK76" i="18"/>
  <c r="BK76" i="6"/>
  <c r="BK37" i="18"/>
  <c r="BK68" i="6"/>
  <c r="BL85" i="18"/>
  <c r="BL97" i="6"/>
  <c r="BL61" i="18"/>
  <c r="BL55" i="6"/>
  <c r="BL81" i="18"/>
  <c r="BL91" i="6"/>
  <c r="BL34" i="18"/>
  <c r="BL58" i="6"/>
  <c r="BL74" i="18"/>
  <c r="BL34" i="6"/>
  <c r="BL59" i="18"/>
  <c r="BL81" i="6"/>
  <c r="H9" i="18"/>
  <c r="BK24" i="18"/>
  <c r="BK92" i="6"/>
  <c r="BK27" i="18"/>
  <c r="BK61" i="6"/>
  <c r="BK86" i="18"/>
  <c r="BK12" i="6"/>
  <c r="BK46" i="18"/>
  <c r="BK35" i="6"/>
  <c r="BK28" i="18"/>
  <c r="BK37" i="6"/>
  <c r="BL65" i="18"/>
  <c r="BL90" i="6"/>
  <c r="BL90" i="18"/>
  <c r="BL74" i="6"/>
  <c r="BL37" i="18"/>
  <c r="BL68" i="6"/>
  <c r="BL24" i="18"/>
  <c r="BL92" i="6"/>
  <c r="BK34" i="18"/>
  <c r="BK58" i="6"/>
  <c r="BL64" i="18"/>
  <c r="BL48" i="6"/>
  <c r="BK63" i="18"/>
  <c r="BK30" i="6"/>
  <c r="BL88" i="18"/>
  <c r="BL75" i="6"/>
  <c r="BL32" i="18"/>
  <c r="BL49" i="6"/>
  <c r="BL53" i="18"/>
  <c r="BL86" i="6"/>
  <c r="BK90" i="18"/>
  <c r="BK74" i="6"/>
  <c r="BK77" i="18"/>
  <c r="BK38" i="6"/>
  <c r="BK93" i="18"/>
  <c r="BK62" i="6"/>
  <c r="BK29" i="18"/>
  <c r="BK50" i="6"/>
  <c r="BL40" i="18"/>
  <c r="BL43" i="6"/>
  <c r="BL27" i="18"/>
  <c r="BL61" i="6"/>
  <c r="AG10" i="6"/>
  <c r="AG10" i="18"/>
  <c r="R10" i="5"/>
  <c r="R8" i="5" s="1"/>
  <c r="C16" i="7"/>
  <c r="AO9" i="18"/>
  <c r="AO9" i="6"/>
  <c r="BK81" i="18"/>
  <c r="BK91" i="6"/>
  <c r="BK64" i="18"/>
  <c r="BK48" i="6"/>
  <c r="BK12" i="18"/>
  <c r="BK46" i="6"/>
  <c r="BK72" i="18"/>
  <c r="BK63" i="6"/>
  <c r="BL93" i="18"/>
  <c r="BL62" i="6"/>
  <c r="BL18" i="18"/>
  <c r="BL41" i="6"/>
  <c r="BL29" i="18"/>
  <c r="BL50" i="6"/>
  <c r="BL47" i="18"/>
  <c r="BL69" i="6"/>
  <c r="BL43" i="18"/>
  <c r="BL83" i="6"/>
  <c r="BK32" i="18"/>
  <c r="BK49" i="6"/>
  <c r="BK73" i="18"/>
  <c r="BK20" i="6"/>
  <c r="BK18" i="18"/>
  <c r="BK41" i="6"/>
  <c r="BK78" i="18"/>
  <c r="BK39" i="6"/>
  <c r="BL72" i="18"/>
  <c r="BL63" i="6"/>
  <c r="BK53" i="18"/>
  <c r="BK86" i="6"/>
  <c r="BL50" i="18"/>
  <c r="BL17" i="6"/>
  <c r="BK47" i="18"/>
  <c r="BK69" i="6"/>
  <c r="BL89" i="18"/>
  <c r="BL45" i="6"/>
  <c r="AD10" i="18"/>
  <c r="AD10" i="6"/>
  <c r="N73" i="14"/>
  <c r="N80" i="14"/>
  <c r="N97" i="14"/>
  <c r="N44" i="14"/>
  <c r="N88" i="14"/>
  <c r="N39" i="14"/>
  <c r="H34" i="6"/>
  <c r="M39" i="14"/>
  <c r="H43" i="6"/>
  <c r="M48" i="14"/>
  <c r="H90" i="6"/>
  <c r="M95" i="14"/>
  <c r="H12" i="6"/>
  <c r="M17" i="14"/>
  <c r="H91" i="6"/>
  <c r="M96" i="14"/>
  <c r="H49" i="6"/>
  <c r="M54" i="14"/>
  <c r="H86" i="6"/>
  <c r="M91" i="14"/>
  <c r="H45" i="6"/>
  <c r="M50" i="14"/>
  <c r="N40" i="14"/>
  <c r="N68" i="14"/>
  <c r="N67" i="14"/>
  <c r="C9" i="3" s="1"/>
  <c r="N51" i="14"/>
  <c r="N60" i="14"/>
  <c r="N74" i="14"/>
  <c r="N66" i="14"/>
  <c r="H71" i="6"/>
  <c r="M76" i="14"/>
  <c r="H63" i="6"/>
  <c r="M68" i="14"/>
  <c r="N79" i="14"/>
  <c r="N95" i="14"/>
  <c r="N46" i="14"/>
  <c r="N96" i="14"/>
  <c r="N43" i="14"/>
  <c r="N54" i="14"/>
  <c r="H75" i="6"/>
  <c r="M80" i="14"/>
  <c r="H17" i="6"/>
  <c r="M22" i="14"/>
  <c r="H38" i="6"/>
  <c r="M43" i="14"/>
  <c r="H83" i="6"/>
  <c r="M88" i="14"/>
  <c r="H35" i="6"/>
  <c r="M40" i="14"/>
  <c r="H46" i="6"/>
  <c r="M51" i="14"/>
  <c r="H62" i="6"/>
  <c r="M67" i="14"/>
  <c r="C8" i="3" s="1"/>
  <c r="H69" i="6"/>
  <c r="M74" i="14"/>
  <c r="H39" i="6"/>
  <c r="M44" i="14"/>
  <c r="N81" i="14"/>
  <c r="N48" i="14"/>
  <c r="N86" i="14"/>
  <c r="N63" i="14"/>
  <c r="H68" i="6"/>
  <c r="M73" i="14"/>
  <c r="H74" i="6"/>
  <c r="M79" i="14"/>
  <c r="H37" i="6"/>
  <c r="M42" i="14"/>
  <c r="H76" i="6"/>
  <c r="M81" i="14"/>
  <c r="H50" i="6"/>
  <c r="M55" i="14"/>
  <c r="H81" i="6"/>
  <c r="M86" i="14"/>
  <c r="H58" i="6"/>
  <c r="M63" i="14"/>
  <c r="H97" i="6"/>
  <c r="M102" i="14"/>
  <c r="N53" i="14"/>
  <c r="N25" i="14"/>
  <c r="H41" i="6"/>
  <c r="M46" i="14"/>
  <c r="N55" i="14"/>
  <c r="N76" i="14"/>
  <c r="N50" i="14"/>
  <c r="N35" i="14"/>
  <c r="N42" i="14"/>
  <c r="H92" i="6"/>
  <c r="M97" i="14"/>
  <c r="H20" i="6"/>
  <c r="M25" i="14"/>
  <c r="H55" i="6"/>
  <c r="M60" i="14"/>
  <c r="H29" i="6"/>
  <c r="M34" i="14"/>
  <c r="H61" i="6"/>
  <c r="M66" i="14"/>
  <c r="H30" i="6"/>
  <c r="M35" i="14"/>
  <c r="K15" i="14"/>
  <c r="N17" i="14"/>
  <c r="N102" i="14"/>
  <c r="N22" i="14"/>
  <c r="N34" i="14"/>
  <c r="N91" i="14"/>
  <c r="X53" i="5"/>
  <c r="Y86" i="5"/>
  <c r="Z86" i="5" s="1"/>
  <c r="Y42" i="5"/>
  <c r="Y68" i="5"/>
  <c r="Z68" i="5" s="1"/>
  <c r="X81" i="5"/>
  <c r="Y85" i="5"/>
  <c r="X95" i="5"/>
  <c r="Y18" i="5"/>
  <c r="Y75" i="5"/>
  <c r="X25" i="5"/>
  <c r="Y61" i="5"/>
  <c r="Y54" i="5"/>
  <c r="Y25" i="5"/>
  <c r="Y45" i="5"/>
  <c r="Z45" i="5" s="1"/>
  <c r="X54" i="5"/>
  <c r="X41" i="5"/>
  <c r="X55" i="5"/>
  <c r="X50" i="5"/>
  <c r="X56" i="5"/>
  <c r="X37" i="5"/>
  <c r="Z37" i="5" s="1"/>
  <c r="X85" i="5"/>
  <c r="X99" i="5"/>
  <c r="Y69" i="5"/>
  <c r="Y94" i="5"/>
  <c r="X104" i="5"/>
  <c r="Z104" i="5" s="1"/>
  <c r="Y17" i="5"/>
  <c r="X57" i="5"/>
  <c r="Y53" i="5"/>
  <c r="Y52" i="5"/>
  <c r="Y20" i="5"/>
  <c r="X42" i="5"/>
  <c r="X52" i="5"/>
  <c r="X35" i="5"/>
  <c r="Y50" i="5"/>
  <c r="Y72" i="5"/>
  <c r="Y21" i="5"/>
  <c r="X24" i="5"/>
  <c r="Y99" i="5"/>
  <c r="X103" i="5"/>
  <c r="Y73" i="5"/>
  <c r="X87" i="5"/>
  <c r="X66" i="5"/>
  <c r="X48" i="5"/>
  <c r="Y87" i="5"/>
  <c r="Y59" i="5"/>
  <c r="Y89" i="5"/>
  <c r="X71" i="5"/>
  <c r="X23" i="5"/>
  <c r="Y57" i="5"/>
  <c r="X82" i="5"/>
  <c r="Z82" i="5" s="1"/>
  <c r="Y100" i="5"/>
  <c r="Y51" i="5"/>
  <c r="X21" i="5"/>
  <c r="Y55" i="5"/>
  <c r="X46" i="5"/>
  <c r="Y80" i="5"/>
  <c r="X84" i="5"/>
  <c r="X38" i="5"/>
  <c r="Y24" i="5"/>
  <c r="X43" i="5"/>
  <c r="X69" i="5"/>
  <c r="X101" i="5"/>
  <c r="Z101" i="5" s="1"/>
  <c r="X20" i="5"/>
  <c r="Y103" i="5"/>
  <c r="Y77" i="5"/>
  <c r="X91" i="5"/>
  <c r="Y66" i="5"/>
  <c r="X26" i="5"/>
  <c r="Z83" i="5"/>
  <c r="Y48" i="5"/>
  <c r="Y31" i="5"/>
  <c r="Z31" i="5" s="1"/>
  <c r="X47" i="5"/>
  <c r="X77" i="5"/>
  <c r="Y79" i="5"/>
  <c r="X80" i="5"/>
  <c r="Y28" i="5"/>
  <c r="Y70" i="5"/>
  <c r="Y60" i="5"/>
  <c r="B35" i="3"/>
  <c r="C35" i="3" s="1"/>
  <c r="B26" i="3"/>
  <c r="C26" i="3" s="1"/>
  <c r="Y38" i="5"/>
  <c r="E15" i="14"/>
  <c r="I15" i="14" s="1"/>
  <c r="Z19" i="5"/>
  <c r="Z67" i="5"/>
  <c r="B30" i="3"/>
  <c r="C30" i="3" s="1"/>
  <c r="Q15" i="9"/>
  <c r="Z76" i="5" l="1"/>
  <c r="Z70" i="5"/>
  <c r="Z89" i="5"/>
  <c r="Z79" i="5"/>
  <c r="Z62" i="5"/>
  <c r="Z84" i="5"/>
  <c r="Z59" i="5"/>
  <c r="Z65" i="5"/>
  <c r="Z97" i="5"/>
  <c r="Z64" i="5"/>
  <c r="Z28" i="5"/>
  <c r="Z96" i="5"/>
  <c r="Z34" i="5"/>
  <c r="Z17" i="5"/>
  <c r="Z61" i="5"/>
  <c r="Z73" i="5"/>
  <c r="Z16" i="5"/>
  <c r="Z35" i="5"/>
  <c r="Z27" i="5"/>
  <c r="Z71" i="5"/>
  <c r="Z46" i="5"/>
  <c r="Z72" i="5"/>
  <c r="Z39" i="5"/>
  <c r="Z33" i="5"/>
  <c r="Z63" i="5"/>
  <c r="Z78" i="5"/>
  <c r="Z93" i="5"/>
  <c r="Z102" i="5"/>
  <c r="Z88" i="5"/>
  <c r="Z40" i="5"/>
  <c r="Z95" i="5"/>
  <c r="Z74" i="5"/>
  <c r="Z30" i="5"/>
  <c r="Z60" i="5"/>
  <c r="Z47" i="5"/>
  <c r="Z43" i="5"/>
  <c r="Z23" i="5"/>
  <c r="Z26" i="5"/>
  <c r="Z44" i="5"/>
  <c r="Z100" i="5"/>
  <c r="Z69" i="5"/>
  <c r="Z58" i="5"/>
  <c r="Z91" i="5"/>
  <c r="Z51" i="5"/>
  <c r="Z94" i="5"/>
  <c r="Z75" i="5"/>
  <c r="Z81" i="5"/>
  <c r="Z18" i="5"/>
  <c r="Z56" i="5"/>
  <c r="Z41" i="5"/>
  <c r="Z66" i="5"/>
  <c r="Z21" i="5"/>
  <c r="Z77" i="5"/>
  <c r="Z53" i="5"/>
  <c r="G64" i="5"/>
  <c r="G54" i="5"/>
  <c r="G74" i="5"/>
  <c r="G75" i="5"/>
  <c r="G90" i="5"/>
  <c r="G38" i="5"/>
  <c r="G91" i="5"/>
  <c r="G55" i="5"/>
  <c r="G88" i="5"/>
  <c r="G61" i="5"/>
  <c r="G103" i="5"/>
  <c r="G47" i="5"/>
  <c r="G63" i="5"/>
  <c r="G83" i="5"/>
  <c r="G42" i="5"/>
  <c r="G58" i="5"/>
  <c r="G76" i="5"/>
  <c r="G94" i="5"/>
  <c r="G39" i="5"/>
  <c r="G56" i="5"/>
  <c r="G53" i="5"/>
  <c r="G86" i="5"/>
  <c r="G66" i="5"/>
  <c r="G52" i="5"/>
  <c r="G81" i="5"/>
  <c r="G33" i="5"/>
  <c r="G96" i="5"/>
  <c r="G89" i="5"/>
  <c r="G92" i="5"/>
  <c r="G37" i="5"/>
  <c r="G99" i="5"/>
  <c r="G85" i="5"/>
  <c r="G67" i="5"/>
  <c r="G95" i="5"/>
  <c r="G43" i="5"/>
  <c r="G34" i="5"/>
  <c r="G84" i="5"/>
  <c r="G40" i="5"/>
  <c r="G82" i="5"/>
  <c r="G60" i="5"/>
  <c r="G77" i="5"/>
  <c r="G36" i="5"/>
  <c r="G102" i="5"/>
  <c r="G72" i="5"/>
  <c r="G35" i="5"/>
  <c r="G59" i="5"/>
  <c r="G30" i="5"/>
  <c r="G100" i="5"/>
  <c r="G44" i="5"/>
  <c r="G50" i="5"/>
  <c r="G46" i="5"/>
  <c r="G80" i="5"/>
  <c r="G87" i="5"/>
  <c r="G41" i="5"/>
  <c r="G51" i="5"/>
  <c r="G104" i="5"/>
  <c r="G79" i="5"/>
  <c r="G31" i="5"/>
  <c r="G78" i="5"/>
  <c r="G69" i="5"/>
  <c r="G70" i="5"/>
  <c r="G57" i="5"/>
  <c r="G68" i="5"/>
  <c r="G65" i="5"/>
  <c r="G73" i="5"/>
  <c r="G93" i="5"/>
  <c r="G48" i="5"/>
  <c r="G101" i="5"/>
  <c r="G62" i="5"/>
  <c r="G16" i="5"/>
  <c r="G45" i="5"/>
  <c r="G71" i="5"/>
  <c r="H10" i="18"/>
  <c r="H10" i="6"/>
  <c r="Z20" i="5"/>
  <c r="Z57" i="5"/>
  <c r="Z54" i="5"/>
  <c r="Z48" i="5"/>
  <c r="Z87" i="5"/>
  <c r="Z80" i="5"/>
  <c r="Z24" i="5"/>
  <c r="Z42" i="5"/>
  <c r="Z52" i="5"/>
  <c r="Z38" i="5"/>
  <c r="Z55" i="5"/>
  <c r="Z99" i="5"/>
  <c r="Z85" i="5"/>
  <c r="Z103" i="5"/>
  <c r="Z50" i="5"/>
  <c r="Z25" i="5"/>
  <c r="C22" i="3"/>
  <c r="M17" i="2"/>
  <c r="M18" i="2"/>
  <c r="M19" i="2"/>
  <c r="G19" i="2" s="1"/>
  <c r="M20" i="2"/>
  <c r="M21" i="2"/>
  <c r="M22" i="2"/>
  <c r="M23" i="2"/>
  <c r="G23" i="2" s="1"/>
  <c r="M24" i="2"/>
  <c r="M25" i="2"/>
  <c r="G25" i="2" s="1"/>
  <c r="M26" i="2"/>
  <c r="M27" i="2"/>
  <c r="M28" i="2"/>
  <c r="M30" i="2"/>
  <c r="M31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9" i="2"/>
  <c r="M100" i="2"/>
  <c r="M101" i="2"/>
  <c r="M102" i="2"/>
  <c r="M103" i="2"/>
  <c r="M104" i="2"/>
  <c r="O17" i="2"/>
  <c r="O18" i="2"/>
  <c r="O19" i="2"/>
  <c r="O20" i="2"/>
  <c r="O21" i="2"/>
  <c r="O22" i="2"/>
  <c r="O23" i="2"/>
  <c r="O24" i="2"/>
  <c r="O25" i="2"/>
  <c r="O26" i="2"/>
  <c r="O27" i="2"/>
  <c r="O28" i="2"/>
  <c r="O30" i="2"/>
  <c r="O31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V62" i="2" s="1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V96" i="2" s="1"/>
  <c r="O97" i="2"/>
  <c r="O99" i="2"/>
  <c r="O100" i="2"/>
  <c r="O101" i="2"/>
  <c r="O102" i="2"/>
  <c r="O103" i="2"/>
  <c r="O104" i="2"/>
  <c r="S17" i="2"/>
  <c r="S18" i="2"/>
  <c r="S19" i="2"/>
  <c r="S20" i="2"/>
  <c r="S21" i="2"/>
  <c r="S22" i="2"/>
  <c r="S23" i="2"/>
  <c r="S24" i="2"/>
  <c r="S25" i="2"/>
  <c r="U26" i="2"/>
  <c r="U27" i="2"/>
  <c r="U28" i="2"/>
  <c r="S30" i="2"/>
  <c r="S31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U64" i="2" s="1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9" i="2"/>
  <c r="S100" i="2"/>
  <c r="S101" i="2"/>
  <c r="S102" i="2"/>
  <c r="S103" i="2"/>
  <c r="S104" i="2"/>
  <c r="AC47" i="18" l="1"/>
  <c r="AC69" i="6"/>
  <c r="AC89" i="18"/>
  <c r="AC45" i="6"/>
  <c r="U17" i="2"/>
  <c r="AC86" i="18"/>
  <c r="AC12" i="6"/>
  <c r="BQ80" i="18"/>
  <c r="BQ57" i="6"/>
  <c r="BQ71" i="18"/>
  <c r="BQ77" i="6"/>
  <c r="BQ47" i="18"/>
  <c r="BQ69" i="6"/>
  <c r="AC53" i="18"/>
  <c r="AC86" i="6"/>
  <c r="AC37" i="18"/>
  <c r="AC68" i="6"/>
  <c r="AC28" i="18"/>
  <c r="AC37" i="6"/>
  <c r="AC62" i="18"/>
  <c r="AC84" i="6"/>
  <c r="AC49" i="18"/>
  <c r="AC66" i="6"/>
  <c r="AC83" i="18"/>
  <c r="AC60" i="6"/>
  <c r="AC48" i="18"/>
  <c r="AC54" i="6"/>
  <c r="AC64" i="18"/>
  <c r="AC48" i="6"/>
  <c r="AC18" i="18"/>
  <c r="AC41" i="6"/>
  <c r="AC46" i="18"/>
  <c r="AC35" i="6"/>
  <c r="AC84" i="18"/>
  <c r="AC29" i="6"/>
  <c r="AC44" i="18"/>
  <c r="AC15" i="6"/>
  <c r="BN25" i="18"/>
  <c r="BN18" i="6"/>
  <c r="BQ49" i="18"/>
  <c r="BQ66" i="6"/>
  <c r="BQ23" i="18"/>
  <c r="BQ88" i="6"/>
  <c r="BQ94" i="18"/>
  <c r="BQ64" i="6"/>
  <c r="BQ17" i="18"/>
  <c r="BQ36" i="6"/>
  <c r="BQ54" i="18"/>
  <c r="BQ95" i="6"/>
  <c r="BQ56" i="18"/>
  <c r="BQ31" i="6"/>
  <c r="BQ84" i="18"/>
  <c r="BQ29" i="6"/>
  <c r="BQ26" i="18"/>
  <c r="BQ32" i="6"/>
  <c r="BQ14" i="18"/>
  <c r="BQ47" i="6"/>
  <c r="BQ38" i="18"/>
  <c r="BQ89" i="6"/>
  <c r="BQ31" i="18"/>
  <c r="BQ42" i="6"/>
  <c r="BQ70" i="18"/>
  <c r="BQ33" i="6"/>
  <c r="AC19" i="18"/>
  <c r="AC94" i="6"/>
  <c r="AC72" i="18"/>
  <c r="AC63" i="6"/>
  <c r="AC77" i="18"/>
  <c r="AC38" i="6"/>
  <c r="BQ64" i="18"/>
  <c r="BQ48" i="6"/>
  <c r="AC81" i="18"/>
  <c r="AC91" i="6"/>
  <c r="AC92" i="18"/>
  <c r="AC85" i="6"/>
  <c r="AC16" i="18"/>
  <c r="AC73" i="6"/>
  <c r="AC61" i="18"/>
  <c r="AC55" i="6"/>
  <c r="AC31" i="18"/>
  <c r="AC42" i="6"/>
  <c r="AC63" i="18"/>
  <c r="AC30" i="6"/>
  <c r="AC65" i="18"/>
  <c r="AC90" i="6"/>
  <c r="AC87" i="18"/>
  <c r="AC72" i="6"/>
  <c r="AC43" i="18"/>
  <c r="AC83" i="6"/>
  <c r="AC57" i="18"/>
  <c r="AC65" i="6"/>
  <c r="AC33" i="18"/>
  <c r="AC53" i="6"/>
  <c r="AC74" i="18"/>
  <c r="AC34" i="6"/>
  <c r="AC73" i="18"/>
  <c r="AC20" i="6"/>
  <c r="BQ68" i="18"/>
  <c r="BQ40" i="6"/>
  <c r="BQ37" i="18"/>
  <c r="BQ68" i="6"/>
  <c r="BQ16" i="18"/>
  <c r="BQ73" i="6"/>
  <c r="BQ42" i="18"/>
  <c r="BQ82" i="6"/>
  <c r="BQ67" i="18"/>
  <c r="BQ25" i="6"/>
  <c r="BQ87" i="18"/>
  <c r="BQ72" i="6"/>
  <c r="BQ77" i="18"/>
  <c r="BQ38" i="6"/>
  <c r="BQ15" i="18"/>
  <c r="BQ87" i="6"/>
  <c r="BQ27" i="18"/>
  <c r="BQ61" i="6"/>
  <c r="BQ95" i="18"/>
  <c r="BQ71" i="6"/>
  <c r="BQ51" i="18"/>
  <c r="BQ98" i="6"/>
  <c r="BQ92" i="18"/>
  <c r="BQ85" i="6"/>
  <c r="AC59" i="18"/>
  <c r="AC81" i="6"/>
  <c r="AC60" i="18"/>
  <c r="AC51" i="6"/>
  <c r="AC25" i="18"/>
  <c r="AC18" i="6"/>
  <c r="AC66" i="18"/>
  <c r="AC80" i="6"/>
  <c r="AC93" i="18"/>
  <c r="AC62" i="6"/>
  <c r="AC56" i="18"/>
  <c r="AC31" i="6"/>
  <c r="AC51" i="18"/>
  <c r="AC98" i="6"/>
  <c r="AC41" i="18"/>
  <c r="AC79" i="6"/>
  <c r="AC36" i="18"/>
  <c r="AC67" i="6"/>
  <c r="AC32" i="18"/>
  <c r="AC49" i="6"/>
  <c r="AC17" i="18"/>
  <c r="AC36" i="6"/>
  <c r="AC85" i="18"/>
  <c r="AC97" i="6"/>
  <c r="AC39" i="18"/>
  <c r="AC78" i="6"/>
  <c r="AC22" i="18"/>
  <c r="AC96" i="6"/>
  <c r="AC38" i="18"/>
  <c r="AC89" i="6"/>
  <c r="AC71" i="18"/>
  <c r="AC77" i="6"/>
  <c r="AC95" i="18"/>
  <c r="AC71" i="6"/>
  <c r="AC35" i="18"/>
  <c r="AC59" i="6"/>
  <c r="AC14" i="18"/>
  <c r="AC47" i="6"/>
  <c r="AC68" i="18"/>
  <c r="AC40" i="6"/>
  <c r="AC21" i="18"/>
  <c r="AC28" i="6"/>
  <c r="U19" i="2"/>
  <c r="AC58" i="18"/>
  <c r="AC14" i="6"/>
  <c r="AC54" i="18"/>
  <c r="AC95" i="6"/>
  <c r="AC23" i="18"/>
  <c r="AC88" i="6"/>
  <c r="AC42" i="18"/>
  <c r="AC82" i="6"/>
  <c r="AC76" i="18"/>
  <c r="AC76" i="6"/>
  <c r="AC52" i="18"/>
  <c r="AC70" i="6"/>
  <c r="AC94" i="18"/>
  <c r="AC64" i="6"/>
  <c r="AC34" i="18"/>
  <c r="AC58" i="6"/>
  <c r="AC75" i="18"/>
  <c r="AC52" i="6"/>
  <c r="AC12" i="18"/>
  <c r="AC46" i="6"/>
  <c r="AC78" i="18"/>
  <c r="AC39" i="6"/>
  <c r="AC70" i="18"/>
  <c r="AC33" i="6"/>
  <c r="AC91" i="18"/>
  <c r="AC26" i="6"/>
  <c r="U24" i="2"/>
  <c r="AC45" i="18"/>
  <c r="AC19" i="6"/>
  <c r="AC69" i="18"/>
  <c r="AC13" i="6"/>
  <c r="BQ82" i="18"/>
  <c r="BQ11" i="6"/>
  <c r="BQ83" i="18"/>
  <c r="BQ60" i="6"/>
  <c r="BQ91" i="18"/>
  <c r="BQ26" i="6"/>
  <c r="BQ88" i="18"/>
  <c r="BQ75" i="6"/>
  <c r="BQ48" i="18"/>
  <c r="BQ54" i="6"/>
  <c r="BQ61" i="18"/>
  <c r="BQ55" i="6"/>
  <c r="BQ65" i="18"/>
  <c r="BQ90" i="6"/>
  <c r="BQ62" i="18"/>
  <c r="BQ84" i="6"/>
  <c r="BQ59" i="18"/>
  <c r="BQ81" i="6"/>
  <c r="BQ33" i="18"/>
  <c r="BQ53" i="6"/>
  <c r="BQ79" i="18"/>
  <c r="BQ56" i="6"/>
  <c r="BQ52" i="18"/>
  <c r="BQ70" i="6"/>
  <c r="AC88" i="18"/>
  <c r="AC75" i="6"/>
  <c r="AC26" i="18"/>
  <c r="AC32" i="6"/>
  <c r="BQ90" i="18"/>
  <c r="BQ74" i="6"/>
  <c r="BQ63" i="18"/>
  <c r="BQ30" i="6"/>
  <c r="BQ81" i="18"/>
  <c r="BQ91" i="6"/>
  <c r="BQ28" i="18"/>
  <c r="BQ37" i="6"/>
  <c r="AC24" i="18"/>
  <c r="AC92" i="6"/>
  <c r="AC29" i="18"/>
  <c r="AC50" i="6"/>
  <c r="BN73" i="18"/>
  <c r="BN20" i="6"/>
  <c r="BN58" i="18"/>
  <c r="BN14" i="6"/>
  <c r="BQ22" i="18"/>
  <c r="BQ96" i="6"/>
  <c r="BQ75" i="18"/>
  <c r="BQ52" i="6"/>
  <c r="BQ20" i="18"/>
  <c r="BQ99" i="6"/>
  <c r="BQ89" i="18"/>
  <c r="BQ45" i="6"/>
  <c r="BQ36" i="18"/>
  <c r="BQ67" i="6"/>
  <c r="BQ46" i="18"/>
  <c r="BQ35" i="6"/>
  <c r="BQ66" i="18"/>
  <c r="BQ80" i="6"/>
  <c r="BQ21" i="18"/>
  <c r="BQ28" i="6"/>
  <c r="BQ60" i="18"/>
  <c r="BQ51" i="6"/>
  <c r="BQ39" i="18"/>
  <c r="BQ78" i="6"/>
  <c r="BQ29" i="18"/>
  <c r="BQ50" i="6"/>
  <c r="BQ32" i="18"/>
  <c r="BQ49" i="6"/>
  <c r="AC15" i="18"/>
  <c r="AC87" i="6"/>
  <c r="AC80" i="18"/>
  <c r="AC57" i="6"/>
  <c r="AC67" i="18"/>
  <c r="AC25" i="6"/>
  <c r="BQ72" i="18"/>
  <c r="BQ63" i="6"/>
  <c r="BQ18" i="18"/>
  <c r="BQ41" i="6"/>
  <c r="BQ93" i="18"/>
  <c r="BQ62" i="6"/>
  <c r="BQ43" i="18"/>
  <c r="BQ83" i="6"/>
  <c r="AC20" i="18"/>
  <c r="AC99" i="6"/>
  <c r="AC90" i="18"/>
  <c r="AC74" i="6"/>
  <c r="AC79" i="18"/>
  <c r="AC56" i="6"/>
  <c r="AC40" i="18"/>
  <c r="AC43" i="6"/>
  <c r="AC50" i="18"/>
  <c r="AC17" i="6"/>
  <c r="AC27" i="18"/>
  <c r="AC61" i="6"/>
  <c r="AC30" i="18"/>
  <c r="AC16" i="6"/>
  <c r="BQ40" i="18"/>
  <c r="BQ43" i="6"/>
  <c r="BQ57" i="18"/>
  <c r="BQ65" i="6"/>
  <c r="BQ12" i="18"/>
  <c r="BQ46" i="6"/>
  <c r="BQ78" i="18"/>
  <c r="BQ39" i="6"/>
  <c r="BQ85" i="18"/>
  <c r="BQ97" i="6"/>
  <c r="BQ41" i="18"/>
  <c r="BQ79" i="6"/>
  <c r="BQ19" i="18"/>
  <c r="BQ94" i="6"/>
  <c r="BQ76" i="18"/>
  <c r="BQ76" i="6"/>
  <c r="BQ74" i="18"/>
  <c r="BQ34" i="6"/>
  <c r="BQ34" i="18"/>
  <c r="BQ58" i="6"/>
  <c r="BQ53" i="18"/>
  <c r="BQ86" i="6"/>
  <c r="BQ35" i="18"/>
  <c r="BQ59" i="6"/>
  <c r="U63" i="2"/>
  <c r="U38" i="2"/>
  <c r="U94" i="2"/>
  <c r="U76" i="2"/>
  <c r="U87" i="2"/>
  <c r="U69" i="2"/>
  <c r="U51" i="2"/>
  <c r="U74" i="2"/>
  <c r="U88" i="2"/>
  <c r="U45" i="2"/>
  <c r="U39" i="2"/>
  <c r="U100" i="2"/>
  <c r="U81" i="2"/>
  <c r="U57" i="2"/>
  <c r="U44" i="2"/>
  <c r="U31" i="2"/>
  <c r="U86" i="2"/>
  <c r="U68" i="2"/>
  <c r="U43" i="2"/>
  <c r="U37" i="2"/>
  <c r="U30" i="2"/>
  <c r="U79" i="2"/>
  <c r="U42" i="2"/>
  <c r="U36" i="2"/>
  <c r="U75" i="2"/>
  <c r="U99" i="2"/>
  <c r="U80" i="2"/>
  <c r="U62" i="2"/>
  <c r="U91" i="2"/>
  <c r="U103" i="2"/>
  <c r="U96" i="2"/>
  <c r="U90" i="2"/>
  <c r="U84" i="2"/>
  <c r="U60" i="2"/>
  <c r="U54" i="2"/>
  <c r="U47" i="2"/>
  <c r="U41" i="2"/>
  <c r="U35" i="2"/>
  <c r="U95" i="2"/>
  <c r="U89" i="2"/>
  <c r="U83" i="2"/>
  <c r="U71" i="2"/>
  <c r="U65" i="2"/>
  <c r="U53" i="2"/>
  <c r="U40" i="2"/>
  <c r="U34" i="2"/>
  <c r="U97" i="2"/>
  <c r="U67" i="2"/>
  <c r="C17" i="3" s="1"/>
  <c r="U59" i="2"/>
  <c r="U66" i="2"/>
  <c r="U33" i="2"/>
  <c r="U56" i="2"/>
  <c r="U73" i="2"/>
  <c r="U82" i="2"/>
  <c r="U77" i="2"/>
  <c r="U61" i="2"/>
  <c r="W81" i="2"/>
  <c r="W40" i="2"/>
  <c r="AA94" i="2"/>
  <c r="AA78" i="2"/>
  <c r="AA54" i="2"/>
  <c r="W80" i="2"/>
  <c r="W56" i="2"/>
  <c r="W30" i="2"/>
  <c r="AA77" i="2"/>
  <c r="AA53" i="2"/>
  <c r="AA44" i="2"/>
  <c r="G18" i="2"/>
  <c r="AA18" i="2"/>
  <c r="W95" i="2"/>
  <c r="W79" i="2"/>
  <c r="W46" i="2"/>
  <c r="AA68" i="2"/>
  <c r="AA60" i="2"/>
  <c r="AA52" i="2"/>
  <c r="G17" i="2"/>
  <c r="AA17" i="2"/>
  <c r="W94" i="2"/>
  <c r="AA42" i="2"/>
  <c r="W99" i="2"/>
  <c r="W90" i="2"/>
  <c r="W82" i="2"/>
  <c r="W74" i="2"/>
  <c r="W66" i="2"/>
  <c r="W58" i="2"/>
  <c r="W50" i="2"/>
  <c r="W41" i="2"/>
  <c r="W33" i="2"/>
  <c r="W23" i="2"/>
  <c r="AA104" i="2"/>
  <c r="AA95" i="2"/>
  <c r="AA87" i="2"/>
  <c r="AA79" i="2"/>
  <c r="AA63" i="2"/>
  <c r="AA55" i="2"/>
  <c r="AA38" i="2"/>
  <c r="G20" i="2"/>
  <c r="AA20" i="2"/>
  <c r="W65" i="2"/>
  <c r="W31" i="2"/>
  <c r="AA70" i="2"/>
  <c r="W88" i="2"/>
  <c r="W87" i="2"/>
  <c r="W63" i="2"/>
  <c r="W55" i="2"/>
  <c r="W38" i="2"/>
  <c r="W20" i="2"/>
  <c r="AA76" i="2"/>
  <c r="W70" i="2"/>
  <c r="W62" i="2"/>
  <c r="W45" i="2"/>
  <c r="W37" i="2"/>
  <c r="W27" i="2"/>
  <c r="AA83" i="2"/>
  <c r="AA67" i="2"/>
  <c r="AA59" i="2"/>
  <c r="AA51" i="2"/>
  <c r="W102" i="2"/>
  <c r="W93" i="2"/>
  <c r="W85" i="2"/>
  <c r="W77" i="2"/>
  <c r="W69" i="2"/>
  <c r="W61" i="2"/>
  <c r="W53" i="2"/>
  <c r="W44" i="2"/>
  <c r="W36" i="2"/>
  <c r="W26" i="2"/>
  <c r="W18" i="2"/>
  <c r="AA99" i="2"/>
  <c r="AA90" i="2"/>
  <c r="AA82" i="2"/>
  <c r="AA66" i="2"/>
  <c r="AA41" i="2"/>
  <c r="W89" i="2"/>
  <c r="W57" i="2"/>
  <c r="AA103" i="2"/>
  <c r="AA62" i="2"/>
  <c r="W72" i="2"/>
  <c r="W47" i="2"/>
  <c r="W21" i="2"/>
  <c r="W71" i="2"/>
  <c r="W28" i="2"/>
  <c r="AA92" i="2"/>
  <c r="W103" i="2"/>
  <c r="W78" i="2"/>
  <c r="W54" i="2"/>
  <c r="W19" i="2"/>
  <c r="G24" i="2"/>
  <c r="AA24" i="2"/>
  <c r="W101" i="2"/>
  <c r="W92" i="2"/>
  <c r="W84" i="2"/>
  <c r="W76" i="2"/>
  <c r="W68" i="2"/>
  <c r="W60" i="2"/>
  <c r="W52" i="2"/>
  <c r="W43" i="2"/>
  <c r="W35" i="2"/>
  <c r="W25" i="2"/>
  <c r="W17" i="2"/>
  <c r="AA97" i="2"/>
  <c r="AA89" i="2"/>
  <c r="AA81" i="2"/>
  <c r="AA73" i="2"/>
  <c r="AA65" i="2"/>
  <c r="AA48" i="2"/>
  <c r="G22" i="2"/>
  <c r="AA22" i="2"/>
  <c r="W97" i="2"/>
  <c r="W73" i="2"/>
  <c r="W48" i="2"/>
  <c r="W22" i="2"/>
  <c r="AA86" i="2"/>
  <c r="W96" i="2"/>
  <c r="W64" i="2"/>
  <c r="W39" i="2"/>
  <c r="AA102" i="2"/>
  <c r="AA85" i="2"/>
  <c r="AA69" i="2"/>
  <c r="AA36" i="2"/>
  <c r="W104" i="2"/>
  <c r="AA43" i="2"/>
  <c r="W86" i="2"/>
  <c r="AA34" i="2"/>
  <c r="W100" i="2"/>
  <c r="W91" i="2"/>
  <c r="W83" i="2"/>
  <c r="W75" i="2"/>
  <c r="W67" i="2"/>
  <c r="W59" i="2"/>
  <c r="W51" i="2"/>
  <c r="W42" i="2"/>
  <c r="W34" i="2"/>
  <c r="W24" i="2"/>
  <c r="G16" i="2"/>
  <c r="AA16" i="2"/>
  <c r="AA96" i="2"/>
  <c r="AA80" i="2"/>
  <c r="AA64" i="2"/>
  <c r="AA56" i="2"/>
  <c r="AA39" i="2"/>
  <c r="AA30" i="2"/>
  <c r="G21" i="2"/>
  <c r="AA21" i="2"/>
  <c r="P99" i="2"/>
  <c r="P45" i="2"/>
  <c r="P79" i="2"/>
  <c r="P71" i="2"/>
  <c r="P63" i="2"/>
  <c r="P55" i="2"/>
  <c r="P46" i="2"/>
  <c r="P38" i="2"/>
  <c r="P28" i="2"/>
  <c r="P20" i="2"/>
  <c r="P70" i="2"/>
  <c r="P37" i="2"/>
  <c r="P97" i="2"/>
  <c r="P89" i="2"/>
  <c r="P65" i="2"/>
  <c r="P57" i="2"/>
  <c r="P40" i="2"/>
  <c r="P31" i="2"/>
  <c r="P22" i="2"/>
  <c r="P78" i="2"/>
  <c r="P81" i="2"/>
  <c r="P73" i="2"/>
  <c r="P48" i="2"/>
  <c r="P103" i="2"/>
  <c r="P66" i="2"/>
  <c r="P23" i="2"/>
  <c r="P94" i="2"/>
  <c r="P62" i="2"/>
  <c r="P50" i="2"/>
  <c r="P82" i="2"/>
  <c r="P54" i="2"/>
  <c r="P41" i="2"/>
  <c r="P33" i="2"/>
  <c r="P19" i="2"/>
  <c r="P90" i="2"/>
  <c r="P74" i="2"/>
  <c r="P58" i="2"/>
  <c r="P27" i="2"/>
  <c r="P102" i="2"/>
  <c r="P93" i="2"/>
  <c r="P85" i="2"/>
  <c r="P77" i="2"/>
  <c r="P69" i="2"/>
  <c r="P61" i="2"/>
  <c r="P53" i="2"/>
  <c r="P44" i="2"/>
  <c r="P36" i="2"/>
  <c r="P26" i="2"/>
  <c r="P18" i="2"/>
  <c r="P101" i="2"/>
  <c r="P84" i="2"/>
  <c r="P72" i="2"/>
  <c r="P60" i="2"/>
  <c r="P47" i="2"/>
  <c r="P35" i="2"/>
  <c r="P17" i="2"/>
  <c r="P104" i="2"/>
  <c r="P100" i="2"/>
  <c r="P95" i="2"/>
  <c r="P91" i="2"/>
  <c r="P87" i="2"/>
  <c r="P83" i="2"/>
  <c r="P75" i="2"/>
  <c r="P67" i="2"/>
  <c r="P59" i="2"/>
  <c r="P51" i="2"/>
  <c r="P42" i="2"/>
  <c r="P34" i="2"/>
  <c r="P24" i="2"/>
  <c r="P92" i="2"/>
  <c r="P80" i="2"/>
  <c r="P68" i="2"/>
  <c r="P56" i="2"/>
  <c r="P43" i="2"/>
  <c r="P30" i="2"/>
  <c r="P21" i="2"/>
  <c r="P96" i="2"/>
  <c r="P88" i="2"/>
  <c r="P76" i="2"/>
  <c r="P64" i="2"/>
  <c r="P52" i="2"/>
  <c r="P39" i="2"/>
  <c r="P25" i="2"/>
  <c r="P86" i="2"/>
  <c r="H15" i="2"/>
  <c r="BN30" i="18" l="1"/>
  <c r="BN16" i="6"/>
  <c r="BN82" i="18"/>
  <c r="BN11" i="6"/>
  <c r="BN69" i="18"/>
  <c r="BN13" i="6"/>
  <c r="BN50" i="18"/>
  <c r="BN17" i="6"/>
  <c r="BN44" i="18"/>
  <c r="BN15" i="6"/>
  <c r="BN45" i="18"/>
  <c r="BN19" i="6"/>
  <c r="BN86" i="18"/>
  <c r="BN12" i="6"/>
  <c r="C18" i="3"/>
  <c r="C15" i="3"/>
  <c r="B18" i="3"/>
  <c r="X101" i="2" l="1"/>
  <c r="Y65" i="2"/>
  <c r="X84" i="2"/>
  <c r="X91" i="2"/>
  <c r="X61" i="2"/>
  <c r="X54" i="2"/>
  <c r="X57" i="2"/>
  <c r="X24" i="2"/>
  <c r="X38" i="2"/>
  <c r="X58" i="2"/>
  <c r="X19" i="2"/>
  <c r="X77" i="2"/>
  <c r="X89" i="2"/>
  <c r="Y55" i="2"/>
  <c r="X81" i="2"/>
  <c r="X71" i="2"/>
  <c r="X74" i="2"/>
  <c r="X33" i="2"/>
  <c r="Y78" i="2"/>
  <c r="X47" i="2"/>
  <c r="X93" i="2"/>
  <c r="X85" i="2"/>
  <c r="X25" i="2"/>
  <c r="X86" i="2"/>
  <c r="X39" i="2"/>
  <c r="X16" i="2"/>
  <c r="Y80" i="2"/>
  <c r="X83" i="2"/>
  <c r="X40" i="2"/>
  <c r="X79" i="2"/>
  <c r="X88" i="2"/>
  <c r="X46" i="2"/>
  <c r="X82" i="2"/>
  <c r="X55" i="2"/>
  <c r="V23" i="2"/>
  <c r="X59" i="2"/>
  <c r="X80" i="2"/>
  <c r="Y83" i="2"/>
  <c r="Y102" i="2"/>
  <c r="Y35" i="2"/>
  <c r="Y31" i="2"/>
  <c r="Y103" i="2"/>
  <c r="Y61" i="2"/>
  <c r="Y24" i="2"/>
  <c r="Y95" i="2"/>
  <c r="Y45" i="2"/>
  <c r="X73" i="2"/>
  <c r="X27" i="2"/>
  <c r="X17" i="2"/>
  <c r="X18" i="2"/>
  <c r="X103" i="2"/>
  <c r="X64" i="2"/>
  <c r="X22" i="2"/>
  <c r="X69" i="2"/>
  <c r="X52" i="2"/>
  <c r="X56" i="2"/>
  <c r="X94" i="2"/>
  <c r="X36" i="2"/>
  <c r="X45" i="2"/>
  <c r="X41" i="2"/>
  <c r="X67" i="2"/>
  <c r="X95" i="2"/>
  <c r="X104" i="2"/>
  <c r="X43" i="2"/>
  <c r="X34" i="2"/>
  <c r="X97" i="2"/>
  <c r="X87" i="2"/>
  <c r="Y41" i="2"/>
  <c r="Y33" i="2"/>
  <c r="Y71" i="2"/>
  <c r="Y42" i="2"/>
  <c r="Y37" i="2"/>
  <c r="Y104" i="2"/>
  <c r="Y86" i="2"/>
  <c r="Y60" i="2"/>
  <c r="Y52" i="2"/>
  <c r="Y21" i="2"/>
  <c r="Y94" i="2"/>
  <c r="Y96" i="2"/>
  <c r="Y17" i="2"/>
  <c r="Y73" i="2"/>
  <c r="Y54" i="2"/>
  <c r="Y82" i="2"/>
  <c r="Y77" i="2"/>
  <c r="X92" i="2"/>
  <c r="X26" i="2"/>
  <c r="X72" i="2"/>
  <c r="X66" i="2"/>
  <c r="X35" i="2"/>
  <c r="X68" i="2"/>
  <c r="X90" i="2"/>
  <c r="X31" i="2"/>
  <c r="X62" i="2"/>
  <c r="X23" i="2"/>
  <c r="Y57" i="2"/>
  <c r="Y70" i="2"/>
  <c r="Y101" i="2"/>
  <c r="Y46" i="2"/>
  <c r="Y44" i="2"/>
  <c r="Y56" i="2"/>
  <c r="Y92" i="2"/>
  <c r="Y97" i="2"/>
  <c r="Y90" i="2"/>
  <c r="Y87" i="2"/>
  <c r="Y64" i="2"/>
  <c r="Y27" i="2"/>
  <c r="Y68" i="2"/>
  <c r="Y66" i="2"/>
  <c r="Y72" i="2"/>
  <c r="Y23" i="2"/>
  <c r="Y67" i="2"/>
  <c r="Y34" i="2"/>
  <c r="Y50" i="2"/>
  <c r="Y40" i="2"/>
  <c r="Y28" i="2"/>
  <c r="Y19" i="2"/>
  <c r="Y51" i="2"/>
  <c r="Y69" i="2"/>
  <c r="Y22" i="2"/>
  <c r="Y30" i="2"/>
  <c r="Y76" i="2"/>
  <c r="Y18" i="2"/>
  <c r="Z18" i="2" s="1"/>
  <c r="Y62" i="2"/>
  <c r="Y58" i="2"/>
  <c r="Y85" i="2"/>
  <c r="Y84" i="2"/>
  <c r="X70" i="2"/>
  <c r="X50" i="2"/>
  <c r="X75" i="2"/>
  <c r="X20" i="2"/>
  <c r="X44" i="2"/>
  <c r="X99" i="2"/>
  <c r="X28" i="2"/>
  <c r="X60" i="2"/>
  <c r="X42" i="2"/>
  <c r="X37" i="2"/>
  <c r="X30" i="2"/>
  <c r="Y79" i="2"/>
  <c r="Y16" i="2"/>
  <c r="Y36" i="2"/>
  <c r="Y39" i="2"/>
  <c r="Y88" i="2"/>
  <c r="Y43" i="2"/>
  <c r="Y25" i="2"/>
  <c r="Y93" i="2"/>
  <c r="Y38" i="2"/>
  <c r="Y81" i="2"/>
  <c r="Z81" i="2" s="1"/>
  <c r="Y100" i="2"/>
  <c r="X102" i="2"/>
  <c r="X65" i="2"/>
  <c r="X96" i="2"/>
  <c r="Z96" i="2" s="1"/>
  <c r="X76" i="2"/>
  <c r="X21" i="2"/>
  <c r="X48" i="2"/>
  <c r="X53" i="2"/>
  <c r="X51" i="2"/>
  <c r="X63" i="2"/>
  <c r="X100" i="2"/>
  <c r="X78" i="2"/>
  <c r="Y74" i="2"/>
  <c r="Y99" i="2"/>
  <c r="Y47" i="2"/>
  <c r="Y75" i="2"/>
  <c r="Y63" i="2"/>
  <c r="Y48" i="2"/>
  <c r="Y91" i="2"/>
  <c r="Y53" i="2"/>
  <c r="Y89" i="2"/>
  <c r="Y20" i="2"/>
  <c r="Y59" i="2"/>
  <c r="V81" i="2"/>
  <c r="V48" i="2"/>
  <c r="V104" i="2"/>
  <c r="V55" i="2"/>
  <c r="V54" i="2"/>
  <c r="V102" i="2"/>
  <c r="V95" i="2"/>
  <c r="V93" i="2"/>
  <c r="V61" i="2"/>
  <c r="V83" i="2"/>
  <c r="V78" i="2"/>
  <c r="V74" i="2"/>
  <c r="V56" i="2"/>
  <c r="V21" i="2"/>
  <c r="V28" i="2"/>
  <c r="V42" i="2"/>
  <c r="V43" i="2"/>
  <c r="V19" i="2"/>
  <c r="V73" i="2"/>
  <c r="V40" i="2"/>
  <c r="V71" i="2"/>
  <c r="V76" i="2"/>
  <c r="V38" i="2"/>
  <c r="V20" i="2"/>
  <c r="V63" i="2"/>
  <c r="V101" i="2"/>
  <c r="V64" i="2"/>
  <c r="V86" i="2"/>
  <c r="V26" i="2"/>
  <c r="V82" i="2"/>
  <c r="Z58" i="2" l="1"/>
  <c r="Z101" i="2"/>
  <c r="Z65" i="2"/>
  <c r="Z102" i="2"/>
  <c r="Z73" i="2"/>
  <c r="Z72" i="2"/>
  <c r="Z51" i="2"/>
  <c r="Z55" i="2"/>
  <c r="Z85" i="2"/>
  <c r="Z71" i="2"/>
  <c r="Z97" i="2"/>
  <c r="Z56" i="2"/>
  <c r="Z89" i="2"/>
  <c r="Z57" i="2"/>
  <c r="Z82" i="2"/>
  <c r="Z93" i="2"/>
  <c r="Z68" i="2"/>
  <c r="Z88" i="2"/>
  <c r="Z104" i="2"/>
  <c r="Z87" i="2"/>
  <c r="Z61" i="2"/>
  <c r="Z25" i="2"/>
  <c r="Z40" i="2"/>
  <c r="Z63" i="2"/>
  <c r="Z39" i="2"/>
  <c r="Z80" i="2"/>
  <c r="Z19" i="2"/>
  <c r="Z38" i="2"/>
  <c r="Z78" i="2"/>
  <c r="Z74" i="2"/>
  <c r="Z24" i="2"/>
  <c r="Z27" i="2"/>
  <c r="Z46" i="2"/>
  <c r="Z35" i="2"/>
  <c r="Z70" i="2"/>
  <c r="Z84" i="2"/>
  <c r="Z16" i="2"/>
  <c r="Z42" i="2"/>
  <c r="Z54" i="2"/>
  <c r="Z59" i="2"/>
  <c r="Z76" i="2"/>
  <c r="Z86" i="2"/>
  <c r="Z103" i="2"/>
  <c r="Z79" i="2"/>
  <c r="Z100" i="2"/>
  <c r="Z92" i="2"/>
  <c r="Z66" i="2"/>
  <c r="Z77" i="2"/>
  <c r="Z23" i="2"/>
  <c r="Z33" i="2"/>
  <c r="Z28" i="2"/>
  <c r="Z94" i="2"/>
  <c r="Z91" i="2"/>
  <c r="Z99" i="2"/>
  <c r="Z30" i="2"/>
  <c r="Z17" i="2"/>
  <c r="Z48" i="2"/>
  <c r="Z47" i="2"/>
  <c r="Z20" i="2"/>
  <c r="Z31" i="2"/>
  <c r="Z67" i="2"/>
  <c r="C16" i="3" s="1"/>
  <c r="Z22" i="2"/>
  <c r="Z90" i="2"/>
  <c r="Z64" i="2"/>
  <c r="Z37" i="2"/>
  <c r="Z53" i="2"/>
  <c r="Z44" i="2"/>
  <c r="Z62" i="2"/>
  <c r="Z95" i="2"/>
  <c r="Z69" i="2"/>
  <c r="Z83" i="2"/>
  <c r="Z21" i="2"/>
  <c r="Z41" i="2"/>
  <c r="V22" i="2"/>
  <c r="Z50" i="2"/>
  <c r="Z45" i="2"/>
  <c r="V75" i="2"/>
  <c r="V65" i="2"/>
  <c r="V18" i="2"/>
  <c r="V89" i="2"/>
  <c r="V66" i="2"/>
  <c r="V47" i="2"/>
  <c r="V34" i="2"/>
  <c r="V57" i="2"/>
  <c r="V97" i="2"/>
  <c r="V60" i="2"/>
  <c r="Z36" i="2"/>
  <c r="V99" i="2"/>
  <c r="V58" i="2"/>
  <c r="V88" i="2"/>
  <c r="V31" i="2"/>
  <c r="V25" i="2"/>
  <c r="V70" i="2"/>
  <c r="V69" i="2"/>
  <c r="V53" i="2"/>
  <c r="V39" i="2"/>
  <c r="V67" i="2"/>
  <c r="V17" i="2"/>
  <c r="V87" i="2"/>
  <c r="V72" i="2"/>
  <c r="V80" i="2"/>
  <c r="V92" i="2"/>
  <c r="V94" i="2"/>
  <c r="Z60" i="2"/>
  <c r="Z34" i="2"/>
  <c r="V50" i="2"/>
  <c r="V37" i="2"/>
  <c r="V33" i="2"/>
  <c r="V90" i="2"/>
  <c r="V79" i="2"/>
  <c r="V41" i="2"/>
  <c r="V85" i="2"/>
  <c r="V27" i="2"/>
  <c r="V35" i="2"/>
  <c r="V52" i="2"/>
  <c r="V44" i="2"/>
  <c r="V45" i="2"/>
  <c r="V51" i="2"/>
  <c r="V46" i="2"/>
  <c r="V100" i="2"/>
  <c r="Z43" i="2"/>
  <c r="Z75" i="2"/>
  <c r="V91" i="2"/>
  <c r="V30" i="2"/>
  <c r="V59" i="2"/>
  <c r="V103" i="2"/>
  <c r="V68" i="2"/>
  <c r="V84" i="2"/>
  <c r="V77" i="2"/>
  <c r="V24" i="2"/>
  <c r="V36" i="2"/>
  <c r="Z52" i="2"/>
  <c r="C19" i="3"/>
  <c r="O93" i="5" l="1"/>
  <c r="O24" i="5"/>
  <c r="O91" i="5"/>
  <c r="O92" i="5"/>
  <c r="O42" i="5"/>
  <c r="S45" i="5"/>
  <c r="S103" i="5"/>
  <c r="U103" i="5"/>
  <c r="O65" i="5"/>
  <c r="O53" i="5"/>
  <c r="O57" i="5"/>
  <c r="O97" i="5"/>
  <c r="O30" i="5"/>
  <c r="S75" i="5"/>
  <c r="S37" i="5"/>
  <c r="O72" i="5"/>
  <c r="O82" i="5"/>
  <c r="S83" i="5"/>
  <c r="O44" i="5"/>
  <c r="S99" i="5"/>
  <c r="O95" i="5"/>
  <c r="O38" i="5"/>
  <c r="O23" i="5"/>
  <c r="O89" i="5"/>
  <c r="O55" i="5"/>
  <c r="O27" i="5"/>
  <c r="O36" i="5"/>
  <c r="O90" i="5"/>
  <c r="O17" i="5"/>
  <c r="O81" i="5"/>
  <c r="S19" i="5"/>
  <c r="O60" i="5"/>
  <c r="O76" i="5"/>
  <c r="O18" i="5"/>
  <c r="S43" i="5"/>
  <c r="O86" i="5"/>
  <c r="S94" i="5"/>
  <c r="U94" i="5"/>
  <c r="O73" i="5"/>
  <c r="O78" i="5"/>
  <c r="O26" i="5"/>
  <c r="P26" i="5" s="1"/>
  <c r="O25" i="5"/>
  <c r="S79" i="5"/>
  <c r="S88" i="5"/>
  <c r="O104" i="5"/>
  <c r="O74" i="5"/>
  <c r="O100" i="5"/>
  <c r="O59" i="5"/>
  <c r="O19" i="5"/>
  <c r="O28" i="5"/>
  <c r="O51" i="5"/>
  <c r="S63" i="5"/>
  <c r="S44" i="5"/>
  <c r="O39" i="5"/>
  <c r="O77" i="5"/>
  <c r="O56" i="5"/>
  <c r="O83" i="5"/>
  <c r="O31" i="5"/>
  <c r="S86" i="5"/>
  <c r="O61" i="5"/>
  <c r="S96" i="5"/>
  <c r="U96" i="5"/>
  <c r="O20" i="5"/>
  <c r="O46" i="5"/>
  <c r="O87" i="5"/>
  <c r="O35" i="5"/>
  <c r="O85" i="5"/>
  <c r="O41" i="5"/>
  <c r="O45" i="5"/>
  <c r="O34" i="5"/>
  <c r="O94" i="5"/>
  <c r="O71" i="5"/>
  <c r="O80" i="5"/>
  <c r="O69" i="5"/>
  <c r="S62" i="5"/>
  <c r="O58" i="5"/>
  <c r="O84" i="5"/>
  <c r="O70" i="5"/>
  <c r="O67" i="5"/>
  <c r="O102" i="5"/>
  <c r="O66" i="5"/>
  <c r="O40" i="5"/>
  <c r="O16" i="5"/>
  <c r="O48" i="5"/>
  <c r="S28" i="5"/>
  <c r="U28" i="5" s="1"/>
  <c r="O21" i="5"/>
  <c r="O75" i="5"/>
  <c r="O52" i="5"/>
  <c r="K15" i="5"/>
  <c r="O15" i="5" s="1"/>
  <c r="O9" i="5" s="1"/>
  <c r="O7" i="5" s="1"/>
  <c r="O79" i="5"/>
  <c r="O33" i="5"/>
  <c r="O22" i="5"/>
  <c r="S48" i="5"/>
  <c r="S40" i="5"/>
  <c r="S16" i="5"/>
  <c r="U16" i="5" s="1"/>
  <c r="O43" i="5"/>
  <c r="O47" i="5"/>
  <c r="S76" i="5"/>
  <c r="U76" i="5" s="1"/>
  <c r="S65" i="5"/>
  <c r="O101" i="5"/>
  <c r="S20" i="5"/>
  <c r="S26" i="5"/>
  <c r="S52" i="5"/>
  <c r="S77" i="5"/>
  <c r="S90" i="5"/>
  <c r="S95" i="5"/>
  <c r="O50" i="5"/>
  <c r="S58" i="5"/>
  <c r="S39" i="5"/>
  <c r="O64" i="5"/>
  <c r="S55" i="5"/>
  <c r="O62" i="5"/>
  <c r="O63" i="5"/>
  <c r="S71" i="5"/>
  <c r="S80" i="5"/>
  <c r="S84" i="5"/>
  <c r="U84" i="5" s="1"/>
  <c r="S102" i="5"/>
  <c r="S18" i="5"/>
  <c r="M18" i="5"/>
  <c r="U18" i="5"/>
  <c r="S24" i="5"/>
  <c r="S34" i="5"/>
  <c r="S35" i="5"/>
  <c r="M45" i="5"/>
  <c r="S54" i="5"/>
  <c r="S85" i="5"/>
  <c r="S91" i="5"/>
  <c r="O99" i="5"/>
  <c r="S97" i="5"/>
  <c r="U17" i="5"/>
  <c r="S17" i="5"/>
  <c r="M17" i="5"/>
  <c r="M20" i="5"/>
  <c r="U20" i="5"/>
  <c r="S21" i="5"/>
  <c r="M21" i="5"/>
  <c r="M26" i="5"/>
  <c r="S30" i="5"/>
  <c r="U30" i="5"/>
  <c r="S36" i="5"/>
  <c r="M36" i="5"/>
  <c r="U36" i="5"/>
  <c r="M39" i="5"/>
  <c r="M40" i="5"/>
  <c r="S42" i="5"/>
  <c r="M44" i="5"/>
  <c r="M54" i="5"/>
  <c r="O54" i="5"/>
  <c r="M55" i="5"/>
  <c r="U55" i="5"/>
  <c r="S56" i="5"/>
  <c r="M56" i="5"/>
  <c r="U56" i="5"/>
  <c r="U58" i="5"/>
  <c r="M58" i="5"/>
  <c r="U61" i="5"/>
  <c r="S68" i="5"/>
  <c r="U68" i="5"/>
  <c r="S72" i="5"/>
  <c r="U73" i="5"/>
  <c r="M75" i="5"/>
  <c r="S81" i="5"/>
  <c r="M81" i="5"/>
  <c r="S82" i="5"/>
  <c r="M82" i="5"/>
  <c r="U82" i="5"/>
  <c r="M88" i="5"/>
  <c r="O88" i="5"/>
  <c r="S89" i="5"/>
  <c r="M89" i="5"/>
  <c r="M90" i="5"/>
  <c r="S92" i="5"/>
  <c r="M92" i="5"/>
  <c r="M94" i="5"/>
  <c r="M95" i="5"/>
  <c r="O96" i="5"/>
  <c r="M103" i="5"/>
  <c r="O103" i="5"/>
  <c r="M16" i="5"/>
  <c r="M19" i="5"/>
  <c r="S22" i="5"/>
  <c r="M22" i="5"/>
  <c r="U22" i="5"/>
  <c r="S23" i="5"/>
  <c r="M23" i="5"/>
  <c r="U23" i="5"/>
  <c r="M24" i="5"/>
  <c r="S25" i="5"/>
  <c r="M25" i="5"/>
  <c r="S27" i="5"/>
  <c r="U27" i="5" s="1"/>
  <c r="M27" i="5"/>
  <c r="M28" i="5"/>
  <c r="M30" i="5"/>
  <c r="M31" i="5"/>
  <c r="S31" i="5"/>
  <c r="S33" i="5"/>
  <c r="U33" i="5" s="1"/>
  <c r="M33" i="5"/>
  <c r="M34" i="5"/>
  <c r="M35" i="5"/>
  <c r="M37" i="5"/>
  <c r="O37" i="5"/>
  <c r="S38" i="5"/>
  <c r="U38" i="5"/>
  <c r="M38" i="5"/>
  <c r="M41" i="5"/>
  <c r="S41" i="5"/>
  <c r="M42" i="5"/>
  <c r="M43" i="5"/>
  <c r="S46" i="5"/>
  <c r="M46" i="5"/>
  <c r="M47" i="5"/>
  <c r="S47" i="5"/>
  <c r="U48" i="5"/>
  <c r="M48" i="5"/>
  <c r="S50" i="5"/>
  <c r="M50" i="5"/>
  <c r="U50" i="5"/>
  <c r="S51" i="5"/>
  <c r="M51" i="5"/>
  <c r="U51" i="5"/>
  <c r="U52" i="5"/>
  <c r="M52" i="5"/>
  <c r="S53" i="5"/>
  <c r="M53" i="5"/>
  <c r="M57" i="5"/>
  <c r="S57" i="5"/>
  <c r="U59" i="5"/>
  <c r="S59" i="5"/>
  <c r="M59" i="5"/>
  <c r="S60" i="5"/>
  <c r="M60" i="5"/>
  <c r="M61" i="5"/>
  <c r="S61" i="5"/>
  <c r="M62" i="5"/>
  <c r="M63" i="5"/>
  <c r="M64" i="5"/>
  <c r="S64" i="5"/>
  <c r="M65" i="5"/>
  <c r="S66" i="5"/>
  <c r="U66" i="5"/>
  <c r="M66" i="5"/>
  <c r="S67" i="5"/>
  <c r="M67" i="5"/>
  <c r="M68" i="5"/>
  <c r="O68" i="5"/>
  <c r="S69" i="5"/>
  <c r="M69" i="5"/>
  <c r="U70" i="5"/>
  <c r="M70" i="5"/>
  <c r="S70" i="5"/>
  <c r="M71" i="5"/>
  <c r="M72" i="5"/>
  <c r="U72" i="5"/>
  <c r="M73" i="5"/>
  <c r="S73" i="5"/>
  <c r="S74" i="5"/>
  <c r="M74" i="5"/>
  <c r="M76" i="5"/>
  <c r="M77" i="5"/>
  <c r="U77" i="5"/>
  <c r="S78" i="5"/>
  <c r="M78" i="5"/>
  <c r="M79" i="5"/>
  <c r="M80" i="5"/>
  <c r="M83" i="5"/>
  <c r="M84" i="5"/>
  <c r="M85" i="5"/>
  <c r="M86" i="5"/>
  <c r="M87" i="5"/>
  <c r="S87" i="5"/>
  <c r="M91" i="5"/>
  <c r="S93" i="5"/>
  <c r="U93" i="5"/>
  <c r="M93" i="5"/>
  <c r="M96" i="5"/>
  <c r="M97" i="5"/>
  <c r="M99" i="5"/>
  <c r="S100" i="5"/>
  <c r="M100" i="5"/>
  <c r="S101" i="5"/>
  <c r="M101" i="5"/>
  <c r="M102" i="5"/>
  <c r="U102" i="5"/>
  <c r="M104" i="5"/>
  <c r="S104" i="5"/>
  <c r="E48" i="5" l="1"/>
  <c r="E61" i="5"/>
  <c r="E39" i="5"/>
  <c r="BR34" i="6" s="1"/>
  <c r="E25" i="5"/>
  <c r="E37" i="5"/>
  <c r="E96" i="5"/>
  <c r="E69" i="5"/>
  <c r="E56" i="5"/>
  <c r="BR51" i="6" s="1"/>
  <c r="E103" i="5"/>
  <c r="BR98" i="6" s="1"/>
  <c r="E34" i="5"/>
  <c r="BR29" i="6" s="1"/>
  <c r="E67" i="5"/>
  <c r="BR93" i="18" s="1"/>
  <c r="E80" i="5"/>
  <c r="BR88" i="18" s="1"/>
  <c r="V68" i="5"/>
  <c r="E68" i="5"/>
  <c r="AJ27" i="18"/>
  <c r="AJ61" i="6"/>
  <c r="AJ89" i="18"/>
  <c r="AJ45" i="6"/>
  <c r="AJ17" i="18"/>
  <c r="AJ36" i="6"/>
  <c r="AJ91" i="18"/>
  <c r="AJ26" i="6"/>
  <c r="AJ15" i="18"/>
  <c r="AJ87" i="6"/>
  <c r="V54" i="5"/>
  <c r="E54" i="5"/>
  <c r="AJ69" i="18"/>
  <c r="AJ13" i="6"/>
  <c r="P62" i="5"/>
  <c r="E62" i="5"/>
  <c r="AJ65" i="18"/>
  <c r="AJ90" i="6"/>
  <c r="P101" i="5"/>
  <c r="E101" i="5"/>
  <c r="AJ46" i="18"/>
  <c r="AJ35" i="6"/>
  <c r="V52" i="5"/>
  <c r="E52" i="5"/>
  <c r="V40" i="5"/>
  <c r="E40" i="5"/>
  <c r="P58" i="5"/>
  <c r="E58" i="5"/>
  <c r="V46" i="5"/>
  <c r="E46" i="5"/>
  <c r="P31" i="5"/>
  <c r="E31" i="5"/>
  <c r="AJ34" i="18"/>
  <c r="AJ58" i="6"/>
  <c r="P74" i="5"/>
  <c r="E74" i="5"/>
  <c r="P78" i="5"/>
  <c r="E78" i="5"/>
  <c r="V18" i="5"/>
  <c r="E18" i="5"/>
  <c r="E90" i="5"/>
  <c r="V38" i="5"/>
  <c r="E38" i="5"/>
  <c r="E72" i="5"/>
  <c r="E53" i="5"/>
  <c r="E92" i="5"/>
  <c r="AJ79" i="18"/>
  <c r="AJ56" i="6"/>
  <c r="U24" i="5"/>
  <c r="AJ45" i="18"/>
  <c r="AJ19" i="6"/>
  <c r="AJ14" i="18"/>
  <c r="AJ47" i="6"/>
  <c r="P19" i="5"/>
  <c r="E19" i="5"/>
  <c r="AJ51" i="18"/>
  <c r="AJ98" i="6"/>
  <c r="AJ23" i="18"/>
  <c r="AJ88" i="6"/>
  <c r="U74" i="5"/>
  <c r="AJ47" i="18"/>
  <c r="AJ69" i="6"/>
  <c r="AJ37" i="18"/>
  <c r="AJ68" i="6"/>
  <c r="U64" i="5"/>
  <c r="AJ35" i="18"/>
  <c r="AJ59" i="6"/>
  <c r="AJ42" i="18"/>
  <c r="AJ82" i="6"/>
  <c r="AJ93" i="18"/>
  <c r="AJ62" i="6"/>
  <c r="U47" i="5"/>
  <c r="AJ31" i="18"/>
  <c r="AJ42" i="6"/>
  <c r="U53" i="5"/>
  <c r="AJ64" i="18"/>
  <c r="AJ48" i="6"/>
  <c r="U25" i="5"/>
  <c r="AJ73" i="18"/>
  <c r="AJ20" i="6"/>
  <c r="AJ36" i="18"/>
  <c r="AJ67" i="6"/>
  <c r="AJ30" i="18"/>
  <c r="AJ16" i="6"/>
  <c r="AJ24" i="18"/>
  <c r="AJ92" i="6"/>
  <c r="AJ63" i="18"/>
  <c r="AJ30" i="6"/>
  <c r="AJ85" i="18"/>
  <c r="AJ97" i="6"/>
  <c r="AJ29" i="18"/>
  <c r="AJ50" i="6"/>
  <c r="AJ92" i="18"/>
  <c r="AJ85" i="6"/>
  <c r="AJ83" i="18"/>
  <c r="AJ60" i="6"/>
  <c r="AJ40" i="18"/>
  <c r="AJ43" i="6"/>
  <c r="P75" i="5"/>
  <c r="E75" i="5"/>
  <c r="V66" i="5"/>
  <c r="E66" i="5"/>
  <c r="U62" i="5"/>
  <c r="AJ80" i="18"/>
  <c r="AJ57" i="6"/>
  <c r="V45" i="5"/>
  <c r="E45" i="5"/>
  <c r="P20" i="5"/>
  <c r="E20" i="5"/>
  <c r="P83" i="5"/>
  <c r="E83" i="5"/>
  <c r="V51" i="5"/>
  <c r="E51" i="5"/>
  <c r="E104" i="5"/>
  <c r="V73" i="5"/>
  <c r="E73" i="5"/>
  <c r="P76" i="5"/>
  <c r="E76" i="5"/>
  <c r="P36" i="5"/>
  <c r="E36" i="5"/>
  <c r="P95" i="5"/>
  <c r="E95" i="5"/>
  <c r="U37" i="5"/>
  <c r="AJ26" i="18"/>
  <c r="AJ32" i="6"/>
  <c r="V65" i="5"/>
  <c r="E65" i="5"/>
  <c r="E91" i="5"/>
  <c r="AJ20" i="18"/>
  <c r="AJ99" i="6"/>
  <c r="AJ72" i="18"/>
  <c r="AJ63" i="6"/>
  <c r="U42" i="5"/>
  <c r="AJ28" i="18"/>
  <c r="AJ37" i="6"/>
  <c r="AJ53" i="18"/>
  <c r="AJ86" i="6"/>
  <c r="U80" i="5"/>
  <c r="AJ88" i="18"/>
  <c r="AJ75" i="6"/>
  <c r="P47" i="5"/>
  <c r="E47" i="5"/>
  <c r="V33" i="5"/>
  <c r="E33" i="5"/>
  <c r="P85" i="5"/>
  <c r="E85" i="5"/>
  <c r="U79" i="5"/>
  <c r="AJ90" i="18"/>
  <c r="AJ74" i="6"/>
  <c r="P30" i="5"/>
  <c r="E30" i="5"/>
  <c r="AJ75" i="18"/>
  <c r="AJ52" i="6"/>
  <c r="AJ61" i="18"/>
  <c r="AJ55" i="6"/>
  <c r="AJ12" i="18"/>
  <c r="AJ46" i="6"/>
  <c r="U101" i="5"/>
  <c r="AJ22" i="18"/>
  <c r="AJ96" i="6"/>
  <c r="AJ94" i="18"/>
  <c r="AJ64" i="6"/>
  <c r="AJ48" i="18"/>
  <c r="AJ54" i="6"/>
  <c r="AJ50" i="18"/>
  <c r="AJ17" i="6"/>
  <c r="BR91" i="6"/>
  <c r="BR81" i="18"/>
  <c r="AJ71" i="18"/>
  <c r="AJ77" i="6"/>
  <c r="AJ56" i="18"/>
  <c r="AJ31" i="6"/>
  <c r="P99" i="5"/>
  <c r="E99" i="5"/>
  <c r="AJ84" i="18"/>
  <c r="AJ29" i="6"/>
  <c r="AJ41" i="18"/>
  <c r="AJ79" i="6"/>
  <c r="V64" i="5"/>
  <c r="E64" i="5"/>
  <c r="AJ87" i="18"/>
  <c r="AJ72" i="6"/>
  <c r="AJ95" i="18"/>
  <c r="AJ71" i="6"/>
  <c r="V22" i="5"/>
  <c r="E22" i="5"/>
  <c r="P21" i="5"/>
  <c r="E21" i="5"/>
  <c r="P102" i="5"/>
  <c r="E102" i="5"/>
  <c r="BR64" i="6"/>
  <c r="BR94" i="18"/>
  <c r="P41" i="5"/>
  <c r="E41" i="5"/>
  <c r="U88" i="5"/>
  <c r="AJ43" i="18"/>
  <c r="AJ83" i="6"/>
  <c r="P60" i="5"/>
  <c r="E60" i="5"/>
  <c r="AJ19" i="18"/>
  <c r="AJ94" i="6"/>
  <c r="AJ52" i="18"/>
  <c r="AJ70" i="6"/>
  <c r="V24" i="5"/>
  <c r="E24" i="5"/>
  <c r="AJ81" i="18"/>
  <c r="AJ91" i="6"/>
  <c r="AJ38" i="18"/>
  <c r="AJ89" i="6"/>
  <c r="AJ58" i="18"/>
  <c r="AJ14" i="6"/>
  <c r="P55" i="5"/>
  <c r="E55" i="5"/>
  <c r="P44" i="5"/>
  <c r="E44" i="5"/>
  <c r="AJ54" i="18"/>
  <c r="AJ95" i="6"/>
  <c r="AJ57" i="18"/>
  <c r="AJ65" i="6"/>
  <c r="AJ70" i="18"/>
  <c r="AJ33" i="6"/>
  <c r="AJ21" i="18"/>
  <c r="AJ28" i="6"/>
  <c r="P88" i="5"/>
  <c r="E88" i="5"/>
  <c r="U81" i="5"/>
  <c r="AJ76" i="18"/>
  <c r="AJ76" i="6"/>
  <c r="AJ67" i="18"/>
  <c r="AJ25" i="6"/>
  <c r="AJ66" i="18"/>
  <c r="AJ80" i="6"/>
  <c r="U71" i="5"/>
  <c r="AJ49" i="18"/>
  <c r="AJ66" i="6"/>
  <c r="AJ33" i="18"/>
  <c r="AJ53" i="6"/>
  <c r="P43" i="5"/>
  <c r="E43" i="5"/>
  <c r="V79" i="5"/>
  <c r="E79" i="5"/>
  <c r="BR43" i="6"/>
  <c r="BR40" i="18"/>
  <c r="V70" i="5"/>
  <c r="E70" i="5"/>
  <c r="P71" i="5"/>
  <c r="E71" i="5"/>
  <c r="P35" i="5"/>
  <c r="E35" i="5"/>
  <c r="BR56" i="6"/>
  <c r="BR79" i="18"/>
  <c r="BR74" i="18"/>
  <c r="P59" i="5"/>
  <c r="E59" i="5"/>
  <c r="BR20" i="6"/>
  <c r="BR73" i="18"/>
  <c r="P86" i="5"/>
  <c r="E86" i="5"/>
  <c r="V81" i="5"/>
  <c r="E81" i="5"/>
  <c r="V89" i="5"/>
  <c r="E89" i="5"/>
  <c r="AJ39" i="18"/>
  <c r="AJ78" i="6"/>
  <c r="V97" i="5"/>
  <c r="E97" i="5"/>
  <c r="AJ68" i="18"/>
  <c r="AJ40" i="6"/>
  <c r="AJ18" i="18"/>
  <c r="AJ41" i="6"/>
  <c r="U89" i="5"/>
  <c r="AJ62" i="18"/>
  <c r="AJ84" i="6"/>
  <c r="AJ60" i="18"/>
  <c r="AJ51" i="6"/>
  <c r="AJ74" i="18"/>
  <c r="AJ34" i="6"/>
  <c r="V77" i="5"/>
  <c r="E77" i="5"/>
  <c r="V93" i="5"/>
  <c r="E93" i="5"/>
  <c r="U78" i="5"/>
  <c r="AJ16" i="18"/>
  <c r="AJ73" i="6"/>
  <c r="BR32" i="6"/>
  <c r="BR26" i="18"/>
  <c r="AJ25" i="18"/>
  <c r="AJ18" i="6"/>
  <c r="AJ86" i="18"/>
  <c r="AJ12" i="6"/>
  <c r="U54" i="5"/>
  <c r="AJ32" i="18"/>
  <c r="AJ49" i="6"/>
  <c r="V63" i="5"/>
  <c r="E63" i="5"/>
  <c r="V50" i="5"/>
  <c r="E50" i="5"/>
  <c r="AJ44" i="18"/>
  <c r="AJ15" i="6"/>
  <c r="AJ82" i="18"/>
  <c r="AJ11" i="6"/>
  <c r="P16" i="5"/>
  <c r="E16" i="5"/>
  <c r="P84" i="5"/>
  <c r="E84" i="5"/>
  <c r="V94" i="5"/>
  <c r="E94" i="5"/>
  <c r="P87" i="5"/>
  <c r="E87" i="5"/>
  <c r="AJ59" i="18"/>
  <c r="AJ81" i="6"/>
  <c r="U44" i="5"/>
  <c r="AJ78" i="18"/>
  <c r="AJ39" i="6"/>
  <c r="P100" i="5"/>
  <c r="E100" i="5"/>
  <c r="AJ77" i="18"/>
  <c r="AJ38" i="6"/>
  <c r="V17" i="5"/>
  <c r="E17" i="5"/>
  <c r="V23" i="5"/>
  <c r="E23" i="5"/>
  <c r="V82" i="5"/>
  <c r="E82" i="5"/>
  <c r="E57" i="5"/>
  <c r="V42" i="5"/>
  <c r="E42" i="5"/>
  <c r="G97" i="5"/>
  <c r="P91" i="5"/>
  <c r="P63" i="5"/>
  <c r="U40" i="5"/>
  <c r="U35" i="5"/>
  <c r="V96" i="5"/>
  <c r="U86" i="5"/>
  <c r="U75" i="5"/>
  <c r="V27" i="5"/>
  <c r="P27" i="5"/>
  <c r="U91" i="5"/>
  <c r="V62" i="5"/>
  <c r="P61" i="5"/>
  <c r="V34" i="5"/>
  <c r="P80" i="5"/>
  <c r="V55" i="5"/>
  <c r="P24" i="5"/>
  <c r="U46" i="5"/>
  <c r="P22" i="5"/>
  <c r="V31" i="5"/>
  <c r="V71" i="5"/>
  <c r="P45" i="5"/>
  <c r="V72" i="5"/>
  <c r="V37" i="5"/>
  <c r="V43" i="5"/>
  <c r="V44" i="5"/>
  <c r="V102" i="5"/>
  <c r="P17" i="5"/>
  <c r="U100" i="5"/>
  <c r="U87" i="5"/>
  <c r="U57" i="5"/>
  <c r="V103" i="5"/>
  <c r="U39" i="5"/>
  <c r="V35" i="5"/>
  <c r="U99" i="5"/>
  <c r="P72" i="5"/>
  <c r="P65" i="5"/>
  <c r="S15" i="5"/>
  <c r="P51" i="5"/>
  <c r="P73" i="5"/>
  <c r="V58" i="5"/>
  <c r="P34" i="5"/>
  <c r="V61" i="5"/>
  <c r="V74" i="5"/>
  <c r="U45" i="5"/>
  <c r="V39" i="5"/>
  <c r="V36" i="5"/>
  <c r="U34" i="5"/>
  <c r="V75" i="5"/>
  <c r="V56" i="5"/>
  <c r="V104" i="5"/>
  <c r="V95" i="5"/>
  <c r="P97" i="5"/>
  <c r="P93" i="5"/>
  <c r="P68" i="5"/>
  <c r="P77" i="5"/>
  <c r="V60" i="5"/>
  <c r="P23" i="5"/>
  <c r="P82" i="5"/>
  <c r="AA80" i="5"/>
  <c r="AA34" i="5"/>
  <c r="AA87" i="5"/>
  <c r="AA42" i="5"/>
  <c r="U60" i="5"/>
  <c r="AA47" i="5"/>
  <c r="AA103" i="5"/>
  <c r="AA90" i="5"/>
  <c r="P54" i="5"/>
  <c r="P50" i="5"/>
  <c r="V67" i="5"/>
  <c r="P39" i="5"/>
  <c r="U67" i="5"/>
  <c r="AA64" i="5"/>
  <c r="AA60" i="5"/>
  <c r="G25" i="5"/>
  <c r="AA89" i="5"/>
  <c r="AA81" i="5"/>
  <c r="U83" i="5"/>
  <c r="V92" i="5"/>
  <c r="AA53" i="5"/>
  <c r="P52" i="5"/>
  <c r="V21" i="5"/>
  <c r="AA55" i="5"/>
  <c r="P67" i="5"/>
  <c r="P94" i="5"/>
  <c r="P56" i="5"/>
  <c r="P28" i="5"/>
  <c r="V59" i="5"/>
  <c r="P104" i="5"/>
  <c r="V26" i="5"/>
  <c r="P18" i="5"/>
  <c r="P89" i="5"/>
  <c r="AA78" i="5"/>
  <c r="AA85" i="5"/>
  <c r="AA59" i="5"/>
  <c r="AA39" i="5"/>
  <c r="AA21" i="5"/>
  <c r="AA95" i="5"/>
  <c r="AA44" i="5"/>
  <c r="AA22" i="5"/>
  <c r="P66" i="5"/>
  <c r="AA86" i="5"/>
  <c r="AA73" i="5"/>
  <c r="U104" i="5"/>
  <c r="AA99" i="5"/>
  <c r="AA77" i="5"/>
  <c r="AA30" i="5"/>
  <c r="AA24" i="5"/>
  <c r="G19" i="5"/>
  <c r="AA52" i="5"/>
  <c r="V28" i="5"/>
  <c r="AA66" i="5"/>
  <c r="AA63" i="5"/>
  <c r="AA38" i="5"/>
  <c r="AA28" i="5"/>
  <c r="AA16" i="5"/>
  <c r="AA56" i="5"/>
  <c r="AA68" i="5"/>
  <c r="AA62" i="5"/>
  <c r="AA48" i="5"/>
  <c r="AA23" i="5"/>
  <c r="AA94" i="5"/>
  <c r="V88" i="5"/>
  <c r="AA36" i="5"/>
  <c r="V100" i="5"/>
  <c r="V86" i="5"/>
  <c r="V76" i="5"/>
  <c r="AA41" i="5"/>
  <c r="AA18" i="5"/>
  <c r="AA102" i="5"/>
  <c r="AA96" i="5"/>
  <c r="AA74" i="5"/>
  <c r="P103" i="5"/>
  <c r="AA92" i="5"/>
  <c r="AA20" i="5"/>
  <c r="V80" i="5"/>
  <c r="V85" i="5"/>
  <c r="V78" i="5"/>
  <c r="AA70" i="5"/>
  <c r="AA65" i="5"/>
  <c r="C24" i="3" s="1"/>
  <c r="AA51" i="5"/>
  <c r="AA43" i="5"/>
  <c r="AA82" i="5"/>
  <c r="U41" i="5"/>
  <c r="U31" i="5"/>
  <c r="AA17" i="5"/>
  <c r="U43" i="5"/>
  <c r="P92" i="5"/>
  <c r="G18" i="5"/>
  <c r="G23" i="5"/>
  <c r="G17" i="5"/>
  <c r="G21" i="5"/>
  <c r="G24" i="5"/>
  <c r="G20" i="5"/>
  <c r="P48" i="5"/>
  <c r="V84" i="5"/>
  <c r="U97" i="5"/>
  <c r="U69" i="5"/>
  <c r="V99" i="5"/>
  <c r="V16" i="5"/>
  <c r="V41" i="5"/>
  <c r="P46" i="5"/>
  <c r="P25" i="5"/>
  <c r="P81" i="5"/>
  <c r="G22" i="5"/>
  <c r="P79" i="5"/>
  <c r="V25" i="5"/>
  <c r="P90" i="5"/>
  <c r="P38" i="5"/>
  <c r="V69" i="5"/>
  <c r="P69" i="5"/>
  <c r="P57" i="5"/>
  <c r="V57" i="5"/>
  <c r="U85" i="5"/>
  <c r="P96" i="5"/>
  <c r="U92" i="5"/>
  <c r="U90" i="5"/>
  <c r="P33" i="5"/>
  <c r="V83" i="5"/>
  <c r="M15" i="5"/>
  <c r="V101" i="5"/>
  <c r="V47" i="5"/>
  <c r="U65" i="5"/>
  <c r="U63" i="5"/>
  <c r="P37" i="5"/>
  <c r="U95" i="5"/>
  <c r="U21" i="5"/>
  <c r="U26" i="5"/>
  <c r="P40" i="5"/>
  <c r="V87" i="5"/>
  <c r="V19" i="5"/>
  <c r="U19" i="5"/>
  <c r="V90" i="5"/>
  <c r="V30" i="5"/>
  <c r="P64" i="5"/>
  <c r="V48" i="5"/>
  <c r="P70" i="5"/>
  <c r="V20" i="5"/>
  <c r="P53" i="5"/>
  <c r="V53" i="5"/>
  <c r="P42" i="5"/>
  <c r="V91" i="5"/>
  <c r="B22" i="3" l="1"/>
  <c r="BR60" i="18"/>
  <c r="BR62" i="6"/>
  <c r="BR75" i="6"/>
  <c r="BR51" i="18"/>
  <c r="BR84" i="18"/>
  <c r="BR52" i="6"/>
  <c r="BR75" i="18"/>
  <c r="BQ30" i="18"/>
  <c r="BQ16" i="6"/>
  <c r="BQ69" i="18"/>
  <c r="BQ13" i="6"/>
  <c r="BR18" i="6"/>
  <c r="BR25" i="18"/>
  <c r="BR89" i="6"/>
  <c r="BR38" i="18"/>
  <c r="BR45" i="6"/>
  <c r="BR89" i="18"/>
  <c r="BR97" i="6"/>
  <c r="BR85" i="18"/>
  <c r="BR35" i="18"/>
  <c r="BR59" i="6"/>
  <c r="BR15" i="6"/>
  <c r="BR44" i="18"/>
  <c r="BR33" i="6"/>
  <c r="BR70" i="18"/>
  <c r="BR26" i="6"/>
  <c r="BR91" i="18"/>
  <c r="BR23" i="18"/>
  <c r="BR88" i="6"/>
  <c r="BR65" i="6"/>
  <c r="BR57" i="18"/>
  <c r="BQ86" i="18"/>
  <c r="BQ12" i="6"/>
  <c r="BQ73" i="18"/>
  <c r="BQ20" i="6"/>
  <c r="BR28" i="18"/>
  <c r="BR37" i="6"/>
  <c r="BR95" i="6"/>
  <c r="BR54" i="18"/>
  <c r="BR84" i="6"/>
  <c r="BR62" i="18"/>
  <c r="BR66" i="6"/>
  <c r="BR49" i="18"/>
  <c r="BR39" i="6"/>
  <c r="BR78" i="18"/>
  <c r="BR36" i="6"/>
  <c r="BR17" i="18"/>
  <c r="BR28" i="6"/>
  <c r="BR21" i="18"/>
  <c r="BR31" i="6"/>
  <c r="BR56" i="18"/>
  <c r="BR99" i="6"/>
  <c r="BR20" i="18"/>
  <c r="BR14" i="6"/>
  <c r="BR58" i="18"/>
  <c r="BR69" i="6"/>
  <c r="BR47" i="18"/>
  <c r="BR53" i="6"/>
  <c r="BR33" i="18"/>
  <c r="BQ50" i="18"/>
  <c r="BQ17" i="6"/>
  <c r="BQ58" i="18"/>
  <c r="BQ14" i="6"/>
  <c r="AJ10" i="18"/>
  <c r="AJ10" i="6"/>
  <c r="S7" i="5"/>
  <c r="BR12" i="6"/>
  <c r="BR86" i="18"/>
  <c r="BR79" i="6"/>
  <c r="BR41" i="18"/>
  <c r="BR58" i="6"/>
  <c r="BR34" i="18"/>
  <c r="BR92" i="6"/>
  <c r="BR24" i="18"/>
  <c r="BR74" i="6"/>
  <c r="BR90" i="18"/>
  <c r="BR19" i="6"/>
  <c r="BR45" i="18"/>
  <c r="BR16" i="6"/>
  <c r="BR30" i="18"/>
  <c r="BR94" i="6"/>
  <c r="BR19" i="18"/>
  <c r="BR12" i="18"/>
  <c r="BR46" i="6"/>
  <c r="BR40" i="6"/>
  <c r="BR68" i="18"/>
  <c r="BR61" i="6"/>
  <c r="BR27" i="18"/>
  <c r="BR85" i="6"/>
  <c r="BR92" i="18"/>
  <c r="BR41" i="6"/>
  <c r="BR18" i="18"/>
  <c r="BR49" i="6"/>
  <c r="BR32" i="18"/>
  <c r="BR76" i="6"/>
  <c r="BR76" i="18"/>
  <c r="BR54" i="6"/>
  <c r="BR48" i="18"/>
  <c r="BR42" i="6"/>
  <c r="BR31" i="18"/>
  <c r="BR71" i="6"/>
  <c r="BR95" i="18"/>
  <c r="BR87" i="6"/>
  <c r="BR15" i="18"/>
  <c r="BR13" i="6"/>
  <c r="BR69" i="18"/>
  <c r="BR46" i="18"/>
  <c r="BR35" i="6"/>
  <c r="BR57" i="6"/>
  <c r="BR80" i="18"/>
  <c r="BR50" i="6"/>
  <c r="BR29" i="18"/>
  <c r="BQ45" i="18"/>
  <c r="BQ19" i="6"/>
  <c r="BQ25" i="18"/>
  <c r="BQ18" i="6"/>
  <c r="BQ24" i="18"/>
  <c r="BQ92" i="6"/>
  <c r="BR77" i="6"/>
  <c r="BR71" i="18"/>
  <c r="BR82" i="6"/>
  <c r="BR42" i="18"/>
  <c r="BR11" i="6"/>
  <c r="BR82" i="18"/>
  <c r="BR38" i="6"/>
  <c r="BR77" i="18"/>
  <c r="BR55" i="6"/>
  <c r="BR61" i="18"/>
  <c r="BR17" i="6"/>
  <c r="BR50" i="18"/>
  <c r="BR53" i="18"/>
  <c r="BR86" i="6"/>
  <c r="BR39" i="18"/>
  <c r="BR78" i="6"/>
  <c r="BR70" i="6"/>
  <c r="BR52" i="18"/>
  <c r="BR48" i="6"/>
  <c r="BR64" i="18"/>
  <c r="BR96" i="6"/>
  <c r="BR22" i="18"/>
  <c r="BR63" i="6"/>
  <c r="BR72" i="18"/>
  <c r="BQ44" i="18"/>
  <c r="BQ15" i="6"/>
  <c r="BR72" i="6"/>
  <c r="BR87" i="18"/>
  <c r="BR81" i="6"/>
  <c r="BR59" i="18"/>
  <c r="BR30" i="6"/>
  <c r="BR63" i="18"/>
  <c r="BR83" i="6"/>
  <c r="BR43" i="18"/>
  <c r="BR25" i="6"/>
  <c r="BR67" i="18"/>
  <c r="BR80" i="6"/>
  <c r="BR66" i="18"/>
  <c r="BR60" i="6"/>
  <c r="BR83" i="18"/>
  <c r="BR90" i="6"/>
  <c r="BR65" i="18"/>
  <c r="BR37" i="18"/>
  <c r="BR68" i="6"/>
  <c r="BR36" i="18"/>
  <c r="BR67" i="6"/>
  <c r="BR73" i="6"/>
  <c r="BR16" i="18"/>
  <c r="BR47" i="6"/>
  <c r="BR14" i="18"/>
  <c r="B24" i="3"/>
  <c r="C23" i="3"/>
  <c r="P15" i="5"/>
  <c r="F87" i="5" l="1"/>
  <c r="F80" i="5"/>
  <c r="F34" i="5"/>
  <c r="F45" i="5"/>
  <c r="F92" i="5"/>
  <c r="F47" i="5"/>
  <c r="F62" i="5"/>
  <c r="F100" i="5"/>
  <c r="F83" i="5"/>
  <c r="F89" i="5"/>
  <c r="F39" i="5"/>
  <c r="F43" i="5"/>
  <c r="F71" i="5"/>
  <c r="F63" i="5"/>
  <c r="F35" i="5"/>
  <c r="F65" i="5"/>
  <c r="F25" i="5"/>
  <c r="F79" i="5"/>
  <c r="F69" i="5"/>
  <c r="F99" i="5"/>
  <c r="F19" i="5"/>
  <c r="F86" i="5"/>
  <c r="F44" i="5"/>
  <c r="F95" i="5"/>
  <c r="F76" i="5"/>
  <c r="F88" i="5"/>
  <c r="S9" i="5"/>
  <c r="F96" i="5" s="1"/>
  <c r="F84" i="5" l="1"/>
  <c r="D84" i="5" s="1"/>
  <c r="C84" i="5" s="1"/>
  <c r="F81" i="5"/>
  <c r="BS76" i="6" s="1"/>
  <c r="F64" i="5"/>
  <c r="BS35" i="18" s="1"/>
  <c r="F60" i="5"/>
  <c r="BS61" i="18" s="1"/>
  <c r="BS81" i="18"/>
  <c r="BS91" i="6"/>
  <c r="D96" i="5"/>
  <c r="C96" i="5" s="1"/>
  <c r="F90" i="5"/>
  <c r="F61" i="5"/>
  <c r="F56" i="5"/>
  <c r="BS19" i="18"/>
  <c r="BS94" i="6"/>
  <c r="D99" i="5"/>
  <c r="C99" i="5" s="1"/>
  <c r="F93" i="5"/>
  <c r="F16" i="5"/>
  <c r="F97" i="5"/>
  <c r="BS83" i="18"/>
  <c r="BS60" i="6"/>
  <c r="D65" i="5"/>
  <c r="C65" i="5" s="1"/>
  <c r="BS77" i="18"/>
  <c r="BS38" i="6"/>
  <c r="D43" i="5"/>
  <c r="C43" i="5" s="1"/>
  <c r="F30" i="5"/>
  <c r="F101" i="5"/>
  <c r="F31" i="5"/>
  <c r="BS84" i="18"/>
  <c r="BS29" i="6"/>
  <c r="D34" i="5"/>
  <c r="C34" i="5" s="1"/>
  <c r="F58" i="5"/>
  <c r="F102" i="5"/>
  <c r="BS65" i="18"/>
  <c r="BS90" i="6"/>
  <c r="D95" i="5"/>
  <c r="C95" i="5" s="1"/>
  <c r="F85" i="5"/>
  <c r="F82" i="5"/>
  <c r="F40" i="5"/>
  <c r="F46" i="5"/>
  <c r="F67" i="5"/>
  <c r="F55" i="5"/>
  <c r="F54" i="5"/>
  <c r="F38" i="5"/>
  <c r="F68" i="5"/>
  <c r="F50" i="5"/>
  <c r="BS43" i="18"/>
  <c r="BS83" i="6"/>
  <c r="D88" i="5"/>
  <c r="C88" i="5" s="1"/>
  <c r="F72" i="5"/>
  <c r="BS78" i="18"/>
  <c r="BS39" i="6"/>
  <c r="D44" i="5"/>
  <c r="C44" i="5" s="1"/>
  <c r="BS94" i="18"/>
  <c r="BS64" i="6"/>
  <c r="D69" i="5"/>
  <c r="C69" i="5" s="1"/>
  <c r="F18" i="5"/>
  <c r="F94" i="5"/>
  <c r="BS63" i="18"/>
  <c r="BS30" i="6"/>
  <c r="D35" i="5"/>
  <c r="C35" i="5" s="1"/>
  <c r="F17" i="5"/>
  <c r="BS54" i="18"/>
  <c r="BS95" i="6"/>
  <c r="D100" i="5"/>
  <c r="C100" i="5" s="1"/>
  <c r="BS80" i="18"/>
  <c r="BS57" i="6"/>
  <c r="D62" i="5"/>
  <c r="C62" i="5" s="1"/>
  <c r="F20" i="5"/>
  <c r="BS88" i="18"/>
  <c r="BS75" i="6"/>
  <c r="D80" i="5"/>
  <c r="C80" i="5" s="1"/>
  <c r="BS95" i="18"/>
  <c r="BS71" i="6"/>
  <c r="D76" i="5"/>
  <c r="C76" i="5" s="1"/>
  <c r="F24" i="5"/>
  <c r="BS90" i="18"/>
  <c r="BS74" i="6"/>
  <c r="D79" i="5"/>
  <c r="C79" i="5" s="1"/>
  <c r="F74" i="5"/>
  <c r="F75" i="5"/>
  <c r="F42" i="5"/>
  <c r="F73" i="5"/>
  <c r="BS59" i="18"/>
  <c r="BS81" i="6"/>
  <c r="D86" i="5"/>
  <c r="C86" i="5" s="1"/>
  <c r="F70" i="5"/>
  <c r="F104" i="5"/>
  <c r="F66" i="5"/>
  <c r="F51" i="5"/>
  <c r="F22" i="5"/>
  <c r="BS34" i="18"/>
  <c r="BS58" i="6"/>
  <c r="D63" i="5"/>
  <c r="C63" i="5" s="1"/>
  <c r="BS62" i="18"/>
  <c r="BS84" i="6"/>
  <c r="D89" i="5"/>
  <c r="C89" i="5" s="1"/>
  <c r="F36" i="5"/>
  <c r="F103" i="5"/>
  <c r="BS68" i="18"/>
  <c r="BS40" i="6"/>
  <c r="D45" i="5"/>
  <c r="C45" i="5" s="1"/>
  <c r="BS42" i="18"/>
  <c r="BS82" i="6"/>
  <c r="D87" i="5"/>
  <c r="C87" i="5" s="1"/>
  <c r="F53" i="5"/>
  <c r="F33" i="5"/>
  <c r="F41" i="5"/>
  <c r="F77" i="5"/>
  <c r="BS74" i="18"/>
  <c r="BS34" i="6"/>
  <c r="D39" i="5"/>
  <c r="C39" i="5" s="1"/>
  <c r="BS31" i="18"/>
  <c r="BS42" i="6"/>
  <c r="D47" i="5"/>
  <c r="C47" i="5" s="1"/>
  <c r="F78" i="5"/>
  <c r="F21" i="5"/>
  <c r="F48" i="5"/>
  <c r="F52" i="5"/>
  <c r="F23" i="5"/>
  <c r="BS58" i="18"/>
  <c r="BS14" i="6"/>
  <c r="D19" i="5"/>
  <c r="C19" i="5" s="1"/>
  <c r="F37" i="5"/>
  <c r="D25" i="5"/>
  <c r="C25" i="5" s="1"/>
  <c r="BS73" i="18"/>
  <c r="BS20" i="6"/>
  <c r="F57" i="5"/>
  <c r="F91" i="5"/>
  <c r="BS49" i="18"/>
  <c r="BS66" i="6"/>
  <c r="D71" i="5"/>
  <c r="C71" i="5" s="1"/>
  <c r="BS39" i="18"/>
  <c r="BS78" i="6"/>
  <c r="D83" i="5"/>
  <c r="C83" i="5" s="1"/>
  <c r="F59" i="5"/>
  <c r="BS15" i="18"/>
  <c r="BS87" i="6"/>
  <c r="D92" i="5"/>
  <c r="C92" i="5" s="1"/>
  <c r="BS55" i="6" l="1"/>
  <c r="BS79" i="6"/>
  <c r="BS76" i="18"/>
  <c r="BS59" i="6"/>
  <c r="BS41" i="18"/>
  <c r="D60" i="5"/>
  <c r="C60" i="5" s="1"/>
  <c r="D81" i="5"/>
  <c r="C81" i="5" s="1"/>
  <c r="D64" i="5"/>
  <c r="C64" i="5" s="1"/>
  <c r="BS38" i="18"/>
  <c r="BS89" i="6"/>
  <c r="D94" i="5"/>
  <c r="C94" i="5" s="1"/>
  <c r="BS53" i="18"/>
  <c r="BS86" i="6"/>
  <c r="D91" i="5"/>
  <c r="C91" i="5" s="1"/>
  <c r="BS56" i="18"/>
  <c r="BS31" i="6"/>
  <c r="D36" i="5"/>
  <c r="C36" i="5" s="1"/>
  <c r="BS87" i="18"/>
  <c r="BS72" i="6"/>
  <c r="D77" i="5"/>
  <c r="C77" i="5" s="1"/>
  <c r="BS50" i="18"/>
  <c r="BS17" i="6"/>
  <c r="D22" i="5"/>
  <c r="C22" i="5" s="1"/>
  <c r="BS45" i="18"/>
  <c r="BS19" i="6"/>
  <c r="D24" i="5"/>
  <c r="C24" i="5" s="1"/>
  <c r="BS32" i="18"/>
  <c r="BS49" i="6"/>
  <c r="D54" i="5"/>
  <c r="C54" i="5" s="1"/>
  <c r="BS66" i="18"/>
  <c r="BS80" i="6"/>
  <c r="D85" i="5"/>
  <c r="C85" i="5" s="1"/>
  <c r="BS24" i="18"/>
  <c r="BS92" i="6"/>
  <c r="D97" i="5"/>
  <c r="C97" i="5" s="1"/>
  <c r="BS60" i="18"/>
  <c r="BS51" i="6"/>
  <c r="D56" i="5"/>
  <c r="C56" i="5" s="1"/>
  <c r="BS91" i="18"/>
  <c r="BS26" i="6"/>
  <c r="D31" i="5"/>
  <c r="C31" i="5" s="1"/>
  <c r="BS25" i="18"/>
  <c r="BS18" i="6"/>
  <c r="D23" i="5"/>
  <c r="C23" i="5" s="1"/>
  <c r="BS17" i="18"/>
  <c r="BS36" i="6"/>
  <c r="D41" i="5"/>
  <c r="C41" i="5" s="1"/>
  <c r="BS12" i="18"/>
  <c r="BS46" i="6"/>
  <c r="D51" i="5"/>
  <c r="C51" i="5" s="1"/>
  <c r="BS44" i="18"/>
  <c r="BS15" i="6"/>
  <c r="D20" i="5"/>
  <c r="C20" i="5" s="1"/>
  <c r="BS29" i="18"/>
  <c r="BS50" i="6"/>
  <c r="D55" i="5"/>
  <c r="C55" i="5" s="1"/>
  <c r="BS82" i="18"/>
  <c r="BS11" i="6"/>
  <c r="D16" i="5"/>
  <c r="BS79" i="18"/>
  <c r="BS56" i="6"/>
  <c r="D61" i="5"/>
  <c r="C61" i="5" s="1"/>
  <c r="BS48" i="18"/>
  <c r="BS54" i="6"/>
  <c r="D59" i="5"/>
  <c r="C59" i="5" s="1"/>
  <c r="BS26" i="18"/>
  <c r="BS32" i="6"/>
  <c r="D37" i="5"/>
  <c r="C37" i="5" s="1"/>
  <c r="BS40" i="18"/>
  <c r="BS43" i="6"/>
  <c r="D48" i="5"/>
  <c r="C48" i="5" s="1"/>
  <c r="BS64" i="18"/>
  <c r="BS48" i="6"/>
  <c r="D53" i="5"/>
  <c r="C53" i="5" s="1"/>
  <c r="BS20" i="18"/>
  <c r="BS99" i="6"/>
  <c r="D104" i="5"/>
  <c r="C104" i="5" s="1"/>
  <c r="BS14" i="18"/>
  <c r="BS47" i="6"/>
  <c r="D52" i="5"/>
  <c r="C52" i="5" s="1"/>
  <c r="BS21" i="18"/>
  <c r="BS28" i="6"/>
  <c r="D33" i="5"/>
  <c r="C33" i="5" s="1"/>
  <c r="BS27" i="18"/>
  <c r="BS61" i="6"/>
  <c r="D66" i="5"/>
  <c r="C66" i="5" s="1"/>
  <c r="BS37" i="18"/>
  <c r="BS68" i="6"/>
  <c r="D73" i="5"/>
  <c r="C73" i="5" s="1"/>
  <c r="BS86" i="18"/>
  <c r="BS12" i="6"/>
  <c r="D17" i="5"/>
  <c r="C17" i="5" s="1"/>
  <c r="BS36" i="18"/>
  <c r="BS67" i="6"/>
  <c r="D72" i="5"/>
  <c r="C72" i="5" s="1"/>
  <c r="BS93" i="18"/>
  <c r="BS62" i="6"/>
  <c r="B23" i="3"/>
  <c r="D67" i="5"/>
  <c r="C67" i="5" s="1"/>
  <c r="B20" i="3" s="1"/>
  <c r="BS23" i="18"/>
  <c r="BS88" i="6"/>
  <c r="D93" i="5"/>
  <c r="C93" i="5" s="1"/>
  <c r="BS92" i="18"/>
  <c r="BS85" i="6"/>
  <c r="D90" i="5"/>
  <c r="C90" i="5" s="1"/>
  <c r="BS28" i="18"/>
  <c r="BS37" i="6"/>
  <c r="D42" i="5"/>
  <c r="C42" i="5" s="1"/>
  <c r="BS18" i="18"/>
  <c r="BS41" i="6"/>
  <c r="D46" i="5"/>
  <c r="C46" i="5" s="1"/>
  <c r="BS30" i="18"/>
  <c r="BS16" i="6"/>
  <c r="D21" i="5"/>
  <c r="C21" i="5" s="1"/>
  <c r="BS51" i="18"/>
  <c r="BS98" i="6"/>
  <c r="D103" i="5"/>
  <c r="C103" i="5" s="1"/>
  <c r="BS57" i="18"/>
  <c r="BS65" i="6"/>
  <c r="D70" i="5"/>
  <c r="C70" i="5" s="1"/>
  <c r="BS52" i="18"/>
  <c r="BS70" i="6"/>
  <c r="D75" i="5"/>
  <c r="C75" i="5" s="1"/>
  <c r="BS69" i="18"/>
  <c r="BS13" i="6"/>
  <c r="D18" i="5"/>
  <c r="C18" i="5" s="1"/>
  <c r="BS72" i="18"/>
  <c r="BS63" i="6"/>
  <c r="D68" i="5"/>
  <c r="C68" i="5" s="1"/>
  <c r="BS46" i="18"/>
  <c r="BS35" i="6"/>
  <c r="D40" i="5"/>
  <c r="C40" i="5" s="1"/>
  <c r="BS85" i="18"/>
  <c r="BS97" i="6"/>
  <c r="D102" i="5"/>
  <c r="C102" i="5" s="1"/>
  <c r="BS22" i="18"/>
  <c r="BS96" i="6"/>
  <c r="D101" i="5"/>
  <c r="C101" i="5" s="1"/>
  <c r="BS89" i="18"/>
  <c r="BS45" i="6"/>
  <c r="D50" i="5"/>
  <c r="C50" i="5" s="1"/>
  <c r="BS75" i="18"/>
  <c r="BS52" i="6"/>
  <c r="D57" i="5"/>
  <c r="C57" i="5" s="1"/>
  <c r="BS16" i="18"/>
  <c r="BS73" i="6"/>
  <c r="D78" i="5"/>
  <c r="C78" i="5" s="1"/>
  <c r="BS47" i="18"/>
  <c r="BS69" i="6"/>
  <c r="D74" i="5"/>
  <c r="C74" i="5" s="1"/>
  <c r="BS70" i="18"/>
  <c r="BS33" i="6"/>
  <c r="D38" i="5"/>
  <c r="C38" i="5" s="1"/>
  <c r="BS71" i="18"/>
  <c r="BS77" i="6"/>
  <c r="D82" i="5"/>
  <c r="C82" i="5" s="1"/>
  <c r="BS33" i="18"/>
  <c r="BS53" i="6"/>
  <c r="D58" i="5"/>
  <c r="C58" i="5" s="1"/>
  <c r="BS67" i="18"/>
  <c r="BS25" i="6"/>
  <c r="D30" i="5"/>
  <c r="C30" i="5" s="1"/>
  <c r="AD9" i="6" l="1"/>
  <c r="AD9" i="18"/>
  <c r="C16" i="5"/>
  <c r="Y26" i="2"/>
  <c r="Z26" i="2" s="1"/>
  <c r="J15" i="2"/>
  <c r="N15" i="2" s="1"/>
  <c r="W16" i="2"/>
  <c r="N16" i="2"/>
  <c r="AB11" i="6" s="1"/>
  <c r="AB16" i="2"/>
  <c r="AB82" i="18" l="1"/>
  <c r="AB15" i="2"/>
  <c r="AB10" i="18"/>
  <c r="N9" i="2"/>
  <c r="N7" i="2" s="1"/>
  <c r="E69" i="2" l="1"/>
  <c r="E19" i="2"/>
  <c r="E60" i="2"/>
  <c r="E30" i="2"/>
  <c r="E54" i="2"/>
  <c r="E50" i="2"/>
  <c r="E78" i="2"/>
  <c r="E22" i="2"/>
  <c r="E102" i="2"/>
  <c r="E85" i="2"/>
  <c r="E84" i="2"/>
  <c r="E73" i="2"/>
  <c r="E71" i="2"/>
  <c r="E36" i="2"/>
  <c r="E53" i="2"/>
  <c r="E24" i="2"/>
  <c r="E62" i="2"/>
  <c r="E34" i="2"/>
  <c r="E45" i="2"/>
  <c r="E42" i="2"/>
  <c r="E89" i="2"/>
  <c r="E33" i="2"/>
  <c r="E66" i="2"/>
  <c r="E21" i="2"/>
  <c r="E86" i="2"/>
  <c r="E92" i="2"/>
  <c r="E40" i="2"/>
  <c r="E37" i="2"/>
  <c r="E43" i="2"/>
  <c r="E82" i="2"/>
  <c r="E23" i="2"/>
  <c r="E51" i="2"/>
  <c r="E41" i="2"/>
  <c r="E56" i="2"/>
  <c r="E95" i="2"/>
  <c r="E31" i="2"/>
  <c r="E48" i="2"/>
  <c r="E38" i="2"/>
  <c r="E64" i="2"/>
  <c r="E100" i="2"/>
  <c r="E59" i="2"/>
  <c r="E68" i="2"/>
  <c r="E87" i="2"/>
  <c r="E96" i="2"/>
  <c r="E55" i="2"/>
  <c r="E25" i="2"/>
  <c r="E99" i="2"/>
  <c r="E17" i="2"/>
  <c r="E75" i="2"/>
  <c r="E35" i="2"/>
  <c r="E57" i="2"/>
  <c r="E63" i="2"/>
  <c r="E97" i="2"/>
  <c r="E74" i="2"/>
  <c r="E47" i="2"/>
  <c r="E20" i="2"/>
  <c r="E101" i="2"/>
  <c r="E76" i="2"/>
  <c r="E88" i="2"/>
  <c r="E65" i="2"/>
  <c r="E52" i="2"/>
  <c r="E104" i="2"/>
  <c r="E70" i="2"/>
  <c r="E83" i="2"/>
  <c r="E103" i="2"/>
  <c r="E91" i="2"/>
  <c r="E67" i="2"/>
  <c r="E93" i="2"/>
  <c r="E58" i="2"/>
  <c r="E46" i="2"/>
  <c r="E79" i="2"/>
  <c r="E61" i="2"/>
  <c r="E77" i="2"/>
  <c r="E80" i="2"/>
  <c r="E44" i="2"/>
  <c r="E39" i="2"/>
  <c r="E72" i="2"/>
  <c r="E90" i="2"/>
  <c r="E81" i="2"/>
  <c r="E16" i="2"/>
  <c r="E18" i="2"/>
  <c r="E94" i="2"/>
  <c r="BO13" i="6" l="1"/>
  <c r="BO69" i="18"/>
  <c r="BO33" i="18"/>
  <c r="BO53" i="6"/>
  <c r="BO22" i="18"/>
  <c r="BO96" i="6"/>
  <c r="BO50" i="6"/>
  <c r="BO29" i="18"/>
  <c r="BO17" i="18"/>
  <c r="BO36" i="6"/>
  <c r="BO84" i="6"/>
  <c r="BO62" i="18"/>
  <c r="BO48" i="6"/>
  <c r="BO64" i="18"/>
  <c r="BO61" i="18"/>
  <c r="BO55" i="6"/>
  <c r="BO75" i="6"/>
  <c r="BO88" i="18"/>
  <c r="BO99" i="6"/>
  <c r="BO20" i="18"/>
  <c r="BO30" i="6"/>
  <c r="BO63" i="18"/>
  <c r="BO70" i="18"/>
  <c r="BO33" i="6"/>
  <c r="BO87" i="6"/>
  <c r="BO15" i="18"/>
  <c r="BO56" i="18"/>
  <c r="BO31" i="6"/>
  <c r="BO14" i="6"/>
  <c r="BO58" i="18"/>
  <c r="BO72" i="6"/>
  <c r="BO87" i="18"/>
  <c r="BO47" i="6"/>
  <c r="BO14" i="18"/>
  <c r="BO70" i="6"/>
  <c r="BO52" i="18"/>
  <c r="BO43" i="6"/>
  <c r="BO40" i="18"/>
  <c r="BO59" i="18"/>
  <c r="BO81" i="6"/>
  <c r="BO49" i="18"/>
  <c r="BO66" i="6"/>
  <c r="BO16" i="18"/>
  <c r="BO73" i="6"/>
  <c r="BO92" i="18"/>
  <c r="BO85" i="6"/>
  <c r="BO86" i="6"/>
  <c r="BO53" i="18"/>
  <c r="BO47" i="18"/>
  <c r="BO69" i="6"/>
  <c r="BO63" i="6"/>
  <c r="BO72" i="18"/>
  <c r="BO71" i="18"/>
  <c r="BO77" i="6"/>
  <c r="BO29" i="6"/>
  <c r="BO84" i="18"/>
  <c r="BO45" i="6"/>
  <c r="BO89" i="18"/>
  <c r="BO90" i="18"/>
  <c r="BO74" i="6"/>
  <c r="BO43" i="18"/>
  <c r="BO83" i="6"/>
  <c r="BO94" i="6"/>
  <c r="BO19" i="18"/>
  <c r="BO54" i="6"/>
  <c r="BO48" i="18"/>
  <c r="BO90" i="6"/>
  <c r="BO65" i="18"/>
  <c r="BO38" i="6"/>
  <c r="BO77" i="18"/>
  <c r="BO27" i="18"/>
  <c r="BO61" i="6"/>
  <c r="BO57" i="6"/>
  <c r="BO80" i="18"/>
  <c r="BO41" i="18"/>
  <c r="BO79" i="6"/>
  <c r="BO49" i="6"/>
  <c r="BO32" i="18"/>
  <c r="BO39" i="6"/>
  <c r="BO78" i="18"/>
  <c r="BO57" i="18"/>
  <c r="BO65" i="6"/>
  <c r="BO52" i="6"/>
  <c r="BO75" i="18"/>
  <c r="BO59" i="6"/>
  <c r="BO35" i="18"/>
  <c r="BO46" i="18"/>
  <c r="BO35" i="6"/>
  <c r="BO85" i="18"/>
  <c r="BO97" i="6"/>
  <c r="BO11" i="6"/>
  <c r="BO82" i="18"/>
  <c r="BO23" i="18"/>
  <c r="BO88" i="6"/>
  <c r="BO44" i="18"/>
  <c r="BO15" i="6"/>
  <c r="BO91" i="6"/>
  <c r="BO81" i="18"/>
  <c r="BO46" i="6"/>
  <c r="BO12" i="18"/>
  <c r="BO37" i="6"/>
  <c r="BO28" i="18"/>
  <c r="BO50" i="18"/>
  <c r="BO17" i="6"/>
  <c r="BO76" i="18"/>
  <c r="BO76" i="6"/>
  <c r="BO93" i="18"/>
  <c r="BO62" i="6"/>
  <c r="B16" i="3"/>
  <c r="BO31" i="18"/>
  <c r="BO42" i="6"/>
  <c r="BO82" i="6"/>
  <c r="BO42" i="18"/>
  <c r="BO25" i="18"/>
  <c r="BO18" i="6"/>
  <c r="BO68" i="18"/>
  <c r="BO40" i="6"/>
  <c r="BO94" i="18"/>
  <c r="BO64" i="6"/>
  <c r="BO79" i="18"/>
  <c r="BO56" i="6"/>
  <c r="BO60" i="6"/>
  <c r="BO83" i="18"/>
  <c r="BO86" i="18"/>
  <c r="BO12" i="6"/>
  <c r="BO91" i="18"/>
  <c r="BO26" i="6"/>
  <c r="BO16" i="6"/>
  <c r="BO30" i="18"/>
  <c r="BO37" i="18"/>
  <c r="BO68" i="6"/>
  <c r="BO36" i="18"/>
  <c r="BO67" i="6"/>
  <c r="BO98" i="6"/>
  <c r="BO51" i="18"/>
  <c r="BO92" i="6"/>
  <c r="BO24" i="18"/>
  <c r="BO38" i="18"/>
  <c r="BO89" i="6"/>
  <c r="BO74" i="18"/>
  <c r="BO34" i="6"/>
  <c r="BO41" i="6"/>
  <c r="BO18" i="18"/>
  <c r="BO39" i="18"/>
  <c r="BO78" i="6"/>
  <c r="BO71" i="6"/>
  <c r="BO95" i="18"/>
  <c r="BO58" i="6"/>
  <c r="BO34" i="18"/>
  <c r="BO73" i="18"/>
  <c r="BO20" i="6"/>
  <c r="BO95" i="6"/>
  <c r="BO54" i="18"/>
  <c r="BO60" i="18"/>
  <c r="BO51" i="6"/>
  <c r="BO26" i="18"/>
  <c r="BO32" i="6"/>
  <c r="BO28" i="6"/>
  <c r="BO21" i="18"/>
  <c r="BO45" i="18"/>
  <c r="BO19" i="6"/>
  <c r="BO66" i="18"/>
  <c r="BO80" i="6"/>
  <c r="BO67" i="18"/>
  <c r="BO25" i="6"/>
  <c r="O16" i="2"/>
  <c r="V16" i="2" s="1"/>
  <c r="K15" i="2"/>
  <c r="O15" i="2" s="1"/>
  <c r="M16" i="2"/>
  <c r="M15" i="2" s="1"/>
  <c r="U16" i="2"/>
  <c r="S16" i="2"/>
  <c r="AC11" i="6" s="1"/>
  <c r="T16" i="2"/>
  <c r="S15" i="2" l="1"/>
  <c r="AC82" i="18"/>
  <c r="P16" i="2"/>
  <c r="P15" i="2" s="1"/>
  <c r="S7" i="2" l="1"/>
  <c r="AC10" i="6"/>
  <c r="AC10" i="18"/>
  <c r="F84" i="2" l="1"/>
  <c r="F19" i="2"/>
  <c r="F31" i="2"/>
  <c r="F43" i="2"/>
  <c r="F94" i="2"/>
  <c r="F99" i="2"/>
  <c r="F38" i="2"/>
  <c r="F62" i="2"/>
  <c r="F45" i="2"/>
  <c r="F79" i="2"/>
  <c r="F69" i="2"/>
  <c r="F80" i="2"/>
  <c r="F44" i="2"/>
  <c r="F33" i="2"/>
  <c r="F47" i="2"/>
  <c r="S9" i="2"/>
  <c r="F24" i="2" s="1"/>
  <c r="F96" i="2"/>
  <c r="F35" i="2"/>
  <c r="F23" i="2" l="1"/>
  <c r="BP18" i="6" s="1"/>
  <c r="F91" i="2"/>
  <c r="F90" i="2"/>
  <c r="D90" i="2" s="1"/>
  <c r="C90" i="2" s="1"/>
  <c r="F61" i="2"/>
  <c r="D61" i="2" s="1"/>
  <c r="C61" i="2" s="1"/>
  <c r="F82" i="2"/>
  <c r="D82" i="2" s="1"/>
  <c r="C82" i="2" s="1"/>
  <c r="F21" i="2"/>
  <c r="BP30" i="18" s="1"/>
  <c r="F100" i="2"/>
  <c r="D100" i="2" s="1"/>
  <c r="C100" i="2" s="1"/>
  <c r="F22" i="2"/>
  <c r="BP50" i="18" s="1"/>
  <c r="F87" i="2"/>
  <c r="BP82" i="6" s="1"/>
  <c r="F57" i="2"/>
  <c r="BP52" i="6" s="1"/>
  <c r="F48" i="2"/>
  <c r="BP43" i="6" s="1"/>
  <c r="F92" i="2"/>
  <c r="BP15" i="18" s="1"/>
  <c r="F18" i="2"/>
  <c r="D18" i="2" s="1"/>
  <c r="C18" i="2" s="1"/>
  <c r="F20" i="2"/>
  <c r="BP44" i="18" s="1"/>
  <c r="F66" i="2"/>
  <c r="BP27" i="18" s="1"/>
  <c r="F73" i="2"/>
  <c r="D73" i="2" s="1"/>
  <c r="C73" i="2" s="1"/>
  <c r="F86" i="2"/>
  <c r="D86" i="2" s="1"/>
  <c r="C86" i="2" s="1"/>
  <c r="F42" i="2"/>
  <c r="D42" i="2" s="1"/>
  <c r="C42" i="2" s="1"/>
  <c r="F85" i="2"/>
  <c r="BP66" i="18" s="1"/>
  <c r="F67" i="2"/>
  <c r="BP62" i="6" s="1"/>
  <c r="F52" i="2"/>
  <c r="BP14" i="18" s="1"/>
  <c r="F83" i="2"/>
  <c r="BP78" i="6" s="1"/>
  <c r="F104" i="2"/>
  <c r="BP99" i="6" s="1"/>
  <c r="F39" i="2"/>
  <c r="BP34" i="6" s="1"/>
  <c r="F16" i="2"/>
  <c r="BP82" i="18" s="1"/>
  <c r="F81" i="2"/>
  <c r="D81" i="2" s="1"/>
  <c r="C81" i="2" s="1"/>
  <c r="F75" i="2"/>
  <c r="BP70" i="6" s="1"/>
  <c r="F51" i="2"/>
  <c r="BP12" i="18" s="1"/>
  <c r="F55" i="2"/>
  <c r="BP29" i="18" s="1"/>
  <c r="F25" i="2"/>
  <c r="BP73" i="18" s="1"/>
  <c r="F72" i="2"/>
  <c r="D72" i="2" s="1"/>
  <c r="C72" i="2" s="1"/>
  <c r="F50" i="2"/>
  <c r="D50" i="2" s="1"/>
  <c r="C50" i="2" s="1"/>
  <c r="F63" i="2"/>
  <c r="BP34" i="18" s="1"/>
  <c r="F36" i="2"/>
  <c r="BP31" i="6" s="1"/>
  <c r="F65" i="2"/>
  <c r="BP83" i="18" s="1"/>
  <c r="F53" i="2"/>
  <c r="D53" i="2" s="1"/>
  <c r="C53" i="2" s="1"/>
  <c r="BP45" i="18"/>
  <c r="D24" i="2"/>
  <c r="C24" i="2" s="1"/>
  <c r="BP19" i="6"/>
  <c r="BP90" i="18"/>
  <c r="BP74" i="6"/>
  <c r="D79" i="2"/>
  <c r="C79" i="2" s="1"/>
  <c r="BP67" i="6"/>
  <c r="BP17" i="6"/>
  <c r="BP94" i="6"/>
  <c r="D99" i="2"/>
  <c r="C99" i="2" s="1"/>
  <c r="BP19" i="18"/>
  <c r="BP58" i="18"/>
  <c r="BP14" i="6"/>
  <c r="D19" i="2"/>
  <c r="C19" i="2" s="1"/>
  <c r="BP39" i="6"/>
  <c r="BP78" i="18"/>
  <c r="D44" i="2"/>
  <c r="C44" i="2" s="1"/>
  <c r="BP68" i="18"/>
  <c r="BP40" i="6"/>
  <c r="D45" i="2"/>
  <c r="C45" i="2" s="1"/>
  <c r="BP57" i="6"/>
  <c r="BP80" i="18"/>
  <c r="D62" i="2"/>
  <c r="C62" i="2" s="1"/>
  <c r="D94" i="2"/>
  <c r="C94" i="2" s="1"/>
  <c r="BP38" i="18"/>
  <c r="BP89" i="6"/>
  <c r="F34" i="2"/>
  <c r="F89" i="2"/>
  <c r="F103" i="2"/>
  <c r="BP41" i="18"/>
  <c r="BP79" i="6"/>
  <c r="D84" i="2"/>
  <c r="C84" i="2" s="1"/>
  <c r="D47" i="2"/>
  <c r="C47" i="2" s="1"/>
  <c r="BP42" i="6"/>
  <c r="BP31" i="18"/>
  <c r="F101" i="2"/>
  <c r="F102" i="2"/>
  <c r="F17" i="2"/>
  <c r="F74" i="2"/>
  <c r="BP77" i="18"/>
  <c r="BP38" i="6"/>
  <c r="D43" i="2"/>
  <c r="C43" i="2" s="1"/>
  <c r="F78" i="2"/>
  <c r="F64" i="2"/>
  <c r="F40" i="2"/>
  <c r="BP59" i="18"/>
  <c r="BP81" i="6"/>
  <c r="BP21" i="18"/>
  <c r="D33" i="2"/>
  <c r="C33" i="2" s="1"/>
  <c r="BP28" i="6"/>
  <c r="BP92" i="18"/>
  <c r="BP85" i="6"/>
  <c r="BP77" i="6"/>
  <c r="BP71" i="18"/>
  <c r="BP30" i="6"/>
  <c r="D35" i="2"/>
  <c r="C35" i="2" s="1"/>
  <c r="BP63" i="18"/>
  <c r="BP53" i="18"/>
  <c r="D91" i="2"/>
  <c r="C91" i="2" s="1"/>
  <c r="BP86" i="6"/>
  <c r="F59" i="2"/>
  <c r="F97" i="2"/>
  <c r="F68" i="2"/>
  <c r="F71" i="2"/>
  <c r="F30" i="2"/>
  <c r="F76" i="2"/>
  <c r="F56" i="2"/>
  <c r="D31" i="2"/>
  <c r="C31" i="2" s="1"/>
  <c r="BP91" i="18"/>
  <c r="BP26" i="6"/>
  <c r="F41" i="2"/>
  <c r="F95" i="2"/>
  <c r="F93" i="2"/>
  <c r="BP80" i="6"/>
  <c r="BP81" i="18"/>
  <c r="D96" i="2"/>
  <c r="C96" i="2" s="1"/>
  <c r="BP91" i="6"/>
  <c r="F70" i="2"/>
  <c r="D80" i="2"/>
  <c r="C80" i="2" s="1"/>
  <c r="BP88" i="18"/>
  <c r="BP75" i="6"/>
  <c r="BP64" i="6"/>
  <c r="BP94" i="18"/>
  <c r="D69" i="2"/>
  <c r="C69" i="2" s="1"/>
  <c r="F77" i="2"/>
  <c r="F54" i="2"/>
  <c r="F58" i="2"/>
  <c r="BP70" i="18"/>
  <c r="BP33" i="6"/>
  <c r="D38" i="2"/>
  <c r="C38" i="2" s="1"/>
  <c r="F37" i="2"/>
  <c r="F88" i="2"/>
  <c r="F46" i="2"/>
  <c r="F60" i="2"/>
  <c r="BP45" i="6" l="1"/>
  <c r="D85" i="2"/>
  <c r="C85" i="2" s="1"/>
  <c r="D23" i="2"/>
  <c r="C23" i="2" s="1"/>
  <c r="BP25" i="18"/>
  <c r="BP54" i="18"/>
  <c r="BP28" i="18"/>
  <c r="BP95" i="6"/>
  <c r="BP46" i="6"/>
  <c r="D51" i="2"/>
  <c r="C51" i="2" s="1"/>
  <c r="BP56" i="6"/>
  <c r="BP93" i="18"/>
  <c r="BP36" i="18"/>
  <c r="BP68" i="6"/>
  <c r="BP37" i="18"/>
  <c r="BP79" i="18"/>
  <c r="BP16" i="6"/>
  <c r="BP39" i="18"/>
  <c r="D83" i="2"/>
  <c r="C83" i="2" s="1"/>
  <c r="BP75" i="18"/>
  <c r="D57" i="2"/>
  <c r="C57" i="2" s="1"/>
  <c r="BP56" i="18"/>
  <c r="B17" i="3"/>
  <c r="BP89" i="18"/>
  <c r="BP58" i="6"/>
  <c r="D65" i="2"/>
  <c r="C65" i="2" s="1"/>
  <c r="D52" i="2"/>
  <c r="C52" i="2" s="1"/>
  <c r="D63" i="2"/>
  <c r="C63" i="2" s="1"/>
  <c r="BP42" i="18"/>
  <c r="BP47" i="6"/>
  <c r="D87" i="2"/>
  <c r="C87" i="2" s="1"/>
  <c r="BP40" i="18"/>
  <c r="D48" i="2"/>
  <c r="C48" i="2" s="1"/>
  <c r="BP69" i="18"/>
  <c r="D21" i="2"/>
  <c r="C21" i="2" s="1"/>
  <c r="D36" i="2"/>
  <c r="C36" i="2" s="1"/>
  <c r="BP37" i="6"/>
  <c r="D16" i="2"/>
  <c r="C16" i="2" s="1"/>
  <c r="BP15" i="6"/>
  <c r="BP11" i="6"/>
  <c r="D20" i="2"/>
  <c r="C20" i="2" s="1"/>
  <c r="BP76" i="6"/>
  <c r="BP13" i="6"/>
  <c r="D67" i="2"/>
  <c r="C67" i="2" s="1"/>
  <c r="B13" i="3" s="1"/>
  <c r="C20" i="3" s="1"/>
  <c r="D22" i="2"/>
  <c r="C22" i="2" s="1"/>
  <c r="BP61" i="6"/>
  <c r="D39" i="2"/>
  <c r="C39" i="2" s="1"/>
  <c r="BP87" i="6"/>
  <c r="BP74" i="18"/>
  <c r="D92" i="2"/>
  <c r="C92" i="2" s="1"/>
  <c r="BP60" i="6"/>
  <c r="D55" i="2"/>
  <c r="C55" i="2" s="1"/>
  <c r="D104" i="2"/>
  <c r="C104" i="2" s="1"/>
  <c r="BP50" i="6"/>
  <c r="BP20" i="18"/>
  <c r="D66" i="2"/>
  <c r="C66" i="2" s="1"/>
  <c r="BP52" i="18"/>
  <c r="D75" i="2"/>
  <c r="C75" i="2" s="1"/>
  <c r="BP76" i="18"/>
  <c r="BP64" i="18"/>
  <c r="BP48" i="6"/>
  <c r="D25" i="2"/>
  <c r="C25" i="2" s="1"/>
  <c r="BP20" i="6"/>
  <c r="D68" i="2"/>
  <c r="C68" i="2" s="1"/>
  <c r="BP63" i="6"/>
  <c r="BP72" i="18"/>
  <c r="BP46" i="18"/>
  <c r="D40" i="2"/>
  <c r="C40" i="2" s="1"/>
  <c r="BP35" i="6"/>
  <c r="BP69" i="6"/>
  <c r="D74" i="2"/>
  <c r="C74" i="2" s="1"/>
  <c r="BP47" i="18"/>
  <c r="D97" i="2"/>
  <c r="C97" i="2" s="1"/>
  <c r="BP24" i="18"/>
  <c r="BP92" i="6"/>
  <c r="D64" i="2"/>
  <c r="C64" i="2" s="1"/>
  <c r="BP35" i="18"/>
  <c r="BP59" i="6"/>
  <c r="BP12" i="6"/>
  <c r="D17" i="2"/>
  <c r="C17" i="2" s="1"/>
  <c r="BP86" i="18"/>
  <c r="BP98" i="6"/>
  <c r="BP51" i="18"/>
  <c r="D103" i="2"/>
  <c r="C103" i="2" s="1"/>
  <c r="BP61" i="18"/>
  <c r="D60" i="2"/>
  <c r="C60" i="2" s="1"/>
  <c r="BP55" i="6"/>
  <c r="D46" i="2"/>
  <c r="C46" i="2" s="1"/>
  <c r="BP18" i="18"/>
  <c r="BP41" i="6"/>
  <c r="D58" i="2"/>
  <c r="C58" i="2" s="1"/>
  <c r="BP53" i="6"/>
  <c r="BP33" i="18"/>
  <c r="BP83" i="6"/>
  <c r="D88" i="2"/>
  <c r="C88" i="2" s="1"/>
  <c r="BP43" i="18"/>
  <c r="BP32" i="18"/>
  <c r="D54" i="2"/>
  <c r="C54" i="2" s="1"/>
  <c r="BP49" i="6"/>
  <c r="D93" i="2"/>
  <c r="C93" i="2" s="1"/>
  <c r="BP88" i="6"/>
  <c r="BP23" i="18"/>
  <c r="BP60" i="18"/>
  <c r="D56" i="2"/>
  <c r="C56" i="2" s="1"/>
  <c r="BP51" i="6"/>
  <c r="D59" i="2"/>
  <c r="C59" i="2" s="1"/>
  <c r="BP48" i="18"/>
  <c r="BP54" i="6"/>
  <c r="D78" i="2"/>
  <c r="C78" i="2" s="1"/>
  <c r="BP73" i="6"/>
  <c r="BP16" i="18"/>
  <c r="BP85" i="18"/>
  <c r="BP97" i="6"/>
  <c r="D102" i="2"/>
  <c r="C102" i="2" s="1"/>
  <c r="D89" i="2"/>
  <c r="C89" i="2" s="1"/>
  <c r="BP62" i="18"/>
  <c r="BP84" i="6"/>
  <c r="D95" i="2"/>
  <c r="C95" i="2" s="1"/>
  <c r="BP65" i="18"/>
  <c r="BP90" i="6"/>
  <c r="BP95" i="18"/>
  <c r="BP71" i="6"/>
  <c r="D76" i="2"/>
  <c r="C76" i="2" s="1"/>
  <c r="BP96" i="6"/>
  <c r="BP22" i="18"/>
  <c r="D101" i="2"/>
  <c r="C101" i="2" s="1"/>
  <c r="D34" i="2"/>
  <c r="C34" i="2" s="1"/>
  <c r="BP84" i="18"/>
  <c r="BP29" i="6"/>
  <c r="BP49" i="18"/>
  <c r="D71" i="2"/>
  <c r="C71" i="2" s="1"/>
  <c r="BP66" i="6"/>
  <c r="BP26" i="18"/>
  <c r="BP32" i="6"/>
  <c r="D37" i="2"/>
  <c r="C37" i="2" s="1"/>
  <c r="BP87" i="18"/>
  <c r="D77" i="2"/>
  <c r="C77" i="2" s="1"/>
  <c r="BP72" i="6"/>
  <c r="BP57" i="18"/>
  <c r="BP65" i="6"/>
  <c r="D70" i="2"/>
  <c r="C70" i="2" s="1"/>
  <c r="BP36" i="6"/>
  <c r="BP17" i="18"/>
  <c r="D41" i="2"/>
  <c r="C41" i="2" s="1"/>
  <c r="D30" i="2"/>
  <c r="C30" i="2" s="1"/>
  <c r="BP67" i="18"/>
  <c r="BP25" i="6"/>
  <c r="C13" i="3" l="1"/>
  <c r="W9" i="6"/>
  <c r="W9" i="18"/>
  <c r="B11" i="6"/>
  <c r="B12" i="6"/>
  <c r="B13" i="6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P93" i="18"/>
  <c r="P62" i="6"/>
  <c r="P85" i="18"/>
  <c r="P97" i="6"/>
  <c r="P77" i="18"/>
  <c r="P38" i="6"/>
  <c r="P69" i="18"/>
  <c r="P13" i="6"/>
  <c r="P61" i="18"/>
  <c r="P55" i="6"/>
  <c r="P53" i="18"/>
  <c r="P86" i="6"/>
  <c r="P45" i="18"/>
  <c r="P19" i="6"/>
  <c r="P37" i="18"/>
  <c r="P68" i="6"/>
  <c r="P29" i="18"/>
  <c r="P50" i="6"/>
  <c r="P21" i="18"/>
  <c r="P28" i="6"/>
  <c r="P13" i="18"/>
  <c r="P22" i="6"/>
  <c r="P26" i="6"/>
  <c r="P91" i="18"/>
  <c r="P34" i="6"/>
  <c r="P74" i="18"/>
  <c r="P46" i="6"/>
  <c r="P12" i="18"/>
  <c r="P58" i="6"/>
  <c r="P34" i="18"/>
  <c r="P90" i="18"/>
  <c r="P74" i="6"/>
  <c r="P82" i="6"/>
  <c r="P42" i="18"/>
  <c r="P98" i="6"/>
  <c r="P51" i="18"/>
  <c r="P88" i="18"/>
  <c r="P75" i="6"/>
  <c r="P63" i="6"/>
  <c r="P72" i="18"/>
  <c r="P62" i="18"/>
  <c r="P84" i="6"/>
  <c r="P43" i="6"/>
  <c r="P40" i="18"/>
  <c r="P59" i="6"/>
  <c r="P35" i="18"/>
  <c r="P99" i="6"/>
  <c r="P20" i="18"/>
  <c r="P96" i="18"/>
  <c r="P24" i="6"/>
  <c r="P16" i="18"/>
  <c r="P73" i="6"/>
  <c r="P86" i="18"/>
  <c r="P12" i="6"/>
  <c r="P70" i="18"/>
  <c r="P33" i="6"/>
  <c r="P54" i="18"/>
  <c r="P95" i="6"/>
  <c r="P91" i="6"/>
  <c r="P81" i="18"/>
  <c r="P90" i="6"/>
  <c r="P65" i="18"/>
  <c r="P66" i="6"/>
  <c r="P49" i="18"/>
  <c r="P53" i="6"/>
  <c r="P33" i="18"/>
  <c r="P36" i="6"/>
  <c r="P17" i="18"/>
  <c r="P30" i="6"/>
  <c r="P63" i="18"/>
  <c r="P48" i="18"/>
  <c r="P54" i="6"/>
  <c r="P78" i="6"/>
  <c r="P39" i="18"/>
  <c r="P47" i="18"/>
  <c r="P69" i="6"/>
  <c r="P98" i="18"/>
  <c r="P44" i="6"/>
  <c r="P78" i="18"/>
  <c r="P39" i="6"/>
  <c r="P80" i="6"/>
  <c r="P66" i="18"/>
  <c r="P46" i="18"/>
  <c r="P35" i="6"/>
  <c r="P30" i="18"/>
  <c r="P16" i="6"/>
  <c r="P22" i="18"/>
  <c r="P96" i="6"/>
  <c r="P97" i="18"/>
  <c r="P27" i="6"/>
  <c r="P51" i="6"/>
  <c r="P60" i="18"/>
  <c r="P71" i="6"/>
  <c r="P95" i="18"/>
  <c r="P15" i="18"/>
  <c r="P87" i="6"/>
  <c r="P83" i="18"/>
  <c r="P60" i="6"/>
  <c r="P40" i="6"/>
  <c r="P68" i="18"/>
  <c r="P59" i="18"/>
  <c r="P81" i="6"/>
  <c r="P23" i="18"/>
  <c r="P88" i="6"/>
  <c r="P37" i="6"/>
  <c r="P28" i="18"/>
  <c r="P25" i="6"/>
  <c r="P67" i="18"/>
  <c r="P61" i="6"/>
  <c r="P27" i="18"/>
  <c r="P56" i="6"/>
  <c r="P79" i="18"/>
  <c r="P48" i="6"/>
  <c r="P64" i="18"/>
  <c r="P92" i="18"/>
  <c r="P85" i="6"/>
  <c r="P89" i="18"/>
  <c r="P45" i="6"/>
  <c r="P73" i="18"/>
  <c r="P20" i="6"/>
  <c r="P57" i="18"/>
  <c r="P65" i="6"/>
  <c r="P41" i="18"/>
  <c r="P79" i="6"/>
  <c r="P18" i="6"/>
  <c r="P25" i="18"/>
  <c r="P14" i="6"/>
  <c r="P58" i="18"/>
  <c r="P42" i="6"/>
  <c r="P31" i="18"/>
  <c r="P52" i="18"/>
  <c r="P70" i="6"/>
  <c r="P94" i="6"/>
  <c r="P19" i="18"/>
  <c r="P29" i="6"/>
  <c r="P84" i="18"/>
  <c r="P23" i="6"/>
  <c r="P55" i="18"/>
  <c r="P15" i="6"/>
  <c r="P44" i="18"/>
  <c r="P47" i="6"/>
  <c r="P14" i="18"/>
  <c r="P32" i="18"/>
  <c r="P49" i="6"/>
  <c r="P64" i="6"/>
  <c r="P94" i="18"/>
  <c r="P50" i="18"/>
  <c r="P17" i="6"/>
  <c r="P38" i="18"/>
  <c r="P89" i="6"/>
  <c r="P26" i="18"/>
  <c r="P32" i="6"/>
  <c r="P18" i="18"/>
  <c r="P41" i="6"/>
  <c r="P56" i="18"/>
  <c r="P31" i="6"/>
  <c r="P67" i="6"/>
  <c r="P36" i="18"/>
  <c r="P83" i="6"/>
  <c r="P43" i="18"/>
  <c r="P77" i="6"/>
  <c r="P71" i="18"/>
  <c r="P76" i="6"/>
  <c r="P76" i="18"/>
  <c r="P21" i="6"/>
  <c r="P11" i="18"/>
  <c r="P80" i="18"/>
  <c r="P57" i="6"/>
  <c r="P72" i="6"/>
  <c r="P87" i="18"/>
  <c r="P52" i="6"/>
  <c r="P75" i="18"/>
  <c r="P92" i="6"/>
  <c r="P24" i="18"/>
  <c r="P93" i="6"/>
  <c r="P99" i="18"/>
  <c r="N98" i="18"/>
  <c r="H49" i="10"/>
  <c r="Q98" i="18" s="1"/>
  <c r="J49" i="10"/>
  <c r="I49" i="10"/>
  <c r="Q44" i="6" l="1"/>
  <c r="N44" i="6"/>
  <c r="H28" i="10"/>
  <c r="H84" i="10"/>
  <c r="H44" i="10"/>
  <c r="H96" i="10"/>
  <c r="H19" i="10"/>
  <c r="H62" i="10"/>
  <c r="H35" i="10"/>
  <c r="H85" i="10"/>
  <c r="H92" i="10"/>
  <c r="H50" i="10"/>
  <c r="H32" i="10"/>
  <c r="H98" i="10"/>
  <c r="H27" i="10"/>
  <c r="H79" i="10"/>
  <c r="H31" i="10"/>
  <c r="H80" i="10"/>
  <c r="H22" i="10"/>
  <c r="H67" i="10"/>
  <c r="H81" i="10"/>
  <c r="H100" i="10"/>
  <c r="H57" i="10"/>
  <c r="H41" i="10"/>
  <c r="H18" i="10"/>
  <c r="H29" i="10"/>
  <c r="H47" i="10"/>
  <c r="H82" i="10"/>
  <c r="H75" i="10"/>
  <c r="H33" i="10"/>
  <c r="H91" i="10"/>
  <c r="H43" i="10"/>
  <c r="H69" i="10"/>
  <c r="H24" i="10"/>
  <c r="H101" i="10"/>
  <c r="H52" i="10"/>
  <c r="H42" i="10"/>
  <c r="H46" i="10"/>
  <c r="H53" i="10"/>
  <c r="H68" i="10"/>
  <c r="H89" i="10"/>
  <c r="H95" i="10"/>
  <c r="H87" i="10"/>
  <c r="H76" i="10"/>
  <c r="H97" i="10"/>
  <c r="H71" i="10"/>
  <c r="H30" i="10"/>
  <c r="H78" i="10"/>
  <c r="H20" i="10"/>
  <c r="H94" i="10"/>
  <c r="H72" i="10"/>
  <c r="H59" i="10"/>
  <c r="H103" i="10"/>
  <c r="H63" i="10"/>
  <c r="H26" i="10"/>
  <c r="H86" i="10"/>
  <c r="H83" i="10"/>
  <c r="H38" i="10"/>
  <c r="H21" i="10"/>
  <c r="H99" i="10"/>
  <c r="H23" i="10"/>
  <c r="H39" i="10"/>
  <c r="H60" i="10"/>
  <c r="H102" i="10"/>
  <c r="H54" i="10"/>
  <c r="H93" i="10"/>
  <c r="H17" i="10"/>
  <c r="H74" i="10"/>
  <c r="H40" i="10"/>
  <c r="H61" i="10"/>
  <c r="H51" i="10"/>
  <c r="H70" i="10"/>
  <c r="H34" i="10"/>
  <c r="H77" i="10"/>
  <c r="H73" i="10"/>
  <c r="H55" i="10"/>
  <c r="H25" i="10"/>
  <c r="H90" i="10"/>
  <c r="H104" i="10"/>
  <c r="H45" i="10"/>
  <c r="H56" i="10"/>
  <c r="H65" i="10"/>
  <c r="G15" i="10"/>
  <c r="H15" i="10" s="1"/>
  <c r="H36" i="10"/>
  <c r="H48" i="10"/>
  <c r="H66" i="10"/>
  <c r="H64" i="10"/>
  <c r="H58" i="10"/>
  <c r="H37" i="10"/>
  <c r="H88" i="10"/>
  <c r="I18" i="10"/>
  <c r="Q31" i="6" l="1"/>
  <c r="Q56" i="18"/>
  <c r="Q10" i="6"/>
  <c r="Q10" i="18"/>
  <c r="Q83" i="18"/>
  <c r="Q60" i="6"/>
  <c r="Q40" i="6"/>
  <c r="Q68" i="18"/>
  <c r="N29" i="18"/>
  <c r="N50" i="6"/>
  <c r="N87" i="18"/>
  <c r="N72" i="6"/>
  <c r="Q66" i="6"/>
  <c r="Q49" i="18"/>
  <c r="Q64" i="6"/>
  <c r="Q94" i="18"/>
  <c r="N77" i="18"/>
  <c r="N38" i="6"/>
  <c r="N55" i="18"/>
  <c r="N23" i="6"/>
  <c r="Q53" i="6"/>
  <c r="Q33" i="18"/>
  <c r="Q59" i="6"/>
  <c r="Q35" i="18"/>
  <c r="N43" i="6"/>
  <c r="N40" i="18"/>
  <c r="N86" i="18"/>
  <c r="N12" i="6"/>
  <c r="N51" i="6"/>
  <c r="N60" i="18"/>
  <c r="Q86" i="18"/>
  <c r="Q12" i="6"/>
  <c r="Q25" i="18"/>
  <c r="Q18" i="6"/>
  <c r="N30" i="18"/>
  <c r="N16" i="6"/>
  <c r="Q53" i="18"/>
  <c r="Q86" i="6"/>
  <c r="N28" i="6"/>
  <c r="N21" i="18"/>
  <c r="N74" i="6"/>
  <c r="N90" i="18"/>
  <c r="N99" i="18"/>
  <c r="N93" i="6"/>
  <c r="N41" i="18"/>
  <c r="N79" i="6"/>
  <c r="N26" i="18"/>
  <c r="N32" i="6"/>
  <c r="N35" i="18"/>
  <c r="N59" i="6"/>
  <c r="Q29" i="6"/>
  <c r="Q84" i="18"/>
  <c r="Q65" i="6"/>
  <c r="Q57" i="18"/>
  <c r="Q56" i="6"/>
  <c r="Q79" i="18"/>
  <c r="Q47" i="18"/>
  <c r="Q69" i="6"/>
  <c r="N18" i="6"/>
  <c r="N25" i="18"/>
  <c r="N38" i="18"/>
  <c r="N89" i="6"/>
  <c r="Q64" i="18"/>
  <c r="Q48" i="6"/>
  <c r="Q61" i="6"/>
  <c r="Q27" i="18"/>
  <c r="Q32" i="18"/>
  <c r="Q49" i="6"/>
  <c r="Q94" i="6"/>
  <c r="Q19" i="18"/>
  <c r="Q34" i="18"/>
  <c r="Q58" i="6"/>
  <c r="N48" i="18"/>
  <c r="N54" i="6"/>
  <c r="N16" i="18"/>
  <c r="N73" i="6"/>
  <c r="N24" i="18"/>
  <c r="N92" i="6"/>
  <c r="N32" i="18"/>
  <c r="N49" i="6"/>
  <c r="N61" i="18"/>
  <c r="N55" i="6"/>
  <c r="Q21" i="6"/>
  <c r="Q11" i="18"/>
  <c r="N51" i="18"/>
  <c r="N98" i="6"/>
  <c r="Q25" i="6"/>
  <c r="Q67" i="18"/>
  <c r="Q65" i="18"/>
  <c r="Q90" i="6"/>
  <c r="N63" i="6"/>
  <c r="N72" i="18"/>
  <c r="H10" i="10"/>
  <c r="H8" i="10" s="1"/>
  <c r="D37" i="10" s="1"/>
  <c r="C37" i="10" s="1"/>
  <c r="N92" i="18"/>
  <c r="N85" i="6"/>
  <c r="Q29" i="18"/>
  <c r="D55" i="10"/>
  <c r="C55" i="10" s="1"/>
  <c r="Q50" i="6"/>
  <c r="N29" i="6"/>
  <c r="N84" i="18"/>
  <c r="N65" i="6"/>
  <c r="N57" i="18"/>
  <c r="N12" i="18"/>
  <c r="N46" i="6"/>
  <c r="N47" i="18"/>
  <c r="N69" i="6"/>
  <c r="N39" i="18"/>
  <c r="N78" i="6"/>
  <c r="N95" i="18"/>
  <c r="N71" i="6"/>
  <c r="N89" i="18"/>
  <c r="N45" i="6"/>
  <c r="Q66" i="18"/>
  <c r="Q80" i="6"/>
  <c r="Q33" i="6"/>
  <c r="Q70" i="18"/>
  <c r="Q36" i="18"/>
  <c r="Q67" i="6"/>
  <c r="Q44" i="18"/>
  <c r="Q15" i="6"/>
  <c r="N25" i="6"/>
  <c r="N67" i="18"/>
  <c r="Q41" i="6"/>
  <c r="Q18" i="18"/>
  <c r="N53" i="18"/>
  <c r="N86" i="6"/>
  <c r="N52" i="18"/>
  <c r="N70" i="6"/>
  <c r="Q77" i="6"/>
  <c r="Q71" i="18"/>
  <c r="N57" i="6"/>
  <c r="N80" i="18"/>
  <c r="Q58" i="18"/>
  <c r="Q14" i="6"/>
  <c r="Q81" i="18"/>
  <c r="Q91" i="6"/>
  <c r="Q83" i="6"/>
  <c r="Q43" i="18"/>
  <c r="N53" i="6"/>
  <c r="N33" i="18"/>
  <c r="N27" i="18"/>
  <c r="N61" i="6"/>
  <c r="N56" i="18"/>
  <c r="N31" i="6"/>
  <c r="N83" i="18"/>
  <c r="N60" i="6"/>
  <c r="N40" i="6"/>
  <c r="N68" i="18"/>
  <c r="Q20" i="18"/>
  <c r="Q99" i="6"/>
  <c r="Q20" i="6"/>
  <c r="Q73" i="18"/>
  <c r="Q37" i="18"/>
  <c r="Q68" i="6"/>
  <c r="N56" i="6"/>
  <c r="N79" i="18"/>
  <c r="Q35" i="6"/>
  <c r="Q46" i="18"/>
  <c r="Q88" i="6"/>
  <c r="Q23" i="18"/>
  <c r="Q85" i="18"/>
  <c r="Q97" i="6"/>
  <c r="Q34" i="6"/>
  <c r="Q74" i="18"/>
  <c r="N19" i="18"/>
  <c r="N94" i="6"/>
  <c r="N70" i="18"/>
  <c r="N33" i="6"/>
  <c r="N59" i="18"/>
  <c r="N81" i="6"/>
  <c r="N36" i="18"/>
  <c r="N67" i="6"/>
  <c r="N15" i="6"/>
  <c r="N44" i="18"/>
  <c r="Q42" i="18"/>
  <c r="Q82" i="6"/>
  <c r="N62" i="18"/>
  <c r="N84" i="6"/>
  <c r="N14" i="18"/>
  <c r="N47" i="6"/>
  <c r="N22" i="18"/>
  <c r="N96" i="6"/>
  <c r="N71" i="18"/>
  <c r="N77" i="6"/>
  <c r="Q42" i="6"/>
  <c r="Q31" i="18"/>
  <c r="N69" i="18"/>
  <c r="N13" i="6"/>
  <c r="N17" i="18"/>
  <c r="N36" i="6"/>
  <c r="N54" i="18"/>
  <c r="N95" i="6"/>
  <c r="N50" i="18"/>
  <c r="N17" i="6"/>
  <c r="N58" i="18"/>
  <c r="N14" i="6"/>
  <c r="N81" i="18"/>
  <c r="N91" i="6"/>
  <c r="Q81" i="6"/>
  <c r="Q59" i="18"/>
  <c r="N11" i="18"/>
  <c r="N21" i="6"/>
  <c r="N34" i="18"/>
  <c r="N58" i="6"/>
  <c r="N66" i="6"/>
  <c r="N49" i="18"/>
  <c r="N65" i="18"/>
  <c r="N90" i="6"/>
  <c r="Q84" i="6"/>
  <c r="Q62" i="18"/>
  <c r="N48" i="6"/>
  <c r="N64" i="18"/>
  <c r="N19" i="6"/>
  <c r="N45" i="18"/>
  <c r="N64" i="6"/>
  <c r="N94" i="18"/>
  <c r="Q69" i="18"/>
  <c r="Q13" i="6"/>
  <c r="Q75" i="18"/>
  <c r="Q52" i="6"/>
  <c r="Q76" i="6"/>
  <c r="Q76" i="18"/>
  <c r="N13" i="18"/>
  <c r="N22" i="6"/>
  <c r="N43" i="18"/>
  <c r="N83" i="6"/>
  <c r="Q26" i="18"/>
  <c r="Q32" i="6"/>
  <c r="Q43" i="6"/>
  <c r="Q40" i="18"/>
  <c r="P10" i="6"/>
  <c r="P10" i="18"/>
  <c r="Q51" i="6"/>
  <c r="Q60" i="18"/>
  <c r="N99" i="6"/>
  <c r="N20" i="18"/>
  <c r="Q92" i="18"/>
  <c r="Q85" i="6"/>
  <c r="N73" i="18"/>
  <c r="N20" i="6"/>
  <c r="N37" i="18"/>
  <c r="N68" i="6"/>
  <c r="Q72" i="6"/>
  <c r="Q87" i="18"/>
  <c r="Q46" i="6"/>
  <c r="Q12" i="18"/>
  <c r="N46" i="18"/>
  <c r="N35" i="6"/>
  <c r="N23" i="18"/>
  <c r="N88" i="6"/>
  <c r="N97" i="6"/>
  <c r="N85" i="18"/>
  <c r="Q55" i="6"/>
  <c r="Q61" i="18"/>
  <c r="N34" i="6"/>
  <c r="N74" i="18"/>
  <c r="Q16" i="6"/>
  <c r="Q30" i="18"/>
  <c r="Q78" i="6"/>
  <c r="Q39" i="18"/>
  <c r="Q98" i="6"/>
  <c r="Q51" i="18"/>
  <c r="Q48" i="18"/>
  <c r="Q54" i="6"/>
  <c r="Q38" i="18"/>
  <c r="Q89" i="6"/>
  <c r="Q16" i="18"/>
  <c r="Q73" i="6"/>
  <c r="Q92" i="6"/>
  <c r="Q24" i="18"/>
  <c r="Q95" i="18"/>
  <c r="Q71" i="6"/>
  <c r="N82" i="6"/>
  <c r="N42" i="18"/>
  <c r="Q63" i="6"/>
  <c r="Q72" i="18"/>
  <c r="N28" i="18"/>
  <c r="N37" i="6"/>
  <c r="Q38" i="6"/>
  <c r="Q77" i="18"/>
  <c r="Q28" i="6"/>
  <c r="Q21" i="18"/>
  <c r="N42" i="6"/>
  <c r="N31" i="18"/>
  <c r="Q96" i="18"/>
  <c r="Q24" i="6"/>
  <c r="N88" i="18"/>
  <c r="N75" i="6"/>
  <c r="Q93" i="6"/>
  <c r="Q99" i="18"/>
  <c r="Q45" i="6"/>
  <c r="Q89" i="18"/>
  <c r="Q41" i="18"/>
  <c r="Q79" i="6"/>
  <c r="Q55" i="18"/>
  <c r="Q23" i="6"/>
  <c r="N52" i="6"/>
  <c r="N75" i="18"/>
  <c r="N76" i="18"/>
  <c r="N76" i="6"/>
  <c r="Q62" i="6"/>
  <c r="Q93" i="18"/>
  <c r="Q91" i="18"/>
  <c r="Q26" i="6"/>
  <c r="Q97" i="18"/>
  <c r="Q27" i="6"/>
  <c r="Q87" i="6"/>
  <c r="Q15" i="18"/>
  <c r="N80" i="6"/>
  <c r="N66" i="18"/>
  <c r="Q30" i="6"/>
  <c r="Q63" i="18"/>
  <c r="Q78" i="18"/>
  <c r="Q39" i="6"/>
  <c r="N18" i="18"/>
  <c r="N41" i="6"/>
  <c r="Q28" i="18"/>
  <c r="Q37" i="6"/>
  <c r="Q14" i="18"/>
  <c r="Q47" i="6"/>
  <c r="Q22" i="18"/>
  <c r="Q96" i="6"/>
  <c r="Q19" i="6"/>
  <c r="Q45" i="18"/>
  <c r="Q70" i="6"/>
  <c r="Q52" i="18"/>
  <c r="N24" i="6"/>
  <c r="N96" i="18"/>
  <c r="Q36" i="6"/>
  <c r="Q17" i="18"/>
  <c r="Q95" i="6"/>
  <c r="Q54" i="18"/>
  <c r="N93" i="18"/>
  <c r="N62" i="6"/>
  <c r="Q17" i="6"/>
  <c r="Q50" i="18"/>
  <c r="Q88" i="18"/>
  <c r="Q75" i="6"/>
  <c r="N26" i="6"/>
  <c r="N91" i="18"/>
  <c r="Q74" i="6"/>
  <c r="Q90" i="18"/>
  <c r="Q22" i="6"/>
  <c r="Q13" i="18"/>
  <c r="N97" i="18"/>
  <c r="N27" i="6"/>
  <c r="N87" i="6"/>
  <c r="N15" i="18"/>
  <c r="N63" i="18"/>
  <c r="N30" i="6"/>
  <c r="Q80" i="18"/>
  <c r="Q57" i="6"/>
  <c r="N39" i="6"/>
  <c r="N78" i="18"/>
  <c r="I45" i="10"/>
  <c r="I58" i="10"/>
  <c r="I17" i="10"/>
  <c r="I26" i="10"/>
  <c r="I57" i="10"/>
  <c r="I77" i="10"/>
  <c r="I52" i="10"/>
  <c r="I101" i="10"/>
  <c r="I27" i="10"/>
  <c r="I40" i="10"/>
  <c r="I103" i="10"/>
  <c r="I28" i="10"/>
  <c r="I41" i="10"/>
  <c r="I100" i="10"/>
  <c r="I80" i="10"/>
  <c r="I70" i="10"/>
  <c r="I104" i="10"/>
  <c r="I59" i="10"/>
  <c r="I67" i="10"/>
  <c r="I71" i="10"/>
  <c r="I19" i="10"/>
  <c r="I33" i="10"/>
  <c r="I72" i="10"/>
  <c r="I23" i="10"/>
  <c r="I91" i="10"/>
  <c r="J61" i="10"/>
  <c r="J74" i="10"/>
  <c r="I53" i="10"/>
  <c r="J63" i="10"/>
  <c r="I63" i="10"/>
  <c r="J26" i="10"/>
  <c r="J95" i="10"/>
  <c r="I85" i="10"/>
  <c r="J20" i="10"/>
  <c r="I82" i="10"/>
  <c r="J19" i="10"/>
  <c r="J87" i="10"/>
  <c r="J57" i="10"/>
  <c r="J93" i="10"/>
  <c r="J96" i="10"/>
  <c r="J88" i="10"/>
  <c r="I48" i="10"/>
  <c r="J90" i="10"/>
  <c r="J51" i="10"/>
  <c r="I60" i="10"/>
  <c r="I21" i="10"/>
  <c r="J103" i="10"/>
  <c r="I97" i="10"/>
  <c r="I68" i="10"/>
  <c r="J68" i="10"/>
  <c r="I43" i="10"/>
  <c r="I29" i="10"/>
  <c r="I50" i="10"/>
  <c r="J28" i="10"/>
  <c r="I32" i="10"/>
  <c r="J32" i="10"/>
  <c r="I35" i="10"/>
  <c r="J35" i="10"/>
  <c r="J44" i="10"/>
  <c r="I42" i="10"/>
  <c r="I75" i="10"/>
  <c r="J75" i="10"/>
  <c r="J41" i="10"/>
  <c r="J80" i="10"/>
  <c r="I79" i="10"/>
  <c r="J27" i="10"/>
  <c r="I62" i="10"/>
  <c r="J42" i="10"/>
  <c r="J99" i="10"/>
  <c r="J82" i="10"/>
  <c r="J30" i="10"/>
  <c r="J65" i="10"/>
  <c r="J53" i="10"/>
  <c r="J85" i="10"/>
  <c r="J66" i="10"/>
  <c r="J38" i="10"/>
  <c r="I96" i="10"/>
  <c r="I86" i="10"/>
  <c r="I83" i="10"/>
  <c r="J50" i="10"/>
  <c r="J36" i="10"/>
  <c r="J31" i="10"/>
  <c r="J71" i="10"/>
  <c r="J79" i="10"/>
  <c r="J62" i="10"/>
  <c r="J91" i="10"/>
  <c r="J64" i="10"/>
  <c r="I34" i="10"/>
  <c r="I61" i="10"/>
  <c r="I74" i="10"/>
  <c r="I54" i="10"/>
  <c r="I99" i="10"/>
  <c r="I55" i="10"/>
  <c r="I38" i="10"/>
  <c r="I20" i="10"/>
  <c r="I46" i="10"/>
  <c r="J104" i="10"/>
  <c r="I25" i="10"/>
  <c r="J102" i="10"/>
  <c r="J39" i="10"/>
  <c r="I87" i="10"/>
  <c r="I89" i="10"/>
  <c r="J18" i="10"/>
  <c r="J56" i="10"/>
  <c r="I90" i="10"/>
  <c r="J77" i="10"/>
  <c r="I51" i="10"/>
  <c r="J60" i="10"/>
  <c r="J84" i="10"/>
  <c r="J21" i="10"/>
  <c r="J92" i="10"/>
  <c r="J59" i="10"/>
  <c r="J101" i="10"/>
  <c r="J76" i="10"/>
  <c r="I24" i="10"/>
  <c r="I44" i="10"/>
  <c r="J100" i="10"/>
  <c r="I22" i="10"/>
  <c r="I69" i="10"/>
  <c r="J23" i="10"/>
  <c r="J73" i="10"/>
  <c r="I102" i="10"/>
  <c r="J37" i="10"/>
  <c r="I56" i="10"/>
  <c r="I94" i="10"/>
  <c r="I92" i="10"/>
  <c r="J52" i="10"/>
  <c r="J24" i="10"/>
  <c r="J22" i="10"/>
  <c r="I36" i="10"/>
  <c r="I65" i="10"/>
  <c r="J58" i="10"/>
  <c r="J69" i="10"/>
  <c r="J45" i="10"/>
  <c r="I64" i="10"/>
  <c r="J17" i="10"/>
  <c r="J34" i="10"/>
  <c r="J70" i="10"/>
  <c r="I66" i="10"/>
  <c r="I30" i="10"/>
  <c r="I95" i="10"/>
  <c r="J55" i="10"/>
  <c r="J46" i="10"/>
  <c r="J25" i="10"/>
  <c r="I73" i="10"/>
  <c r="J40" i="10"/>
  <c r="I93" i="10"/>
  <c r="I39" i="10"/>
  <c r="J47" i="10"/>
  <c r="J86" i="10"/>
  <c r="J89" i="10"/>
  <c r="I81" i="10"/>
  <c r="I37" i="10"/>
  <c r="J94" i="10"/>
  <c r="I78" i="10"/>
  <c r="J97" i="10"/>
  <c r="J98" i="10"/>
  <c r="J29" i="10"/>
  <c r="J43" i="10"/>
  <c r="J33" i="10"/>
  <c r="I84" i="10"/>
  <c r="J67" i="10"/>
  <c r="I31" i="10"/>
  <c r="J54" i="10"/>
  <c r="J72" i="10"/>
  <c r="I88" i="10"/>
  <c r="I47" i="10"/>
  <c r="J81" i="10"/>
  <c r="J48" i="10"/>
  <c r="J83" i="10"/>
  <c r="J78" i="10"/>
  <c r="I76" i="10"/>
  <c r="I98" i="10"/>
  <c r="D56" i="10" l="1"/>
  <c r="C56" i="10" s="1"/>
  <c r="BM51" i="6" s="1"/>
  <c r="CB51" i="6" s="1"/>
  <c r="BI51" i="6" s="1"/>
  <c r="C11" i="3"/>
  <c r="D103" i="10"/>
  <c r="C103" i="10" s="1"/>
  <c r="BM51" i="18" s="1"/>
  <c r="CA51" i="18" s="1"/>
  <c r="BI51" i="18" s="1"/>
  <c r="D93" i="10"/>
  <c r="C93" i="10" s="1"/>
  <c r="BM23" i="18" s="1"/>
  <c r="CA23" i="18" s="1"/>
  <c r="BI23" i="18" s="1"/>
  <c r="D78" i="10"/>
  <c r="C78" i="10" s="1"/>
  <c r="BM16" i="18" s="1"/>
  <c r="CA16" i="18" s="1"/>
  <c r="BI16" i="18" s="1"/>
  <c r="D87" i="10"/>
  <c r="C87" i="10" s="1"/>
  <c r="BM82" i="6" s="1"/>
  <c r="CB82" i="6" s="1"/>
  <c r="BI82" i="6" s="1"/>
  <c r="D20" i="10"/>
  <c r="C20" i="10" s="1"/>
  <c r="BM44" i="18" s="1"/>
  <c r="CA44" i="18" s="1"/>
  <c r="BI44" i="18" s="1"/>
  <c r="D42" i="10"/>
  <c r="C42" i="10" s="1"/>
  <c r="BM37" i="6" s="1"/>
  <c r="CB37" i="6" s="1"/>
  <c r="BI37" i="6" s="1"/>
  <c r="D29" i="10"/>
  <c r="C29" i="10" s="1"/>
  <c r="BM96" i="18" s="1"/>
  <c r="D43" i="10"/>
  <c r="C43" i="10" s="1"/>
  <c r="BM38" i="6" s="1"/>
  <c r="CB38" i="6" s="1"/>
  <c r="BI38" i="6" s="1"/>
  <c r="D82" i="10"/>
  <c r="C82" i="10" s="1"/>
  <c r="BM71" i="18" s="1"/>
  <c r="CA71" i="18" s="1"/>
  <c r="BI71" i="18" s="1"/>
  <c r="D79" i="10"/>
  <c r="C79" i="10" s="1"/>
  <c r="BM90" i="18" s="1"/>
  <c r="CA90" i="18" s="1"/>
  <c r="BI90" i="18" s="1"/>
  <c r="D22" i="10"/>
  <c r="C22" i="10" s="1"/>
  <c r="BM17" i="6" s="1"/>
  <c r="CB17" i="6" s="1"/>
  <c r="BI17" i="6" s="1"/>
  <c r="D32" i="10"/>
  <c r="C32" i="10" s="1"/>
  <c r="BM27" i="6" s="1"/>
  <c r="CB27" i="6" s="1"/>
  <c r="BI27" i="6" s="1"/>
  <c r="D60" i="10"/>
  <c r="C60" i="10" s="1"/>
  <c r="BM55" i="6" s="1"/>
  <c r="CB55" i="6" s="1"/>
  <c r="BI55" i="6" s="1"/>
  <c r="D77" i="10"/>
  <c r="C77" i="10" s="1"/>
  <c r="BM87" i="18" s="1"/>
  <c r="CA87" i="18" s="1"/>
  <c r="BI87" i="18" s="1"/>
  <c r="BM60" i="18"/>
  <c r="CA60" i="18" s="1"/>
  <c r="BI60" i="18" s="1"/>
  <c r="BM50" i="6"/>
  <c r="CB50" i="6" s="1"/>
  <c r="BI50" i="6" s="1"/>
  <c r="BM29" i="18"/>
  <c r="CA29" i="18" s="1"/>
  <c r="BI29" i="18" s="1"/>
  <c r="BM98" i="6"/>
  <c r="CB98" i="6" s="1"/>
  <c r="BI98" i="6" s="1"/>
  <c r="BM26" i="18"/>
  <c r="CA26" i="18" s="1"/>
  <c r="BI26" i="18" s="1"/>
  <c r="BM32" i="6"/>
  <c r="CB32" i="6" s="1"/>
  <c r="BI32" i="6" s="1"/>
  <c r="D16" i="10"/>
  <c r="D49" i="10"/>
  <c r="C49" i="10" s="1"/>
  <c r="D63" i="10"/>
  <c r="C63" i="10" s="1"/>
  <c r="D71" i="10"/>
  <c r="C71" i="10" s="1"/>
  <c r="D101" i="10"/>
  <c r="C101" i="10" s="1"/>
  <c r="D67" i="10"/>
  <c r="C67" i="10" s="1"/>
  <c r="D84" i="10"/>
  <c r="C84" i="10" s="1"/>
  <c r="D50" i="10"/>
  <c r="C50" i="10" s="1"/>
  <c r="D21" i="10"/>
  <c r="C21" i="10" s="1"/>
  <c r="D90" i="10"/>
  <c r="C90" i="10" s="1"/>
  <c r="D88" i="10"/>
  <c r="C88" i="10" s="1"/>
  <c r="D85" i="10"/>
  <c r="C85" i="10" s="1"/>
  <c r="D26" i="10"/>
  <c r="C26" i="10" s="1"/>
  <c r="D99" i="10"/>
  <c r="C99" i="10" s="1"/>
  <c r="D54" i="10"/>
  <c r="C54" i="10" s="1"/>
  <c r="D66" i="10"/>
  <c r="C66" i="10" s="1"/>
  <c r="D91" i="10"/>
  <c r="C91" i="10" s="1"/>
  <c r="D23" i="10"/>
  <c r="C23" i="10" s="1"/>
  <c r="D61" i="10"/>
  <c r="C61" i="10" s="1"/>
  <c r="D17" i="10"/>
  <c r="C17" i="10" s="1"/>
  <c r="D80" i="10"/>
  <c r="C80" i="10" s="1"/>
  <c r="D41" i="10"/>
  <c r="C41" i="10" s="1"/>
  <c r="D52" i="10"/>
  <c r="C52" i="10" s="1"/>
  <c r="D44" i="10"/>
  <c r="C44" i="10" s="1"/>
  <c r="D35" i="10"/>
  <c r="C35" i="10" s="1"/>
  <c r="D92" i="10"/>
  <c r="C92" i="10" s="1"/>
  <c r="D68" i="10"/>
  <c r="C68" i="10" s="1"/>
  <c r="D94" i="10"/>
  <c r="C94" i="10" s="1"/>
  <c r="D59" i="10"/>
  <c r="C59" i="10" s="1"/>
  <c r="D83" i="10"/>
  <c r="C83" i="10" s="1"/>
  <c r="D48" i="10"/>
  <c r="C48" i="10" s="1"/>
  <c r="D81" i="10"/>
  <c r="C81" i="10" s="1"/>
  <c r="D57" i="10"/>
  <c r="C57" i="10" s="1"/>
  <c r="D47" i="10"/>
  <c r="C47" i="10" s="1"/>
  <c r="D39" i="10"/>
  <c r="C39" i="10" s="1"/>
  <c r="D73" i="10"/>
  <c r="C73" i="10" s="1"/>
  <c r="D104" i="10"/>
  <c r="C104" i="10" s="1"/>
  <c r="D19" i="10"/>
  <c r="C19" i="10" s="1"/>
  <c r="D95" i="10"/>
  <c r="C95" i="10" s="1"/>
  <c r="D53" i="10"/>
  <c r="C53" i="10" s="1"/>
  <c r="D70" i="10"/>
  <c r="C70" i="10" s="1"/>
  <c r="D64" i="10"/>
  <c r="C64" i="10" s="1"/>
  <c r="D58" i="10"/>
  <c r="C58" i="10" s="1"/>
  <c r="D69" i="10"/>
  <c r="C69" i="10" s="1"/>
  <c r="D45" i="10"/>
  <c r="C45" i="10" s="1"/>
  <c r="D65" i="10"/>
  <c r="C65" i="10" s="1"/>
  <c r="D30" i="10"/>
  <c r="C30" i="10" s="1"/>
  <c r="D36" i="10"/>
  <c r="C36" i="10" s="1"/>
  <c r="D75" i="10"/>
  <c r="C75" i="10" s="1"/>
  <c r="D62" i="10"/>
  <c r="C62" i="10" s="1"/>
  <c r="D27" i="10"/>
  <c r="C27" i="10" s="1"/>
  <c r="D100" i="10"/>
  <c r="C100" i="10" s="1"/>
  <c r="D24" i="10"/>
  <c r="C24" i="10" s="1"/>
  <c r="D31" i="10"/>
  <c r="C31" i="10" s="1"/>
  <c r="D28" i="10"/>
  <c r="C28" i="10" s="1"/>
  <c r="D98" i="10"/>
  <c r="C98" i="10" s="1"/>
  <c r="D33" i="10"/>
  <c r="C33" i="10" s="1"/>
  <c r="D76" i="10"/>
  <c r="C76" i="10" s="1"/>
  <c r="D97" i="10"/>
  <c r="C97" i="10" s="1"/>
  <c r="D51" i="10"/>
  <c r="C51" i="10" s="1"/>
  <c r="D18" i="10"/>
  <c r="C18" i="10" s="1"/>
  <c r="D89" i="10"/>
  <c r="C89" i="10" s="1"/>
  <c r="D86" i="10"/>
  <c r="C86" i="10" s="1"/>
  <c r="D102" i="10"/>
  <c r="C102" i="10" s="1"/>
  <c r="D40" i="10"/>
  <c r="C40" i="10" s="1"/>
  <c r="D25" i="10"/>
  <c r="C25" i="10" s="1"/>
  <c r="D96" i="10"/>
  <c r="C96" i="10" s="1"/>
  <c r="D46" i="10"/>
  <c r="C46" i="10" s="1"/>
  <c r="D72" i="10"/>
  <c r="C72" i="10" s="1"/>
  <c r="D38" i="10"/>
  <c r="C38" i="10" s="1"/>
  <c r="D74" i="10"/>
  <c r="C74" i="10" s="1"/>
  <c r="D34" i="10"/>
  <c r="C34" i="10" s="1"/>
  <c r="N9" i="6"/>
  <c r="N9" i="18"/>
  <c r="BM73" i="6" l="1"/>
  <c r="CB73" i="6" s="1"/>
  <c r="BI73" i="6" s="1"/>
  <c r="BM77" i="6"/>
  <c r="CB77" i="6" s="1"/>
  <c r="BI77" i="6" s="1"/>
  <c r="BM97" i="18"/>
  <c r="BM42" i="18"/>
  <c r="CA42" i="18" s="1"/>
  <c r="BI42" i="18" s="1"/>
  <c r="BM77" i="18"/>
  <c r="CA77" i="18" s="1"/>
  <c r="BI77" i="18" s="1"/>
  <c r="BM61" i="18"/>
  <c r="CA61" i="18" s="1"/>
  <c r="BI61" i="18" s="1"/>
  <c r="BM15" i="6"/>
  <c r="CB15" i="6" s="1"/>
  <c r="BI15" i="6" s="1"/>
  <c r="BM88" i="6"/>
  <c r="CB88" i="6" s="1"/>
  <c r="BI88" i="6" s="1"/>
  <c r="BM74" i="6"/>
  <c r="CB74" i="6" s="1"/>
  <c r="BI74" i="6" s="1"/>
  <c r="BM50" i="18"/>
  <c r="CA50" i="18" s="1"/>
  <c r="BI50" i="18" s="1"/>
  <c r="BM24" i="6"/>
  <c r="CB24" i="6" s="1"/>
  <c r="BI24" i="6" s="1"/>
  <c r="BM72" i="6"/>
  <c r="CB72" i="6" s="1"/>
  <c r="BI72" i="6" s="1"/>
  <c r="BM28" i="18"/>
  <c r="CA28" i="18" s="1"/>
  <c r="BI28" i="18" s="1"/>
  <c r="BM29" i="6"/>
  <c r="CB29" i="6" s="1"/>
  <c r="BI29" i="6" s="1"/>
  <c r="BM84" i="18"/>
  <c r="CA84" i="18" s="1"/>
  <c r="BI84" i="18" s="1"/>
  <c r="BM12" i="18"/>
  <c r="CA12" i="18" s="1"/>
  <c r="BI12" i="18" s="1"/>
  <c r="BM46" i="6"/>
  <c r="CB46" i="6" s="1"/>
  <c r="BI46" i="6" s="1"/>
  <c r="BM80" i="6"/>
  <c r="CB80" i="6" s="1"/>
  <c r="BI80" i="6" s="1"/>
  <c r="BM66" i="18"/>
  <c r="CA66" i="18" s="1"/>
  <c r="BI66" i="18" s="1"/>
  <c r="BM66" i="6"/>
  <c r="CB66" i="6" s="1"/>
  <c r="BI66" i="6" s="1"/>
  <c r="BM49" i="18"/>
  <c r="CA49" i="18" s="1"/>
  <c r="BI49" i="18" s="1"/>
  <c r="BM47" i="18"/>
  <c r="CA47" i="18" s="1"/>
  <c r="BI47" i="18" s="1"/>
  <c r="BM69" i="6"/>
  <c r="CB69" i="6" s="1"/>
  <c r="BI69" i="6" s="1"/>
  <c r="BM59" i="18"/>
  <c r="CA59" i="18" s="1"/>
  <c r="BI59" i="18" s="1"/>
  <c r="BM81" i="6"/>
  <c r="CB81" i="6" s="1"/>
  <c r="BI81" i="6" s="1"/>
  <c r="BM23" i="6"/>
  <c r="CB23" i="6" s="1"/>
  <c r="BI23" i="6" s="1"/>
  <c r="BM55" i="18"/>
  <c r="CA55" i="18" s="1"/>
  <c r="BI55" i="18" s="1"/>
  <c r="BM25" i="6"/>
  <c r="CB25" i="6" s="1"/>
  <c r="BI25" i="6" s="1"/>
  <c r="BM67" i="18"/>
  <c r="CA67" i="18" s="1"/>
  <c r="BI67" i="18" s="1"/>
  <c r="BM33" i="18"/>
  <c r="CA33" i="18" s="1"/>
  <c r="BI33" i="18" s="1"/>
  <c r="BM53" i="6"/>
  <c r="CB53" i="6" s="1"/>
  <c r="BI53" i="6" s="1"/>
  <c r="BM65" i="18"/>
  <c r="CA65" i="18" s="1"/>
  <c r="BI65" i="18" s="1"/>
  <c r="BM90" i="6"/>
  <c r="CB90" i="6" s="1"/>
  <c r="BI90" i="6" s="1"/>
  <c r="BM34" i="6"/>
  <c r="CB34" i="6" s="1"/>
  <c r="BI34" i="6" s="1"/>
  <c r="BM74" i="18"/>
  <c r="CA74" i="18" s="1"/>
  <c r="BI74" i="18" s="1"/>
  <c r="BM43" i="6"/>
  <c r="CB43" i="6" s="1"/>
  <c r="BI43" i="6" s="1"/>
  <c r="BM40" i="18"/>
  <c r="CA40" i="18" s="1"/>
  <c r="BI40" i="18" s="1"/>
  <c r="BM63" i="6"/>
  <c r="CB63" i="6" s="1"/>
  <c r="BI63" i="6" s="1"/>
  <c r="BM72" i="18"/>
  <c r="CA72" i="18" s="1"/>
  <c r="BI72" i="18" s="1"/>
  <c r="BM14" i="18"/>
  <c r="CA14" i="18" s="1"/>
  <c r="BI14" i="18" s="1"/>
  <c r="BM47" i="6"/>
  <c r="CB47" i="6" s="1"/>
  <c r="BI47" i="6" s="1"/>
  <c r="BM49" i="6"/>
  <c r="CB49" i="6" s="1"/>
  <c r="BI49" i="6" s="1"/>
  <c r="BM32" i="18"/>
  <c r="CA32" i="18" s="1"/>
  <c r="BI32" i="18" s="1"/>
  <c r="BM43" i="18"/>
  <c r="CA43" i="18" s="1"/>
  <c r="BI43" i="18" s="1"/>
  <c r="BM83" i="6"/>
  <c r="CB83" i="6" s="1"/>
  <c r="BI83" i="6" s="1"/>
  <c r="BM79" i="6"/>
  <c r="CB79" i="6" s="1"/>
  <c r="BI79" i="6" s="1"/>
  <c r="BM41" i="18"/>
  <c r="CA41" i="18" s="1"/>
  <c r="BI41" i="18" s="1"/>
  <c r="BM58" i="6"/>
  <c r="CB58" i="6" s="1"/>
  <c r="BI58" i="6" s="1"/>
  <c r="BM34" i="18"/>
  <c r="CA34" i="18" s="1"/>
  <c r="BI34" i="18" s="1"/>
  <c r="BM97" i="6"/>
  <c r="CB97" i="6" s="1"/>
  <c r="BI97" i="6" s="1"/>
  <c r="BM85" i="18"/>
  <c r="CA85" i="18" s="1"/>
  <c r="BI85" i="18" s="1"/>
  <c r="BM54" i="18"/>
  <c r="CA54" i="18" s="1"/>
  <c r="BI54" i="18" s="1"/>
  <c r="BM95" i="6"/>
  <c r="CB95" i="6" s="1"/>
  <c r="BI95" i="6" s="1"/>
  <c r="BM48" i="6"/>
  <c r="CB48" i="6" s="1"/>
  <c r="BI48" i="6" s="1"/>
  <c r="BM64" i="18"/>
  <c r="CA64" i="18" s="1"/>
  <c r="BI64" i="18" s="1"/>
  <c r="BM76" i="6"/>
  <c r="CB76" i="6" s="1"/>
  <c r="BI76" i="6" s="1"/>
  <c r="BM76" i="18"/>
  <c r="CA76" i="18" s="1"/>
  <c r="BI76" i="18" s="1"/>
  <c r="BM78" i="18"/>
  <c r="CA78" i="18" s="1"/>
  <c r="BI78" i="18" s="1"/>
  <c r="BM39" i="6"/>
  <c r="CB39" i="6" s="1"/>
  <c r="BI39" i="6" s="1"/>
  <c r="BM27" i="18"/>
  <c r="CA27" i="18" s="1"/>
  <c r="BI27" i="18" s="1"/>
  <c r="BM61" i="6"/>
  <c r="CB61" i="6" s="1"/>
  <c r="BI61" i="6" s="1"/>
  <c r="BM89" i="18"/>
  <c r="CA89" i="18" s="1"/>
  <c r="BI89" i="18" s="1"/>
  <c r="BM45" i="6"/>
  <c r="CB45" i="6" s="1"/>
  <c r="BI45" i="6" s="1"/>
  <c r="BM91" i="6"/>
  <c r="CB91" i="6" s="1"/>
  <c r="BI91" i="6" s="1"/>
  <c r="BM81" i="18"/>
  <c r="CA81" i="18" s="1"/>
  <c r="BI81" i="18" s="1"/>
  <c r="BM24" i="18"/>
  <c r="CA24" i="18" s="1"/>
  <c r="BI24" i="18" s="1"/>
  <c r="BM92" i="6"/>
  <c r="CB92" i="6" s="1"/>
  <c r="BI92" i="6" s="1"/>
  <c r="BM13" i="18"/>
  <c r="CA13" i="18" s="1"/>
  <c r="BI13" i="18" s="1"/>
  <c r="BM22" i="6"/>
  <c r="CB22" i="6" s="1"/>
  <c r="BI22" i="6" s="1"/>
  <c r="BM33" i="6"/>
  <c r="CB33" i="6" s="1"/>
  <c r="BI33" i="6" s="1"/>
  <c r="BM70" i="18"/>
  <c r="CA70" i="18" s="1"/>
  <c r="BI70" i="18" s="1"/>
  <c r="BM73" i="18"/>
  <c r="CA73" i="18" s="1"/>
  <c r="BI73" i="18" s="1"/>
  <c r="BM20" i="6"/>
  <c r="CB20" i="6" s="1"/>
  <c r="BI20" i="6" s="1"/>
  <c r="BM84" i="6"/>
  <c r="CB84" i="6" s="1"/>
  <c r="BI84" i="6" s="1"/>
  <c r="BM62" i="18"/>
  <c r="CA62" i="18" s="1"/>
  <c r="BI62" i="18" s="1"/>
  <c r="BM95" i="18"/>
  <c r="CA95" i="18" s="1"/>
  <c r="BI95" i="18" s="1"/>
  <c r="BM71" i="6"/>
  <c r="CB71" i="6" s="1"/>
  <c r="BI71" i="6" s="1"/>
  <c r="BM26" i="6"/>
  <c r="CB26" i="6" s="1"/>
  <c r="BI26" i="6" s="1"/>
  <c r="BM91" i="18"/>
  <c r="CA91" i="18" s="1"/>
  <c r="BI91" i="18" s="1"/>
  <c r="BM57" i="6"/>
  <c r="CB57" i="6" s="1"/>
  <c r="BI57" i="6" s="1"/>
  <c r="BM80" i="18"/>
  <c r="CA80" i="18" s="1"/>
  <c r="BI80" i="18" s="1"/>
  <c r="BM83" i="18"/>
  <c r="CA83" i="18" s="1"/>
  <c r="BI83" i="18" s="1"/>
  <c r="BM60" i="6"/>
  <c r="CB60" i="6" s="1"/>
  <c r="BI60" i="6" s="1"/>
  <c r="BM35" i="18"/>
  <c r="CA35" i="18" s="1"/>
  <c r="BI35" i="18" s="1"/>
  <c r="BM59" i="6"/>
  <c r="CB59" i="6" s="1"/>
  <c r="BI59" i="6" s="1"/>
  <c r="BM58" i="18"/>
  <c r="CA58" i="18" s="1"/>
  <c r="BI58" i="18" s="1"/>
  <c r="BM14" i="6"/>
  <c r="CB14" i="6" s="1"/>
  <c r="BI14" i="6" s="1"/>
  <c r="BM31" i="18"/>
  <c r="CA31" i="18" s="1"/>
  <c r="BI31" i="18" s="1"/>
  <c r="BM42" i="6"/>
  <c r="CB42" i="6" s="1"/>
  <c r="BI42" i="6" s="1"/>
  <c r="BM39" i="18"/>
  <c r="CA39" i="18" s="1"/>
  <c r="BI39" i="18" s="1"/>
  <c r="BM78" i="6"/>
  <c r="CB78" i="6" s="1"/>
  <c r="BI78" i="6" s="1"/>
  <c r="BM15" i="18"/>
  <c r="CA15" i="18" s="1"/>
  <c r="BI15" i="18" s="1"/>
  <c r="BM87" i="6"/>
  <c r="CB87" i="6" s="1"/>
  <c r="BI87" i="6" s="1"/>
  <c r="BM36" i="6"/>
  <c r="CB36" i="6" s="1"/>
  <c r="BI36" i="6" s="1"/>
  <c r="BM17" i="18"/>
  <c r="CA17" i="18" s="1"/>
  <c r="BI17" i="18" s="1"/>
  <c r="BM86" i="18"/>
  <c r="CA86" i="18" s="1"/>
  <c r="BI86" i="18" s="1"/>
  <c r="BM12" i="6"/>
  <c r="CB12" i="6" s="1"/>
  <c r="BI12" i="6" s="1"/>
  <c r="BM25" i="18"/>
  <c r="CA25" i="18" s="1"/>
  <c r="BI25" i="18" s="1"/>
  <c r="BM18" i="6"/>
  <c r="CB18" i="6" s="1"/>
  <c r="BI18" i="6" s="1"/>
  <c r="BM94" i="6"/>
  <c r="CB94" i="6" s="1"/>
  <c r="BI94" i="6" s="1"/>
  <c r="BM19" i="18"/>
  <c r="CA19" i="18" s="1"/>
  <c r="BI19" i="18" s="1"/>
  <c r="BM85" i="6"/>
  <c r="CB85" i="6" s="1"/>
  <c r="BI85" i="6" s="1"/>
  <c r="BM92" i="18"/>
  <c r="CA92" i="18" s="1"/>
  <c r="BI92" i="18" s="1"/>
  <c r="B11" i="3"/>
  <c r="BM93" i="18"/>
  <c r="CA93" i="18" s="1"/>
  <c r="BI93" i="18" s="1"/>
  <c r="BM62" i="6"/>
  <c r="CB62" i="6" s="1"/>
  <c r="BI62" i="6" s="1"/>
  <c r="BM98" i="18"/>
  <c r="BM44" i="6"/>
  <c r="CB44" i="6" s="1"/>
  <c r="BI44" i="6" s="1"/>
  <c r="BM18" i="18"/>
  <c r="CA18" i="18" s="1"/>
  <c r="BI18" i="18" s="1"/>
  <c r="BM41" i="6"/>
  <c r="CB41" i="6" s="1"/>
  <c r="BI41" i="6" s="1"/>
  <c r="BM99" i="18"/>
  <c r="BM93" i="6"/>
  <c r="CB93" i="6" s="1"/>
  <c r="BI93" i="6" s="1"/>
  <c r="BM31" i="6"/>
  <c r="CB31" i="6" s="1"/>
  <c r="BI31" i="6" s="1"/>
  <c r="BM56" i="18"/>
  <c r="CA56" i="18" s="1"/>
  <c r="BI56" i="18" s="1"/>
  <c r="BM64" i="6"/>
  <c r="CB64" i="6" s="1"/>
  <c r="BI64" i="6" s="1"/>
  <c r="BM94" i="18"/>
  <c r="CA94" i="18" s="1"/>
  <c r="BI94" i="18" s="1"/>
  <c r="BM37" i="18"/>
  <c r="CA37" i="18" s="1"/>
  <c r="BI37" i="18" s="1"/>
  <c r="BM68" i="6"/>
  <c r="CB68" i="6" s="1"/>
  <c r="BI68" i="6" s="1"/>
  <c r="BM38" i="18"/>
  <c r="CA38" i="18" s="1"/>
  <c r="BI38" i="18" s="1"/>
  <c r="BM89" i="6"/>
  <c r="CB89" i="6" s="1"/>
  <c r="BI89" i="6" s="1"/>
  <c r="BM36" i="18"/>
  <c r="CA36" i="18" s="1"/>
  <c r="BI36" i="18" s="1"/>
  <c r="BM67" i="6"/>
  <c r="CB67" i="6" s="1"/>
  <c r="BI67" i="6" s="1"/>
  <c r="BM46" i="18"/>
  <c r="CA46" i="18" s="1"/>
  <c r="BI46" i="18" s="1"/>
  <c r="BM35" i="6"/>
  <c r="CB35" i="6" s="1"/>
  <c r="BI35" i="6" s="1"/>
  <c r="BM69" i="18"/>
  <c r="CA69" i="18" s="1"/>
  <c r="BI69" i="18" s="1"/>
  <c r="BM13" i="6"/>
  <c r="CB13" i="6" s="1"/>
  <c r="BI13" i="6" s="1"/>
  <c r="BM21" i="18"/>
  <c r="CA21" i="18" s="1"/>
  <c r="BI21" i="18" s="1"/>
  <c r="BM28" i="6"/>
  <c r="CB28" i="6" s="1"/>
  <c r="BI28" i="6" s="1"/>
  <c r="BM19" i="6"/>
  <c r="CB19" i="6" s="1"/>
  <c r="BI19" i="6" s="1"/>
  <c r="BM45" i="18"/>
  <c r="CA45" i="18" s="1"/>
  <c r="BI45" i="18" s="1"/>
  <c r="BM52" i="18"/>
  <c r="CA52" i="18" s="1"/>
  <c r="BI52" i="18" s="1"/>
  <c r="BM70" i="6"/>
  <c r="CB70" i="6" s="1"/>
  <c r="BI70" i="6" s="1"/>
  <c r="BM40" i="6"/>
  <c r="CB40" i="6" s="1"/>
  <c r="BI40" i="6" s="1"/>
  <c r="BM68" i="18"/>
  <c r="CA68" i="18" s="1"/>
  <c r="BI68" i="18" s="1"/>
  <c r="BM65" i="6"/>
  <c r="CB65" i="6" s="1"/>
  <c r="BI65" i="6" s="1"/>
  <c r="BM57" i="18"/>
  <c r="CA57" i="18" s="1"/>
  <c r="BI57" i="18" s="1"/>
  <c r="BM20" i="18"/>
  <c r="CA20" i="18" s="1"/>
  <c r="BI20" i="18" s="1"/>
  <c r="BM99" i="6"/>
  <c r="CB99" i="6" s="1"/>
  <c r="BI99" i="6" s="1"/>
  <c r="BM52" i="6"/>
  <c r="CB52" i="6" s="1"/>
  <c r="BI52" i="6" s="1"/>
  <c r="BM75" i="18"/>
  <c r="CA75" i="18" s="1"/>
  <c r="BI75" i="18" s="1"/>
  <c r="BM54" i="6"/>
  <c r="CB54" i="6" s="1"/>
  <c r="BI54" i="6" s="1"/>
  <c r="BM48" i="18"/>
  <c r="CA48" i="18" s="1"/>
  <c r="BI48" i="18" s="1"/>
  <c r="BM63" i="18"/>
  <c r="CA63" i="18" s="1"/>
  <c r="BI63" i="18" s="1"/>
  <c r="BM30" i="6"/>
  <c r="CB30" i="6" s="1"/>
  <c r="BI30" i="6" s="1"/>
  <c r="BM88" i="18"/>
  <c r="CA88" i="18" s="1"/>
  <c r="BI88" i="18" s="1"/>
  <c r="BM75" i="6"/>
  <c r="CB75" i="6" s="1"/>
  <c r="BI75" i="6" s="1"/>
  <c r="BM56" i="6"/>
  <c r="CB56" i="6" s="1"/>
  <c r="BI56" i="6" s="1"/>
  <c r="BM79" i="18"/>
  <c r="CA79" i="18" s="1"/>
  <c r="BI79" i="18" s="1"/>
  <c r="BM86" i="6"/>
  <c r="CB86" i="6" s="1"/>
  <c r="BI86" i="6" s="1"/>
  <c r="BM53" i="18"/>
  <c r="CA53" i="18" s="1"/>
  <c r="BI53" i="18" s="1"/>
  <c r="BM11" i="18"/>
  <c r="CA11" i="18" s="1"/>
  <c r="BI11" i="18" s="1"/>
  <c r="BM21" i="6"/>
  <c r="CB21" i="6" s="1"/>
  <c r="BI21" i="6" s="1"/>
  <c r="BM16" i="6"/>
  <c r="CB16" i="6" s="1"/>
  <c r="BI16" i="6" s="1"/>
  <c r="BM30" i="18"/>
  <c r="CA30" i="18" s="1"/>
  <c r="BI30" i="18" s="1"/>
  <c r="BM22" i="18"/>
  <c r="CA22" i="18" s="1"/>
  <c r="BI22" i="18" s="1"/>
  <c r="BM96" i="6"/>
  <c r="CB96" i="6" s="1"/>
  <c r="BI96" i="6" s="1"/>
  <c r="C16" i="10"/>
  <c r="BM11" i="6" l="1"/>
  <c r="CB11" i="6" s="1"/>
  <c r="BI11" i="6" s="1"/>
  <c r="BM82" i="18"/>
  <c r="CA82" i="18" s="1"/>
  <c r="BI82" i="18" s="1"/>
  <c r="N82" i="18"/>
  <c r="N11" i="6"/>
  <c r="E15" i="10"/>
  <c r="N10" i="6" s="1"/>
  <c r="N10" i="18" l="1"/>
</calcChain>
</file>

<file path=xl/sharedStrings.xml><?xml version="1.0" encoding="utf-8"?>
<sst xmlns="http://schemas.openxmlformats.org/spreadsheetml/2006/main" count="3605" uniqueCount="680">
  <si>
    <t xml:space="preserve">Субъект Российской Федерации </t>
  </si>
  <si>
    <t>Алтайский край</t>
  </si>
  <si>
    <t>Астраханская область</t>
  </si>
  <si>
    <t>Республика Башкортостан</t>
  </si>
  <si>
    <t>765 приказ</t>
  </si>
  <si>
    <t>КОНТЕЙНЕРНЫЕ ПЛОЩАДКИ</t>
  </si>
  <si>
    <t>Численность населения</t>
  </si>
  <si>
    <t>Факт МНО по ФГИС УТКО</t>
  </si>
  <si>
    <t>Факт МНО по ТС</t>
  </si>
  <si>
    <t>Амурская область</t>
  </si>
  <si>
    <t>Архангельская область</t>
  </si>
  <si>
    <t>Белгородская область</t>
  </si>
  <si>
    <t>Брянская область</t>
  </si>
  <si>
    <t>Владимирская область</t>
  </si>
  <si>
    <t>Волгоградская область</t>
  </si>
  <si>
    <t>Вологодская область</t>
  </si>
  <si>
    <t>Воронежская область</t>
  </si>
  <si>
    <t>г. Москва</t>
  </si>
  <si>
    <t>г. Санкт-Петербург</t>
  </si>
  <si>
    <t>г. Севастополь</t>
  </si>
  <si>
    <t>Еврейская автономная область</t>
  </si>
  <si>
    <t>Забайкальский край</t>
  </si>
  <si>
    <t>Ивановская область</t>
  </si>
  <si>
    <t>Иркутская область</t>
  </si>
  <si>
    <t>Кабардино-Балкарская республика</t>
  </si>
  <si>
    <t>Калининградская область</t>
  </si>
  <si>
    <t>Калужская область</t>
  </si>
  <si>
    <t>Камчатский край</t>
  </si>
  <si>
    <t>Карачаево-Черкесская Республика</t>
  </si>
  <si>
    <t>Кемеровская область - Кузбасс</t>
  </si>
  <si>
    <t>Кировская область</t>
  </si>
  <si>
    <t>Костромская область</t>
  </si>
  <si>
    <t>Краснодарский край</t>
  </si>
  <si>
    <t>Красноярский край</t>
  </si>
  <si>
    <t>Курганская область</t>
  </si>
  <si>
    <t>Курская область</t>
  </si>
  <si>
    <t>Ленинградская область</t>
  </si>
  <si>
    <t>Липецкая область</t>
  </si>
  <si>
    <t>Магаданская область</t>
  </si>
  <si>
    <t>Московская область</t>
  </si>
  <si>
    <t>Мурманская область</t>
  </si>
  <si>
    <t>Ненецкий автономный округ</t>
  </si>
  <si>
    <t>Нижегородская область</t>
  </si>
  <si>
    <t>Новгородская область</t>
  </si>
  <si>
    <t>Новосибирская область</t>
  </si>
  <si>
    <t>Омская область</t>
  </si>
  <si>
    <t>Оренбургская область</t>
  </si>
  <si>
    <t>Орловская область</t>
  </si>
  <si>
    <t>Пензенская область</t>
  </si>
  <si>
    <t>Пермский край</t>
  </si>
  <si>
    <t>Приморский край</t>
  </si>
  <si>
    <t>Псковская область</t>
  </si>
  <si>
    <t>Республика Адыгея</t>
  </si>
  <si>
    <t>Республика Алтай</t>
  </si>
  <si>
    <t>Республика Бурятия</t>
  </si>
  <si>
    <t>Республика Дагестан</t>
  </si>
  <si>
    <t>Республика Ингушетия</t>
  </si>
  <si>
    <t>Республика Калмыкия</t>
  </si>
  <si>
    <t>Республика Карелия</t>
  </si>
  <si>
    <t>Республика Коми</t>
  </si>
  <si>
    <t>Республика Крым</t>
  </si>
  <si>
    <t>Республика Марий Эл</t>
  </si>
  <si>
    <t>Республика Мордовия</t>
  </si>
  <si>
    <t>Республика Саха (Якутия)</t>
  </si>
  <si>
    <t>Республика Северная Осетия - Алания</t>
  </si>
  <si>
    <t>Республика Татарстан</t>
  </si>
  <si>
    <t>Республика Тыва</t>
  </si>
  <si>
    <t>Республика Хакасия</t>
  </si>
  <si>
    <t>Ростовская область</t>
  </si>
  <si>
    <t>Рязанская область</t>
  </si>
  <si>
    <t>Самарская область</t>
  </si>
  <si>
    <t>Саратовская область</t>
  </si>
  <si>
    <t>Сахалинская область</t>
  </si>
  <si>
    <t>Свердловская область</t>
  </si>
  <si>
    <t>Смоленская область</t>
  </si>
  <si>
    <t>Ставропольский край</t>
  </si>
  <si>
    <t>Тамбовская область</t>
  </si>
  <si>
    <t>Тверская область</t>
  </si>
  <si>
    <t>Томская область</t>
  </si>
  <si>
    <t>Тульская область</t>
  </si>
  <si>
    <t>Тюменская область</t>
  </si>
  <si>
    <t>Удмуртская Республика</t>
  </si>
  <si>
    <t>Ульяновская область</t>
  </si>
  <si>
    <t>Хабаровский Край</t>
  </si>
  <si>
    <t>Ханты-Мансийский автономный округ - Югра</t>
  </si>
  <si>
    <t>Челябинская область</t>
  </si>
  <si>
    <t>Чеченская Республика</t>
  </si>
  <si>
    <t>Чувашская Республика - Чувашия</t>
  </si>
  <si>
    <t>Чукотский автономный округ</t>
  </si>
  <si>
    <t>Ямало-Ненецкий автономный округ</t>
  </si>
  <si>
    <t>Ярославская область</t>
  </si>
  <si>
    <t>Факт МНО по ТС на 1000 чел.</t>
  </si>
  <si>
    <t>Критерий красной зоны (мин)</t>
  </si>
  <si>
    <t>Критерий красной зоны (макс)</t>
  </si>
  <si>
    <t>Критерий желтой зоны (мин)</t>
  </si>
  <si>
    <t>Критерий желтой зоны (макс)</t>
  </si>
  <si>
    <t>Вес критерия</t>
  </si>
  <si>
    <t>МНО (макс. УТКО и ТС) на 1000 чел.</t>
  </si>
  <si>
    <t>Штаб ТКО</t>
  </si>
  <si>
    <t>Белые пятна</t>
  </si>
  <si>
    <t>Факт КП по ФГИС УТКО</t>
  </si>
  <si>
    <t>Дефицит КП по данным субъектов РФ</t>
  </si>
  <si>
    <t>Дефицит КП, %</t>
  </si>
  <si>
    <t>Заполнение ФГИС УТКО по МНО</t>
  </si>
  <si>
    <t>МНО (макс. из ТС и ФГИС УТКО)</t>
  </si>
  <si>
    <t>Российская Федерация</t>
  </si>
  <si>
    <t>Субъект Российской Федерации</t>
  </si>
  <si>
    <t>Наполнение ФГИС УТКО (текст)</t>
  </si>
  <si>
    <t>Статистика по МНО (текст)</t>
  </si>
  <si>
    <t>Статистика по КП (текст)</t>
  </si>
  <si>
    <t>Сравнение со средним (текст)</t>
  </si>
  <si>
    <t>Данные требуют проверки</t>
  </si>
  <si>
    <t>Дефицит КП (текст)</t>
  </si>
  <si>
    <t>Выше/Ниже (текст)</t>
  </si>
  <si>
    <t>Индекс КП на 1000 чел.</t>
  </si>
  <si>
    <t>Индекс заполнения ФГИС УТКО</t>
  </si>
  <si>
    <t>Индекс дефицита КП</t>
  </si>
  <si>
    <t>Сводный индекс</t>
  </si>
  <si>
    <t>Светофор</t>
  </si>
  <si>
    <t>Комментарий</t>
  </si>
  <si>
    <t>Комментарий (текст)</t>
  </si>
  <si>
    <t>Отклонение (значение)</t>
  </si>
  <si>
    <t>Текст комментариев:</t>
  </si>
  <si>
    <t>Аномальные данные территориальной схемы</t>
  </si>
  <si>
    <t>Территориальная схема требует корректировки</t>
  </si>
  <si>
    <t>Данные о количестве КП требуют проверки</t>
  </si>
  <si>
    <t>Факт по контейнерам по ФГИС УТКО</t>
  </si>
  <si>
    <t>Факт по контейнерам по ТС</t>
  </si>
  <si>
    <t>Дефицит котейнеров по данным субъектов РФ</t>
  </si>
  <si>
    <t>Контейнеры (макс. из ТС и ФГИС УТКО)</t>
  </si>
  <si>
    <t>Факт контейнеры по ФГИС УТКО на 1000 чел.</t>
  </si>
  <si>
    <t>Факт контейнеры по ТС на 1000 чел.</t>
  </si>
  <si>
    <t>Контейнеры (макс. УТКО и ТС) на 1000 чел.</t>
  </si>
  <si>
    <t>Дефицит контейнеров, %</t>
  </si>
  <si>
    <t>Заполнение ФГИС УТКО по контейнерам</t>
  </si>
  <si>
    <t>Текст в дашборд</t>
  </si>
  <si>
    <t>ОБЕСПЕЧЕННОСТЬ ИНФРАСТРУКТУРОЙ ПО ОБРАБОТКЕ ТКО</t>
  </si>
  <si>
    <t>Доля обработки ТКО в 2028 г.</t>
  </si>
  <si>
    <t>Доля обработки ТКО в 2024 г.</t>
  </si>
  <si>
    <t>Индекс обработки в 2024 г</t>
  </si>
  <si>
    <t>Индекс обработки в 2028 г.</t>
  </si>
  <si>
    <t>ОБЕСПЕЧЕННОСТЬ ИНФРАСТРУКТУРОЙ ПО УТИЛИЗАЦИИ И ОБЕЗВРЕЖИВАНИЮ ТКО</t>
  </si>
  <si>
    <t>Доля утилизации ТКО в 2024 г.</t>
  </si>
  <si>
    <t>Доля утилизации ТКО в 2028 г.</t>
  </si>
  <si>
    <t>Индекс утилизации в 2024 г</t>
  </si>
  <si>
    <t>Индекс утилизации в 2028 г.</t>
  </si>
  <si>
    <t>Доля утилизации в 2024 г.</t>
  </si>
  <si>
    <t>План по утилизации в 2028 г.</t>
  </si>
  <si>
    <t>Доля обработки в 2024 г.</t>
  </si>
  <si>
    <t>План по обработке на 2028 г.</t>
  </si>
  <si>
    <t>Нелегальные объекты</t>
  </si>
  <si>
    <t>Захоронение с превышением мощностей</t>
  </si>
  <si>
    <t>Исчерпание полигонов за 3 года</t>
  </si>
  <si>
    <t>Превышение мощностей</t>
  </si>
  <si>
    <t>Дефицит за 3 года</t>
  </si>
  <si>
    <t>Дорожная карта</t>
  </si>
  <si>
    <t>в разработке</t>
  </si>
  <si>
    <t>не требуется</t>
  </si>
  <si>
    <t>подписана</t>
  </si>
  <si>
    <t>СПЕЦИАЛЬНАЯ ТЕХНИКА</t>
  </si>
  <si>
    <t>Потребность в спецтехнике</t>
  </si>
  <si>
    <t>Дефицит спецтехники</t>
  </si>
  <si>
    <t>Донецкая Народная Республика</t>
  </si>
  <si>
    <t>Запорожская область</t>
  </si>
  <si>
    <t>Кабардино-Балкарская Республика</t>
  </si>
  <si>
    <t>Хабаровский край</t>
  </si>
  <si>
    <t>Херсонская область</t>
  </si>
  <si>
    <t>№</t>
  </si>
  <si>
    <t>Федеральный округ</t>
  </si>
  <si>
    <t>Субъект РФ</t>
  </si>
  <si>
    <t>Наименование РО</t>
  </si>
  <si>
    <t>Наименование зоны</t>
  </si>
  <si>
    <t>Итоговый балл</t>
  </si>
  <si>
    <t>Сибирский</t>
  </si>
  <si>
    <t>ООО "ЭКО-ГАРАНТ"</t>
  </si>
  <si>
    <t>Заринская зона</t>
  </si>
  <si>
    <t>ООО "СПЕЦОБСЛУЖИВАНИЕ ПЛЮС"</t>
  </si>
  <si>
    <t>Бийская зона</t>
  </si>
  <si>
    <t>Дальневосточный</t>
  </si>
  <si>
    <t>Кластер №4</t>
  </si>
  <si>
    <t>ООО "САХ"</t>
  </si>
  <si>
    <t>Кластер №5</t>
  </si>
  <si>
    <t>Южный</t>
  </si>
  <si>
    <t>ООО "ЧИСТАЯ СРЕДА"</t>
  </si>
  <si>
    <t>Зона №2</t>
  </si>
  <si>
    <t>ООО "ЭКОЦЕНТР"</t>
  </si>
  <si>
    <t>Зона №1</t>
  </si>
  <si>
    <t>Центральный</t>
  </si>
  <si>
    <t>ООО "ЦЭБ"</t>
  </si>
  <si>
    <t>Вся территория</t>
  </si>
  <si>
    <t>АО "ЧИСТАЯ ПЛАНЕТА"</t>
  </si>
  <si>
    <t>Зона №1 и Зона №2</t>
  </si>
  <si>
    <t>ООО "БИОТЕХНОЛОГИИ"</t>
  </si>
  <si>
    <t>Владимирской области - Зона №2</t>
  </si>
  <si>
    <t>ООО "ХАРТИЯ"</t>
  </si>
  <si>
    <t>Владимирская область - Зона №1</t>
  </si>
  <si>
    <t>ГУП ВО "ОБЛКОММУНСЕРВИС"</t>
  </si>
  <si>
    <t>Россошанский межмуниципальный кластер</t>
  </si>
  <si>
    <t>Лискинский межмуниципальный кластер</t>
  </si>
  <si>
    <t>АО "ЭКОТЕХНОЛОГИИ"</t>
  </si>
  <si>
    <t>Воронежский межмуниципальный кластер</t>
  </si>
  <si>
    <t>Калачеевский межмуниципальный кластер</t>
  </si>
  <si>
    <t>Богучарский межмуниципальный кластер</t>
  </si>
  <si>
    <t>Борисоглебский межмуниципальный кластер</t>
  </si>
  <si>
    <t>АО "ЭКОТЕХПРОМ"</t>
  </si>
  <si>
    <t>Северо-Западный</t>
  </si>
  <si>
    <t>АО "НЕВСКИЙ ЭКОЛОГИЧЕСКИЙ ОПЕРАТОР"</t>
  </si>
  <si>
    <t>ООО "БГС"</t>
  </si>
  <si>
    <t>ООО "РЕГИОНАЛЬНЫЙ ОПЕРАТОР ПО ОБРАЩЕНИЮ С ТКО"</t>
  </si>
  <si>
    <t>ООО "РТ-НЭО ИРКУТСК"</t>
  </si>
  <si>
    <t>Зона 2 (Юг)</t>
  </si>
  <si>
    <t>ГП КО "ЕСОО"</t>
  </si>
  <si>
    <t>ГП "КРЭО"</t>
  </si>
  <si>
    <t>АО "СПЕЦТРАНС"</t>
  </si>
  <si>
    <t>Вся территория Камчатского края</t>
  </si>
  <si>
    <t>Северо-Кавказский</t>
  </si>
  <si>
    <t>ООО "ЭКОСЕРВИС"</t>
  </si>
  <si>
    <t>ООО "ЧИСТЫЙ ГОРОД КЕМЕРОВО"</t>
  </si>
  <si>
    <t>Кемеровская область - Север</t>
  </si>
  <si>
    <t>Приволжский</t>
  </si>
  <si>
    <t>АО "КУПРИТ"</t>
  </si>
  <si>
    <t>ООО "ЭТМ"</t>
  </si>
  <si>
    <t>ООО "ПОЛИГОН"</t>
  </si>
  <si>
    <t>ООО "СПЕЦТРАНС"</t>
  </si>
  <si>
    <t>Зона №3</t>
  </si>
  <si>
    <t>ООО "ЭКОЮГ"</t>
  </si>
  <si>
    <t>Новороссийская зона</t>
  </si>
  <si>
    <t>ООО "ЭКОТЕХПРОМ"</t>
  </si>
  <si>
    <t>Крымская зона</t>
  </si>
  <si>
    <t>АО "МУСОРОУБОРОЧНАЯ КОМПАНИЯ"</t>
  </si>
  <si>
    <t>Краснодарская зона</t>
  </si>
  <si>
    <t>Тимашевская зона</t>
  </si>
  <si>
    <t>Абинская зона</t>
  </si>
  <si>
    <t>Новокубанская зона</t>
  </si>
  <si>
    <t>ООО "РК"</t>
  </si>
  <si>
    <t>Лесосибирская</t>
  </si>
  <si>
    <t>Рыбинская зона</t>
  </si>
  <si>
    <t>Канско-Абанская</t>
  </si>
  <si>
    <t>ООО "РОСТТЕХ"</t>
  </si>
  <si>
    <t>Зеленогорская</t>
  </si>
  <si>
    <t>Норильская</t>
  </si>
  <si>
    <t>АО "АВТОСПЕЦБАЗА"</t>
  </si>
  <si>
    <t>Северная</t>
  </si>
  <si>
    <t>Таймырская</t>
  </si>
  <si>
    <t>ООО "ЭКО-ТРАНСПОРТ"</t>
  </si>
  <si>
    <t>Назаровская</t>
  </si>
  <si>
    <t>Красноярская правобережная</t>
  </si>
  <si>
    <t>Ачинская</t>
  </si>
  <si>
    <t>Железногорская</t>
  </si>
  <si>
    <t>МУП "УККР"</t>
  </si>
  <si>
    <t>Северо-Енисейская</t>
  </si>
  <si>
    <t>ООО "ЭКОПОЛ"</t>
  </si>
  <si>
    <t>Зона №1 Юго-Западная</t>
  </si>
  <si>
    <t>АО "САБ ПО УБОРКЕ Г. КУРСКА"</t>
  </si>
  <si>
    <t>Зона №2 Северо-Восточная</t>
  </si>
  <si>
    <t>АО "УК ПО ОБРАЩЕНИЮ С ОТХОДАМИ В ЛЕНИНГРАДСКОЙ ОБЛАСТИ"</t>
  </si>
  <si>
    <t>ООО "ТЭКО-СЕРВИС"</t>
  </si>
  <si>
    <t>Елецкая</t>
  </si>
  <si>
    <t>АО "ЭКОПРОМ-ЛИПЕЦК"</t>
  </si>
  <si>
    <t>центральная зона</t>
  </si>
  <si>
    <t>ООО "РМК"</t>
  </si>
  <si>
    <t>Северная зона</t>
  </si>
  <si>
    <t>ООО "ЧИСТЫЙ ГОРОД"</t>
  </si>
  <si>
    <t>Грязинская</t>
  </si>
  <si>
    <t>ООО "МСК-НТ"</t>
  </si>
  <si>
    <t>Московская область - Зона №2 Чеховская</t>
  </si>
  <si>
    <t>ООО "РУЗСКИЙ РО"</t>
  </si>
  <si>
    <t>Зона №3 Рузская</t>
  </si>
  <si>
    <t>ООО "СЕРГИЕВО-ПОСАДСКИЙ РО"</t>
  </si>
  <si>
    <t>Зона №4 Сергиево-Посадская</t>
  </si>
  <si>
    <t>ООО "КАШИРСКИЙ РО"</t>
  </si>
  <si>
    <t>Зона №5 Каширская</t>
  </si>
  <si>
    <t>ООО "ЭКОПРОМСЕРВИС"</t>
  </si>
  <si>
    <t>Алексинская зона</t>
  </si>
  <si>
    <t>ООО "ЭКОЛАЙН-ВОСКРЕСЕНСК"</t>
  </si>
  <si>
    <t>Воскресенский кластер</t>
  </si>
  <si>
    <t>Зона №7 Ногинская</t>
  </si>
  <si>
    <t>АО "СИТИМАТИК"</t>
  </si>
  <si>
    <t>МП ЗР "СЕВЕРЖИЛКОМСЕРВИС", МП ЗР "СЖКС"</t>
  </si>
  <si>
    <t>Вторая зона</t>
  </si>
  <si>
    <t>МУП "КБ И БО"</t>
  </si>
  <si>
    <t>Первая зона</t>
  </si>
  <si>
    <t>ООО "ОРБ НИЖНИЙ"</t>
  </si>
  <si>
    <t>Зона №6 Выксунская</t>
  </si>
  <si>
    <t>Зона №7 Арзамасская</t>
  </si>
  <si>
    <t>АО "СИТИМАТИК - НИЖНИЙ НОВГОРОД"</t>
  </si>
  <si>
    <t>Зона 2 (Балахнинская)</t>
  </si>
  <si>
    <t>ООО "РЕАЛ-КСТОВО"</t>
  </si>
  <si>
    <t>Зона №5 Кстовская</t>
  </si>
  <si>
    <t>Зона 4 (Городецкая)</t>
  </si>
  <si>
    <t>ООО "НИЖЭКОЛОГИЯ-НН"</t>
  </si>
  <si>
    <t>Зона №1 Новоигумновская</t>
  </si>
  <si>
    <t>ООО"СПЕЦТРАНС"</t>
  </si>
  <si>
    <t>МУП "САХ"</t>
  </si>
  <si>
    <t>ООО "ПРИРОДА"</t>
  </si>
  <si>
    <t>ООО "УК "ЗЕЛЕНАЯ РОЩА"</t>
  </si>
  <si>
    <t>ООО "МЕХУБОРКА-ПЕНЗА"</t>
  </si>
  <si>
    <t>Западная</t>
  </si>
  <si>
    <t>ООО "УБО"</t>
  </si>
  <si>
    <t>Восточная</t>
  </si>
  <si>
    <t>Южная</t>
  </si>
  <si>
    <t>КГУП "ПЭО"</t>
  </si>
  <si>
    <t>Единая зона</t>
  </si>
  <si>
    <t>МУП "СПЕЦАВТОХОЗЯЙСТВО ПО УБОРКЕ ГОРОДА"</t>
  </si>
  <si>
    <t>Зона № 1</t>
  </si>
  <si>
    <t>ООО "ЭКОЛОГИЯ Т"</t>
  </si>
  <si>
    <t>№4</t>
  </si>
  <si>
    <t>ООО РО "ЭКО-СИТИ"</t>
  </si>
  <si>
    <t>ООО "ЭКОАЛЬЯНС"</t>
  </si>
  <si>
    <t>ООО "КЭО"</t>
  </si>
  <si>
    <t>ООО "РЕГИОНАЛЬНЫЙ ОПЕРАТОР СЕВЕРА"</t>
  </si>
  <si>
    <t>ООО "АЛЬТФАТЕР КРЫМ"</t>
  </si>
  <si>
    <t>Кластер №2</t>
  </si>
  <si>
    <t>кластер №1</t>
  </si>
  <si>
    <t>кластер №6</t>
  </si>
  <si>
    <t>кластер №3</t>
  </si>
  <si>
    <t>кластер №5</t>
  </si>
  <si>
    <t>кластер №4</t>
  </si>
  <si>
    <t>ООО "РЕМОНДИС САРАНСК"</t>
  </si>
  <si>
    <t>ООО "ЯКУТСКЭКОСЕТИ"</t>
  </si>
  <si>
    <t>Центральная зона</t>
  </si>
  <si>
    <t>МУП "АПП"</t>
  </si>
  <si>
    <t>Алданская зона</t>
  </si>
  <si>
    <t>ООО "ГРИНТА"</t>
  </si>
  <si>
    <t>Восточная зона Республики Татарстан</t>
  </si>
  <si>
    <t>ООО "УК "ПЖКХ"</t>
  </si>
  <si>
    <t>Западная зона</t>
  </si>
  <si>
    <t>ООО "АЭРОСИТИ-2000"</t>
  </si>
  <si>
    <t>Зона № 4</t>
  </si>
  <si>
    <t>ООО "ЭКОГРАД-Н"</t>
  </si>
  <si>
    <t>Новочеркасский МЭОК</t>
  </si>
  <si>
    <t>ООО "ЭКОТРАНС"</t>
  </si>
  <si>
    <t>Неклиновкский МЭОК</t>
  </si>
  <si>
    <t>Волгодонской МЭОК</t>
  </si>
  <si>
    <t>Морозовский МЭОК</t>
  </si>
  <si>
    <t>ООО "ГК "ЧИСТЫЙ ГОРОД"</t>
  </si>
  <si>
    <t>Мясниковский МЭОК</t>
  </si>
  <si>
    <t>АО  "УПРАВЛЕНИЕ ПО ОБРАЩЕНИЮ С ОТХОДАМИ"</t>
  </si>
  <si>
    <t>Сахалинская область - Зона №1</t>
  </si>
  <si>
    <t>Уральский</t>
  </si>
  <si>
    <t>ЕМУП "СПЕЦАВТОБАЗА"</t>
  </si>
  <si>
    <t>Восточное АПО (АПО-3)</t>
  </si>
  <si>
    <t>ООО "КОМПАНИЯ "РИФЕЙ"</t>
  </si>
  <si>
    <t>Северное АПО (АПО-1)</t>
  </si>
  <si>
    <t>Западное АПО (АПО-2)</t>
  </si>
  <si>
    <t>АО "СПЕЦАТХ"</t>
  </si>
  <si>
    <t>ООО "ЖКХ"</t>
  </si>
  <si>
    <t>Зона-2</t>
  </si>
  <si>
    <t>ООО "ЭКОСТРОЙ"</t>
  </si>
  <si>
    <t>Зона-3</t>
  </si>
  <si>
    <t>ООО "КБ"</t>
  </si>
  <si>
    <t>Зона-4</t>
  </si>
  <si>
    <t>АО "ТСК"</t>
  </si>
  <si>
    <t>ООО "ПАРТНЕР"</t>
  </si>
  <si>
    <t>Зона № 2</t>
  </si>
  <si>
    <t>ООО "РИСК"</t>
  </si>
  <si>
    <t>Зона №5</t>
  </si>
  <si>
    <t>ООО "ТРАНССИБ"</t>
  </si>
  <si>
    <t>Тульская область - Зона №2</t>
  </si>
  <si>
    <t>ООО "ТЭО"</t>
  </si>
  <si>
    <t>Территория Тюменской области, за исключением территорий ХМАО-Югры и ЯНАО</t>
  </si>
  <si>
    <t>ООО "УК ЭКОСТАНДАРТ"</t>
  </si>
  <si>
    <t>ООО "ГОРКОМХОЗ"</t>
  </si>
  <si>
    <t>ООО "МЕЖРЕГИОНАЛЬНАЯ ЭКОЛОГИЧЕСКАЯ КОМПАНИЯ"</t>
  </si>
  <si>
    <t>ООО "КОНТРАКТ ПЛЮС"</t>
  </si>
  <si>
    <t>ООО "ХАБАВТОТРАНС ДВ"</t>
  </si>
  <si>
    <t>Зона деятельности № 1</t>
  </si>
  <si>
    <t>ООО "ЗЕНИТ-ДАЛЬНИЙ ВОСТОК"</t>
  </si>
  <si>
    <t>Зона деятельности № 3</t>
  </si>
  <si>
    <t>АО "ЮГРА-ЭКОЛОГИЯ"</t>
  </si>
  <si>
    <t>ООО "ЦКС"</t>
  </si>
  <si>
    <t>Магнитогорский кластер (Кластер №1)</t>
  </si>
  <si>
    <t>Карабашский кластер (Кластер №5)</t>
  </si>
  <si>
    <t>ООО "ЗСТ"</t>
  </si>
  <si>
    <t>Горный кластер (Кластер №4)</t>
  </si>
  <si>
    <t>ООО "СПЕЦСЕРВИС"</t>
  </si>
  <si>
    <t>Кыштымский кластер (Кластер №2)</t>
  </si>
  <si>
    <t>ООО "ОНИКС"</t>
  </si>
  <si>
    <t>ООО "СИТИМАТИК ЧУВАШИЯ"</t>
  </si>
  <si>
    <t>Вся территория (Чувашская Республика - Чувашия)</t>
  </si>
  <si>
    <t>ООО "РТК"</t>
  </si>
  <si>
    <t>Зона №3 - с.п. Марково, Ламутское, Чуванское, Снежное, Ваеги</t>
  </si>
  <si>
    <t>ООО "АНДЕЗИТ"</t>
  </si>
  <si>
    <t>Зона №2 - г.п. Угольные Копи, с. Канчалан, с. Усть-Белая</t>
  </si>
  <si>
    <t>ООО "АТК"</t>
  </si>
  <si>
    <t>Зона №10</t>
  </si>
  <si>
    <t>ООО "ЯМАЛ ЭКОЛОГИЯ"</t>
  </si>
  <si>
    <t>ООО "АВТОТРАНС"</t>
  </si>
  <si>
    <t>Рубцовская зона</t>
  </si>
  <si>
    <t>Каменская зона</t>
  </si>
  <si>
    <t>ООО "ЭКОСОЮЗ"</t>
  </si>
  <si>
    <t>Барнаульская зона</t>
  </si>
  <si>
    <t>Славгородская зона</t>
  </si>
  <si>
    <t>Алейская зона</t>
  </si>
  <si>
    <t>ООО "СПЕЦЭКОМАШ"</t>
  </si>
  <si>
    <t>Кластер №1</t>
  </si>
  <si>
    <t>ООО "ЖЭУ"</t>
  </si>
  <si>
    <t>Кластер №3</t>
  </si>
  <si>
    <t>ООО "АВТОСИТИ"</t>
  </si>
  <si>
    <t>Кластер № 2</t>
  </si>
  <si>
    <t>ООО "ЭКОИНТЕГРАТОР"</t>
  </si>
  <si>
    <t>ООО "ЭКО - ТРАНС"</t>
  </si>
  <si>
    <t>Владимирская область - Зона № 3</t>
  </si>
  <si>
    <t>ООО "ЧИСТЫЙ СЛЕД"</t>
  </si>
  <si>
    <t>ООО "АКВАЛАЙН"</t>
  </si>
  <si>
    <t>Зона №2 Восточная</t>
  </si>
  <si>
    <t>ООО "ВЕГА"</t>
  </si>
  <si>
    <t>Панинский межмуниципальный кластер</t>
  </si>
  <si>
    <t>Бутурлиновский межмуниципальный кластер</t>
  </si>
  <si>
    <t>ГУП ДНР "ДОНСНАБКОМПЛЕКТ"</t>
  </si>
  <si>
    <t>ООО "ДОМ - СТРОЙ"</t>
  </si>
  <si>
    <t>ООО "ОЛЕРОН+"</t>
  </si>
  <si>
    <t>ООО "СРО ТКО"</t>
  </si>
  <si>
    <t>Зона 1 (Север)</t>
  </si>
  <si>
    <t>ООО "ЭКОЛОГИСТИКА"</t>
  </si>
  <si>
    <t>Зона № 3</t>
  </si>
  <si>
    <t>ООО УПРАВЛЯЮЩАЯ КОМПАНИЯ "ГЛОБУС"</t>
  </si>
  <si>
    <t>ООО "ЭКОТЕК"</t>
  </si>
  <si>
    <t>Кемеровская область - Юг</t>
  </si>
  <si>
    <t>АО "КРАЙЖИЛКОМРЕСУРС"</t>
  </si>
  <si>
    <t>Белореченская зона</t>
  </si>
  <si>
    <t>Кореновская зона</t>
  </si>
  <si>
    <t>Тихорецкая зона</t>
  </si>
  <si>
    <t>Мостовская зона</t>
  </si>
  <si>
    <t>Выселковская зона</t>
  </si>
  <si>
    <t>Красноярская левобережная</t>
  </si>
  <si>
    <t>Минусинская</t>
  </si>
  <si>
    <t>ООО "ВОДОСНАБЖЕНИЕ"</t>
  </si>
  <si>
    <t>Омсукчанский ГО</t>
  </si>
  <si>
    <t>ООО "РЕГИОНАЛЬНЫЙ ОПЕРАТОР "МАГАДАНСКИЙ"</t>
  </si>
  <si>
    <t>город Магадан</t>
  </si>
  <si>
    <t>МУП "ТЭС"</t>
  </si>
  <si>
    <t>Сусуманский городской округ</t>
  </si>
  <si>
    <t>ООО "СПЕЦТРАНС-ОЛА"</t>
  </si>
  <si>
    <t>Ольский ГО</t>
  </si>
  <si>
    <t>МУП "ТЕНЬКАЭКОРЕСУРС"</t>
  </si>
  <si>
    <t>Седьмая зона "Тенькинский городской округ"</t>
  </si>
  <si>
    <t>МУП "КОМЭНЕРГО"</t>
  </si>
  <si>
    <t>Хасынский муниципальный округ</t>
  </si>
  <si>
    <t>ООО "СИТИЛЮКС 52"</t>
  </si>
  <si>
    <t>Зона №3 Богородская</t>
  </si>
  <si>
    <t>Зона №8 Сергачская</t>
  </si>
  <si>
    <t>Зона №9 (Уренская)</t>
  </si>
  <si>
    <t>ООО "ЭКОСИТИ"</t>
  </si>
  <si>
    <t>Зона №4</t>
  </si>
  <si>
    <t>ООО "МАГНИТ"</t>
  </si>
  <si>
    <t>АО "ПРО ТКО"</t>
  </si>
  <si>
    <t>ООО "ЭКОГРУПП"</t>
  </si>
  <si>
    <t>АУ "КЫЗЫЛ-ОЗЕК-СЕРВИС"</t>
  </si>
  <si>
    <t>АПО-1</t>
  </si>
  <si>
    <t>ООО "ВОСТОК"</t>
  </si>
  <si>
    <t>АПО-3</t>
  </si>
  <si>
    <t>Зона деятельности №4+</t>
  </si>
  <si>
    <t>МАУ "ГОРСЕРВИС"</t>
  </si>
  <si>
    <t>Дербентская территориальная зона</t>
  </si>
  <si>
    <t>ООО "БЛАГОУСТРОЙСТВО-1"</t>
  </si>
  <si>
    <t>Хасавюртовская территориальная зона</t>
  </si>
  <si>
    <t>ООО "ЭКОСИСТЕМА"</t>
  </si>
  <si>
    <t>ООО "СПЕЦАВТОХОЗЯЙСТВО"</t>
  </si>
  <si>
    <t>ООО "БЛАГОУСТРОЙСТВО"</t>
  </si>
  <si>
    <t>Зона деятельности №2</t>
  </si>
  <si>
    <t>Зона деятельности №1</t>
  </si>
  <si>
    <t>ООО "ЭКОЛОГИЧЕСКИЕ СИСТЕМЫ ЯКУТИИ"</t>
  </si>
  <si>
    <t>Центрально-восточная зона</t>
  </si>
  <si>
    <t>МУП "ПЕРЕРАБОТЧИК"</t>
  </si>
  <si>
    <t>Нерюнгринская зона</t>
  </si>
  <si>
    <t>ООО УК "ЖКХ"</t>
  </si>
  <si>
    <t>Верхневилюйская зона</t>
  </si>
  <si>
    <t>ООО "САЙДАМ"</t>
  </si>
  <si>
    <t>Вилюйская зона</t>
  </si>
  <si>
    <t>АО "КИРОВСКИЙ УГОЛЬНЫЙ РАЗРЕЗ"</t>
  </si>
  <si>
    <t>Нюрбинская зона</t>
  </si>
  <si>
    <t>ООО "ПРОФИ"</t>
  </si>
  <si>
    <t>Ленская зона</t>
  </si>
  <si>
    <t>ГУП "ЖКХ РС (Я)"</t>
  </si>
  <si>
    <t>Арктическая зона</t>
  </si>
  <si>
    <t>ООО "УК КОМФОРТ"</t>
  </si>
  <si>
    <t>Олекминская зона</t>
  </si>
  <si>
    <t>ООО "ЭРА"</t>
  </si>
  <si>
    <t>ГУП "ТСП"</t>
  </si>
  <si>
    <t>Зона №1 Восточная</t>
  </si>
  <si>
    <t>Зона №2 Западная</t>
  </si>
  <si>
    <t>Зона № 5</t>
  </si>
  <si>
    <t>ООО "ЭКОСТРОЙ-ДОН"</t>
  </si>
  <si>
    <t>Красносулинский МЭОК</t>
  </si>
  <si>
    <t>Миллеровский МЭОК</t>
  </si>
  <si>
    <t>Сальский МЭОК</t>
  </si>
  <si>
    <t>ООО "ЭКО-ПРОНСК"</t>
  </si>
  <si>
    <t>ООО "ЭКОСТРОЙРЕСУРС"</t>
  </si>
  <si>
    <t>ООО "ЭКО-СИТИ"</t>
  </si>
  <si>
    <t>зона-1</t>
  </si>
  <si>
    <t>ООО "ТСАХ"</t>
  </si>
  <si>
    <t>ООО "АБФ СИСТЕМА"</t>
  </si>
  <si>
    <t>Зона №8</t>
  </si>
  <si>
    <t>ООО "АБФ ЛОГИСТИК"</t>
  </si>
  <si>
    <t>Зона №6</t>
  </si>
  <si>
    <t>УМП "СПЕЦАВТОХОЗЯЙСТВО Г. ТОМСКА"</t>
  </si>
  <si>
    <t>Зона №7</t>
  </si>
  <si>
    <t>ООО "МАГИСТРАЛЬ"</t>
  </si>
  <si>
    <t>Зона деятельности № 8</t>
  </si>
  <si>
    <t>Государственное бюджетное учреждение Херсонской области "Экологический оператор Херсонской области"</t>
  </si>
  <si>
    <t>Челябинский кластер (Кластер №3)</t>
  </si>
  <si>
    <t>МУП ЖКХ "ИУЛЬТИНСКОЕ"</t>
  </si>
  <si>
    <t>Зона №19</t>
  </si>
  <si>
    <t>Зона №22</t>
  </si>
  <si>
    <t>МУП "АЙСБЕРГ"</t>
  </si>
  <si>
    <t>Зона №24</t>
  </si>
  <si>
    <t>МП ЖКХ БИЛИБИНСКОГО МУНИЦИПАЛЬНОГО РАЙОНА</t>
  </si>
  <si>
    <t>Зона №9 - Островное</t>
  </si>
  <si>
    <t>Зона №23</t>
  </si>
  <si>
    <t>Зона №6 - г. Билибино, с Кепервеем</t>
  </si>
  <si>
    <t>Зона №20</t>
  </si>
  <si>
    <t>МП "ЧРКХ"</t>
  </si>
  <si>
    <t>Зона №14 - с. Рыткучи</t>
  </si>
  <si>
    <t>Зона №12 - с. Биллингс</t>
  </si>
  <si>
    <t>Зона №13 - г. Певек</t>
  </si>
  <si>
    <t>Зона №7 - с. Илирней</t>
  </si>
  <si>
    <t>Зона №5 - с. Анюйск</t>
  </si>
  <si>
    <t>Зона №8 - Омолон</t>
  </si>
  <si>
    <t>Зона №21</t>
  </si>
  <si>
    <t>Зона №11 - с. Айон</t>
  </si>
  <si>
    <t>СМУП "КОММУНАЛЬНИК"</t>
  </si>
  <si>
    <t>Среднеканский ГО</t>
  </si>
  <si>
    <t>МБУ "СЕВЕРО-ЭВЕНСКИЙ ОЦ"</t>
  </si>
  <si>
    <t>Северо-Эвенский городской округ</t>
  </si>
  <si>
    <t>ООО "ЖИЛКОМСЕРВИС"</t>
  </si>
  <si>
    <t>Сунтарская зона</t>
  </si>
  <si>
    <t>ООО УК "АЙХАЛЦЕНТР"</t>
  </si>
  <si>
    <t>Мирнинская зона</t>
  </si>
  <si>
    <t>ГУП "ЭкологияРесурс" Минприроды Запорожской области</t>
  </si>
  <si>
    <t>зона деятельности регионального оператора №1</t>
  </si>
  <si>
    <t>Староминская зона</t>
  </si>
  <si>
    <t>ООО "ЯГОДНИНСКИЙ РЕГИОНАЛЬНЫЙ ОПЕРАТОР ПО ОБРАЩЕНИЮ С ТВЁРДЫМИ КОММУНАЛЬНЫМИ ОТХОДАМИ"</t>
  </si>
  <si>
    <t>АПО-2</t>
  </si>
  <si>
    <t>Махачкалинская территориальная зона</t>
  </si>
  <si>
    <t>ООО "СЕРВИС ГРУПП"</t>
  </si>
  <si>
    <t>Зона №1 - пгт. Беринговский, с. Алькатваам</t>
  </si>
  <si>
    <t>Зона №15</t>
  </si>
  <si>
    <t>Зона №4 - с. Мейныпильгыно, с. Хатырка</t>
  </si>
  <si>
    <t>желтая зона</t>
  </si>
  <si>
    <t>красная зона</t>
  </si>
  <si>
    <t>ДЕЯТЕЛЬНОСТЬ РЕГИОНАЛЬНЫХ ОПЕРАТОРОВ</t>
  </si>
  <si>
    <t>Региональные операторы в желтой зоне</t>
  </si>
  <si>
    <t>Региональные операторы в красной зоне</t>
  </si>
  <si>
    <t>Региональные операторы в зеленой зоне</t>
  </si>
  <si>
    <t>Региональные операторы всего</t>
  </si>
  <si>
    <t>Текст для дашборда</t>
  </si>
  <si>
    <t>Дорожные карты</t>
  </si>
  <si>
    <t>Дорожные карты по МНО и контейнерам</t>
  </si>
  <si>
    <t>на обсуждении</t>
  </si>
  <si>
    <t>Дорожная карта (текст)</t>
  </si>
  <si>
    <t>Текст по ДК для дашборда</t>
  </si>
  <si>
    <t>Дорожные карты (текст)</t>
  </si>
  <si>
    <t>СОЗДАНИЕ ШТАБА</t>
  </si>
  <si>
    <t>Руководитель штаба</t>
  </si>
  <si>
    <t>губернатор</t>
  </si>
  <si>
    <t>не создан</t>
  </si>
  <si>
    <t>ДОРОЖНЫЕ КАРТЫ ПО ИНВЕСТИЦИОННЫМ ПРОЕКТАМ</t>
  </si>
  <si>
    <t>Дорожные карты по инвестпроектам</t>
  </si>
  <si>
    <t>Отставание по дорожной карте</t>
  </si>
  <si>
    <t>не подписана</t>
  </si>
  <si>
    <t>существенное</t>
  </si>
  <si>
    <t>среднее</t>
  </si>
  <si>
    <t>нет</t>
  </si>
  <si>
    <t>Светофор по штабу</t>
  </si>
  <si>
    <t>Светофор по зонам РО</t>
  </si>
  <si>
    <t>Светофор по ДК по РО</t>
  </si>
  <si>
    <t>Индекс по ДК</t>
  </si>
  <si>
    <t>Светофор по спецтехнике</t>
  </si>
  <si>
    <t>Светофор по ДК по МНО</t>
  </si>
  <si>
    <t>Светофор по захоронению</t>
  </si>
  <si>
    <t>Светофор по ДК по инвест. проектам</t>
  </si>
  <si>
    <t>Индекс по дорожной карте</t>
  </si>
  <si>
    <t>Дата</t>
  </si>
  <si>
    <t>Ответственный</t>
  </si>
  <si>
    <t>Региональные операторы (текст)</t>
  </si>
  <si>
    <t>Дефицит спецтехники (текст)</t>
  </si>
  <si>
    <t>Общий светофор</t>
  </si>
  <si>
    <t>Общий индекс</t>
  </si>
  <si>
    <t>Макрушин</t>
  </si>
  <si>
    <t>Донецкая народная республика</t>
  </si>
  <si>
    <t>Луганская народная республика</t>
  </si>
  <si>
    <t>СВОДНАЯ ИНФОРМАЦИЯ ПО СУБЪЕКТАМ РОСССИЙСКОЙ ФЕДЕРАЦИИ</t>
  </si>
  <si>
    <t>Кудрявцева</t>
  </si>
  <si>
    <t>План</t>
  </si>
  <si>
    <t>Факт</t>
  </si>
  <si>
    <t>Шитов</t>
  </si>
  <si>
    <t>Панфилов</t>
  </si>
  <si>
    <t>Кузнецов</t>
  </si>
  <si>
    <t>выборы</t>
  </si>
  <si>
    <t>не губернатор</t>
  </si>
  <si>
    <t>Дубовский</t>
  </si>
  <si>
    <t>Отставание минимальное</t>
  </si>
  <si>
    <t>Отставание максимальное</t>
  </si>
  <si>
    <t>Отставание среднее</t>
  </si>
  <si>
    <t>Голованова</t>
  </si>
  <si>
    <t>небольшое</t>
  </si>
  <si>
    <t>Факт КП по ФГИС УТКО на 1000 чел.</t>
  </si>
  <si>
    <t>Светофор по КП на 1000 чел.</t>
  </si>
  <si>
    <t>Светофор по дефициту КП</t>
  </si>
  <si>
    <t>Светофор по наполнению ФГИС УТКО</t>
  </si>
  <si>
    <t>Светофор по дефициту контейнеров</t>
  </si>
  <si>
    <t>Губернатор</t>
  </si>
  <si>
    <t>Не губернатор</t>
  </si>
  <si>
    <t>Не создан</t>
  </si>
  <si>
    <t>Выборы</t>
  </si>
  <si>
    <t>Обеспеченность инфраструктурой 
по обращению с ТКО</t>
  </si>
  <si>
    <t>Светофор по контейнерам на 1000 чел.</t>
  </si>
  <si>
    <t>Светофор по обработке 2028</t>
  </si>
  <si>
    <t>Светофор по обработке 2024</t>
  </si>
  <si>
    <t>Светофор по утилизации 2028</t>
  </si>
  <si>
    <t>Светофор по утилизации 2024</t>
  </si>
  <si>
    <t>Индекс дефицита контейнеров</t>
  </si>
  <si>
    <t>Направлено в ППК РЭО</t>
  </si>
  <si>
    <t>Согласовано ППК РЭО</t>
  </si>
  <si>
    <t>Одобрено штабом</t>
  </si>
  <si>
    <t>Всего по Российской Федерации</t>
  </si>
  <si>
    <t>Красная/Желтая/Зеленая зоны</t>
  </si>
  <si>
    <t>Отклонение (дефицит)</t>
  </si>
  <si>
    <t>Дефицит в %</t>
  </si>
  <si>
    <t xml:space="preserve">План МНО </t>
  </si>
  <si>
    <t xml:space="preserve">План контейнеры </t>
  </si>
  <si>
    <t>Факт 2024</t>
  </si>
  <si>
    <t>Доля ТКО, направленных на обработку</t>
  </si>
  <si>
    <t>План 2028</t>
  </si>
  <si>
    <t>Взаимодействие с потребителями</t>
  </si>
  <si>
    <t>Деятельность региональных операторов</t>
  </si>
  <si>
    <t>Обеспеченность специальной техникой</t>
  </si>
  <si>
    <t>Количество специальной техники</t>
  </si>
  <si>
    <t>Количество контейнеров</t>
  </si>
  <si>
    <t>Количество контейнерых площадок</t>
  </si>
  <si>
    <t>На 1000 человек</t>
  </si>
  <si>
    <t xml:space="preserve">Заполение ФГИС УТКО </t>
  </si>
  <si>
    <t>Сравнение с РФ (2024)</t>
  </si>
  <si>
    <t>Сравнение с РФ (2028)</t>
  </si>
  <si>
    <t>Обеспеченность инфраструктурой по накоплению ТКО</t>
  </si>
  <si>
    <t>Захоронение ТКО</t>
  </si>
  <si>
    <t>Риски нарушений</t>
  </si>
  <si>
    <t>Утверждена Напр. в МПР</t>
  </si>
  <si>
    <t>Отставание по ДК</t>
  </si>
  <si>
    <t>месяцев</t>
  </si>
  <si>
    <t>Зоны риска по деятельности региональных операторов</t>
  </si>
  <si>
    <t>План,
 штук</t>
  </si>
  <si>
    <t>Факт, 
штук</t>
  </si>
  <si>
    <t>Сообщений в РЭО-Радар</t>
  </si>
  <si>
    <t>ОБЕСПЕЧЕННОСТЬ ИНФРАСТРУКТУРОЙ ПО ЗАХОРОНЕНИЮ ТКО</t>
  </si>
  <si>
    <t xml:space="preserve">Предписания </t>
  </si>
  <si>
    <t>на 1000 человек</t>
  </si>
  <si>
    <t>Доля ТКО, направленных на захоронение</t>
  </si>
  <si>
    <t>Дорожная карта (до 1.11.2024)</t>
  </si>
  <si>
    <t>Дорожная карта  (до 1.11.2024)</t>
  </si>
  <si>
    <t>Дорожная карта  (до 15.10.2024)</t>
  </si>
  <si>
    <t>Зоны риска по состоянию на 01.10.2024</t>
  </si>
  <si>
    <t>СФО</t>
  </si>
  <si>
    <t>ДФО</t>
  </si>
  <si>
    <t>СЗФО</t>
  </si>
  <si>
    <t>ЮФО</t>
  </si>
  <si>
    <t>ЦФО</t>
  </si>
  <si>
    <t>СКФО</t>
  </si>
  <si>
    <t>ПФО</t>
  </si>
  <si>
    <t>УФО</t>
  </si>
  <si>
    <t>Динамика с 01.10.2024</t>
  </si>
  <si>
    <t>Динамика от 01.10.2024</t>
  </si>
  <si>
    <t>Информация
о сообщениях, поступивших в цифровой сервис 
«РЭО Радар» с 01.01.2024 по 06.10.2024 в разрезе субъектов РФ</t>
  </si>
  <si>
    <t>№ п/п</t>
  </si>
  <si>
    <t>Общий итог</t>
  </si>
  <si>
    <t>Свердловская обл.</t>
  </si>
  <si>
    <t>Чеченская республика</t>
  </si>
  <si>
    <t>Всего по субъектам РФ</t>
  </si>
  <si>
    <t>Всего поступило, 
в т.ч. местоположение не отпределилось</t>
  </si>
  <si>
    <t>ОБРАЩЕНИЯ В РЭО-РАДАР</t>
  </si>
  <si>
    <t>Количество обращений</t>
  </si>
  <si>
    <t>Количество обращений на 1000 чел.</t>
  </si>
  <si>
    <t>Нестерова</t>
  </si>
  <si>
    <t>Светофор по Радару</t>
  </si>
  <si>
    <t>0%%</t>
  </si>
  <si>
    <t>АО "КРЫМЭКОРЕСУРСЫ"</t>
  </si>
  <si>
    <t>Ягоднинский МО</t>
  </si>
  <si>
    <t>МБУ "БЛАГОУСТРОЙСТВО Г. МАХАЧКАЛЫ"</t>
  </si>
  <si>
    <t>Доля ТКО, направленных на утилизацию, обезвреживание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</si>
</sst>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0.0"/>
    <numFmt numFmtId="166" formatCode="0%;\-0%;0%"/>
    <numFmt numFmtId="167" formatCode="0.0%"/>
  </numFmts>
  <fonts count="21"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 (Основной текст)"/>
      <charset val="204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 (Основной текст)"/>
      <charset val="204"/>
    </font>
    <font>
      <sz val="12"/>
      <color rgb="FF000000"/>
      <name val="Calibri (Основной текст)"/>
      <charset val="204"/>
    </font>
    <font>
      <sz val="11"/>
      <name val="Calibri"/>
      <family val="2"/>
      <charset val="204"/>
      <scheme val="minor"/>
    </font>
    <font>
      <sz val="9"/>
      <name val="DejaVu Sans"/>
      <charset val="204"/>
    </font>
    <font>
      <sz val="11"/>
      <name val="Calibri"/>
      <family val="2"/>
      <scheme val="minor"/>
    </font>
    <font>
      <sz val="9"/>
      <name val="DejaVu Sans"/>
    </font>
    <font>
      <sz val="12"/>
      <color rgb="FF000000"/>
      <name val="Calibri"/>
      <family val="2"/>
      <scheme val="minor"/>
    </font>
    <font>
      <sz val="8"/>
      <name val="Calibri"/>
      <family val="2"/>
      <charset val="204"/>
      <scheme val="minor"/>
    </font>
    <font>
      <b/>
      <sz val="12"/>
      <color rgb="FF000000"/>
      <name val="Calibri"/>
      <family val="2"/>
      <scheme val="minor"/>
    </font>
    <font>
      <sz val="10"/>
      <color theme="1"/>
      <name val="Liberation Sans"/>
    </font>
    <font>
      <sz val="10"/>
      <name val="Times New Roman"/>
      <family val="1"/>
      <charset val="204"/>
    </font>
    <font>
      <b/>
      <sz val="11"/>
      <color theme="1"/>
      <name val="Circe"/>
      <family val="2"/>
      <charset val="204"/>
    </font>
    <font>
      <sz val="11"/>
      <color theme="1"/>
      <name val="Circe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0">
    <xf numFmtId="0" fontId="0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7" fillId="0" borderId="0"/>
    <xf numFmtId="0" fontId="17" fillId="0" borderId="0"/>
    <xf numFmtId="164" fontId="17" fillId="0" borderId="0" applyFont="0" applyFill="0" applyBorder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9" fontId="5" fillId="0" borderId="0" applyFont="0" applyFill="0" applyBorder="0" applyAlignment="0" applyProtection="0"/>
    <xf numFmtId="0" fontId="1" fillId="0" borderId="0"/>
  </cellStyleXfs>
  <cellXfs count="385">
    <xf numFmtId="0" fontId="0" fillId="0" borderId="0" xfId="0"/>
    <xf numFmtId="0" fontId="2" fillId="0" borderId="0" xfId="0" applyFont="1"/>
    <xf numFmtId="0" fontId="4" fillId="0" borderId="0" xfId="0" applyFont="1"/>
    <xf numFmtId="165" fontId="4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9" fontId="4" fillId="0" borderId="0" xfId="2" applyFont="1" applyAlignment="1">
      <alignment horizontal="center"/>
    </xf>
    <xf numFmtId="0" fontId="6" fillId="0" borderId="0" xfId="0" applyFont="1"/>
    <xf numFmtId="0" fontId="8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 vertical="top" wrapText="1"/>
    </xf>
    <xf numFmtId="0" fontId="3" fillId="0" borderId="0" xfId="0" applyFont="1" applyAlignment="1">
      <alignment vertical="top" wrapText="1"/>
    </xf>
    <xf numFmtId="0" fontId="9" fillId="0" borderId="0" xfId="0" applyFont="1"/>
    <xf numFmtId="1" fontId="3" fillId="0" borderId="0" xfId="0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9" fontId="3" fillId="0" borderId="0" xfId="2" applyFont="1" applyAlignment="1">
      <alignment horizontal="center"/>
    </xf>
    <xf numFmtId="0" fontId="3" fillId="0" borderId="0" xfId="0" applyFont="1" applyAlignment="1">
      <alignment horizontal="right"/>
    </xf>
    <xf numFmtId="9" fontId="3" fillId="0" borderId="0" xfId="0" applyNumberFormat="1" applyFont="1" applyAlignment="1">
      <alignment horizontal="right"/>
    </xf>
    <xf numFmtId="1" fontId="3" fillId="0" borderId="0" xfId="0" applyNumberFormat="1" applyFont="1" applyAlignment="1">
      <alignment horizontal="center" vertical="top" wrapText="1"/>
    </xf>
    <xf numFmtId="165" fontId="3" fillId="0" borderId="0" xfId="0" applyNumberFormat="1" applyFont="1" applyAlignment="1">
      <alignment horizontal="center" vertical="top" wrapText="1"/>
    </xf>
    <xf numFmtId="1" fontId="9" fillId="0" borderId="0" xfId="2" applyNumberFormat="1" applyFont="1" applyFill="1" applyBorder="1" applyAlignment="1">
      <alignment wrapText="1"/>
    </xf>
    <xf numFmtId="3" fontId="9" fillId="0" borderId="0" xfId="1" applyNumberFormat="1" applyFont="1" applyFill="1" applyBorder="1" applyAlignment="1">
      <alignment wrapText="1"/>
    </xf>
    <xf numFmtId="165" fontId="9" fillId="0" borderId="0" xfId="1" applyNumberFormat="1" applyFont="1" applyFill="1" applyBorder="1" applyAlignment="1">
      <alignment wrapText="1"/>
    </xf>
    <xf numFmtId="9" fontId="9" fillId="0" borderId="0" xfId="2" applyFont="1" applyFill="1" applyBorder="1" applyAlignment="1">
      <alignment wrapText="1"/>
    </xf>
    <xf numFmtId="165" fontId="9" fillId="0" borderId="0" xfId="2" applyNumberFormat="1" applyFont="1" applyFill="1" applyBorder="1" applyAlignment="1">
      <alignment wrapText="1"/>
    </xf>
    <xf numFmtId="0" fontId="3" fillId="0" borderId="0" xfId="0" applyFont="1" applyAlignment="1">
      <alignment horizontal="left"/>
    </xf>
    <xf numFmtId="9" fontId="3" fillId="0" borderId="0" xfId="0" applyNumberFormat="1" applyFont="1" applyAlignment="1">
      <alignment horizontal="center"/>
    </xf>
    <xf numFmtId="9" fontId="3" fillId="0" borderId="0" xfId="2" applyFont="1" applyAlignment="1">
      <alignment horizontal="center" vertical="top" wrapText="1"/>
    </xf>
    <xf numFmtId="0" fontId="10" fillId="0" borderId="1" xfId="3" applyFont="1" applyBorder="1" applyAlignment="1">
      <alignment horizontal="center" vertical="center"/>
    </xf>
    <xf numFmtId="0" fontId="11" fillId="0" borderId="1" xfId="3" applyFont="1" applyBorder="1" applyAlignment="1">
      <alignment horizontal="center" vertical="center" wrapText="1" shrinkToFit="1" readingOrder="1"/>
    </xf>
    <xf numFmtId="14" fontId="11" fillId="0" borderId="1" xfId="3" applyNumberFormat="1" applyFont="1" applyBorder="1" applyAlignment="1">
      <alignment horizontal="center" vertical="center" wrapText="1" shrinkToFit="1" readingOrder="1"/>
    </xf>
    <xf numFmtId="0" fontId="12" fillId="0" borderId="0" xfId="3" applyFont="1"/>
    <xf numFmtId="0" fontId="13" fillId="0" borderId="1" xfId="3" applyFont="1" applyBorder="1" applyAlignment="1">
      <alignment horizontal="center" vertical="top" wrapText="1" shrinkToFit="1" readingOrder="1"/>
    </xf>
    <xf numFmtId="49" fontId="13" fillId="0" borderId="1" xfId="3" applyNumberFormat="1" applyFont="1" applyBorder="1" applyAlignment="1">
      <alignment horizontal="center" vertical="top" wrapText="1" shrinkToFit="1" readingOrder="1"/>
    </xf>
    <xf numFmtId="0" fontId="12" fillId="0" borderId="0" xfId="3" applyFont="1" applyAlignment="1">
      <alignment vertical="top"/>
    </xf>
    <xf numFmtId="0" fontId="12" fillId="0" borderId="0" xfId="3" applyFont="1" applyAlignment="1">
      <alignment horizontal="center"/>
    </xf>
    <xf numFmtId="0" fontId="7" fillId="2" borderId="0" xfId="3" applyFill="1" applyAlignment="1">
      <alignment horizontal="center" vertical="top"/>
    </xf>
    <xf numFmtId="0" fontId="12" fillId="2" borderId="0" xfId="3" applyFont="1" applyFill="1" applyAlignment="1">
      <alignment vertical="top"/>
    </xf>
    <xf numFmtId="1" fontId="3" fillId="0" borderId="0" xfId="0" applyNumberFormat="1" applyFont="1" applyAlignment="1">
      <alignment horizontal="center" vertical="center"/>
    </xf>
    <xf numFmtId="9" fontId="3" fillId="0" borderId="0" xfId="2" applyFont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1" fontId="9" fillId="0" borderId="0" xfId="2" applyNumberFormat="1" applyFont="1" applyFill="1" applyBorder="1" applyAlignment="1">
      <alignment horizontal="center" vertical="center" wrapText="1"/>
    </xf>
    <xf numFmtId="1" fontId="9" fillId="2" borderId="0" xfId="2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vertical="top" wrapText="1"/>
    </xf>
    <xf numFmtId="1" fontId="4" fillId="0" borderId="0" xfId="0" applyNumberFormat="1" applyFont="1" applyAlignment="1">
      <alignment horizontal="center" vertical="top" wrapText="1"/>
    </xf>
    <xf numFmtId="1" fontId="14" fillId="0" borderId="0" xfId="2" applyNumberFormat="1" applyFont="1" applyFill="1" applyBorder="1" applyAlignment="1">
      <alignment wrapText="1"/>
    </xf>
    <xf numFmtId="1" fontId="14" fillId="0" borderId="0" xfId="2" applyNumberFormat="1" applyFont="1" applyFill="1" applyBorder="1" applyAlignment="1">
      <alignment horizontal="center" wrapText="1"/>
    </xf>
    <xf numFmtId="1" fontId="14" fillId="0" borderId="0" xfId="2" applyNumberFormat="1" applyFont="1" applyFill="1" applyBorder="1" applyAlignment="1">
      <alignment horizontal="right" wrapText="1"/>
    </xf>
    <xf numFmtId="0" fontId="14" fillId="0" borderId="0" xfId="0" applyFont="1"/>
    <xf numFmtId="9" fontId="9" fillId="2" borderId="0" xfId="2" applyFont="1" applyFill="1" applyBorder="1" applyAlignment="1">
      <alignment wrapText="1"/>
    </xf>
    <xf numFmtId="1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165" fontId="8" fillId="0" borderId="0" xfId="0" applyNumberFormat="1" applyFont="1" applyAlignment="1">
      <alignment horizontal="center"/>
    </xf>
    <xf numFmtId="3" fontId="9" fillId="2" borderId="0" xfId="1" applyNumberFormat="1" applyFont="1" applyFill="1" applyBorder="1" applyAlignment="1">
      <alignment wrapText="1"/>
    </xf>
    <xf numFmtId="3" fontId="3" fillId="2" borderId="0" xfId="0" applyNumberFormat="1" applyFont="1" applyFill="1"/>
    <xf numFmtId="1" fontId="9" fillId="2" borderId="0" xfId="2" applyNumberFormat="1" applyFont="1" applyFill="1" applyBorder="1" applyAlignment="1">
      <alignment wrapText="1"/>
    </xf>
    <xf numFmtId="0" fontId="3" fillId="2" borderId="0" xfId="0" applyFont="1" applyFill="1" applyAlignment="1">
      <alignment horizontal="center"/>
    </xf>
    <xf numFmtId="0" fontId="0" fillId="2" borderId="0" xfId="0" applyFill="1"/>
    <xf numFmtId="14" fontId="3" fillId="0" borderId="0" xfId="0" applyNumberFormat="1" applyFont="1" applyAlignment="1">
      <alignment horizontal="center"/>
    </xf>
    <xf numFmtId="165" fontId="9" fillId="3" borderId="0" xfId="2" applyNumberFormat="1" applyFont="1" applyFill="1" applyBorder="1" applyAlignment="1">
      <alignment wrapText="1"/>
    </xf>
    <xf numFmtId="1" fontId="8" fillId="0" borderId="0" xfId="0" applyNumberFormat="1" applyFont="1" applyAlignment="1">
      <alignment horizontal="left"/>
    </xf>
    <xf numFmtId="14" fontId="3" fillId="0" borderId="0" xfId="0" applyNumberFormat="1" applyFont="1" applyAlignment="1">
      <alignment horizontal="left"/>
    </xf>
    <xf numFmtId="9" fontId="3" fillId="0" borderId="0" xfId="2" applyFont="1" applyFill="1" applyAlignment="1">
      <alignment horizontal="center"/>
    </xf>
    <xf numFmtId="166" fontId="0" fillId="0" borderId="0" xfId="0" applyNumberFormat="1" applyAlignment="1">
      <alignment horizontal="center" wrapText="1"/>
    </xf>
    <xf numFmtId="0" fontId="0" fillId="0" borderId="0" xfId="0" applyAlignment="1">
      <alignment horizontal="center"/>
    </xf>
    <xf numFmtId="1" fontId="9" fillId="3" borderId="0" xfId="2" applyNumberFormat="1" applyFont="1" applyFill="1" applyBorder="1" applyAlignment="1">
      <alignment wrapText="1"/>
    </xf>
    <xf numFmtId="0" fontId="3" fillId="2" borderId="0" xfId="0" applyFont="1" applyFill="1"/>
    <xf numFmtId="165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3" fontId="9" fillId="0" borderId="0" xfId="1" applyNumberFormat="1" applyFont="1" applyFill="1" applyBorder="1" applyAlignment="1">
      <alignment horizontal="center" vertical="center" wrapText="1"/>
    </xf>
    <xf numFmtId="9" fontId="3" fillId="0" borderId="0" xfId="0" applyNumberFormat="1" applyFont="1" applyAlignment="1">
      <alignment horizontal="center" vertical="center"/>
    </xf>
    <xf numFmtId="1" fontId="14" fillId="7" borderId="0" xfId="0" applyNumberFormat="1" applyFont="1" applyFill="1" applyAlignment="1">
      <alignment horizontal="center" vertical="center" wrapText="1"/>
    </xf>
    <xf numFmtId="9" fontId="3" fillId="5" borderId="1" xfId="2" applyFont="1" applyFill="1" applyBorder="1" applyAlignment="1">
      <alignment horizontal="center"/>
    </xf>
    <xf numFmtId="9" fontId="3" fillId="6" borderId="1" xfId="2" applyFont="1" applyFill="1" applyBorder="1" applyAlignment="1">
      <alignment horizontal="center"/>
    </xf>
    <xf numFmtId="9" fontId="3" fillId="4" borderId="1" xfId="2" applyFont="1" applyFill="1" applyBorder="1" applyAlignment="1">
      <alignment horizontal="center"/>
    </xf>
    <xf numFmtId="9" fontId="3" fillId="6" borderId="8" xfId="2" applyFont="1" applyFill="1" applyBorder="1" applyAlignment="1">
      <alignment horizontal="center"/>
    </xf>
    <xf numFmtId="9" fontId="3" fillId="6" borderId="5" xfId="2" applyFont="1" applyFill="1" applyBorder="1" applyAlignment="1">
      <alignment horizontal="center"/>
    </xf>
    <xf numFmtId="9" fontId="3" fillId="4" borderId="5" xfId="2" applyFont="1" applyFill="1" applyBorder="1" applyAlignment="1">
      <alignment horizontal="center"/>
    </xf>
    <xf numFmtId="9" fontId="3" fillId="5" borderId="5" xfId="2" applyFont="1" applyFill="1" applyBorder="1" applyAlignment="1">
      <alignment horizontal="center"/>
    </xf>
    <xf numFmtId="9" fontId="3" fillId="6" borderId="7" xfId="2" applyFont="1" applyFill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1" fontId="8" fillId="0" borderId="0" xfId="0" applyNumberFormat="1" applyFont="1" applyAlignment="1">
      <alignment horizontal="center" vertical="center" wrapText="1"/>
    </xf>
    <xf numFmtId="3" fontId="3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3" fillId="0" borderId="0" xfId="0" applyNumberFormat="1" applyFont="1"/>
    <xf numFmtId="3" fontId="3" fillId="0" borderId="0" xfId="0" applyNumberFormat="1" applyFont="1" applyAlignment="1">
      <alignment horizontal="center" vertical="top" wrapText="1"/>
    </xf>
    <xf numFmtId="167" fontId="3" fillId="0" borderId="0" xfId="0" applyNumberFormat="1" applyFont="1" applyAlignment="1">
      <alignment horizontal="center"/>
    </xf>
    <xf numFmtId="0" fontId="3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center" vertical="top" wrapText="1"/>
    </xf>
    <xf numFmtId="3" fontId="3" fillId="0" borderId="1" xfId="0" applyNumberFormat="1" applyFont="1" applyBorder="1" applyAlignment="1">
      <alignment horizontal="center" vertical="top" wrapText="1"/>
    </xf>
    <xf numFmtId="167" fontId="3" fillId="0" borderId="1" xfId="0" applyNumberFormat="1" applyFont="1" applyBorder="1" applyAlignment="1">
      <alignment horizontal="center" vertical="top" wrapText="1"/>
    </xf>
    <xf numFmtId="0" fontId="3" fillId="0" borderId="1" xfId="0" applyFont="1" applyBorder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0" fontId="3" fillId="0" borderId="4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5" fontId="3" fillId="0" borderId="14" xfId="0" applyNumberFormat="1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 vertical="center" wrapText="1"/>
    </xf>
    <xf numFmtId="3" fontId="8" fillId="0" borderId="8" xfId="0" applyNumberFormat="1" applyFont="1" applyBorder="1" applyAlignment="1">
      <alignment horizontal="center" vertical="center" wrapText="1"/>
    </xf>
    <xf numFmtId="167" fontId="8" fillId="0" borderId="8" xfId="2" applyNumberFormat="1" applyFont="1" applyFill="1" applyBorder="1" applyAlignment="1">
      <alignment horizontal="center" vertical="center" wrapText="1"/>
    </xf>
    <xf numFmtId="165" fontId="8" fillId="0" borderId="8" xfId="0" applyNumberFormat="1" applyFont="1" applyBorder="1" applyAlignment="1">
      <alignment horizontal="center" vertical="center"/>
    </xf>
    <xf numFmtId="9" fontId="8" fillId="0" borderId="8" xfId="0" applyNumberFormat="1" applyFont="1" applyBorder="1" applyAlignment="1">
      <alignment horizontal="center" vertical="center" wrapText="1"/>
    </xf>
    <xf numFmtId="1" fontId="8" fillId="0" borderId="9" xfId="0" applyNumberFormat="1" applyFont="1" applyBorder="1" applyAlignment="1">
      <alignment horizontal="center" vertical="center" wrapText="1"/>
    </xf>
    <xf numFmtId="1" fontId="8" fillId="0" borderId="14" xfId="0" applyNumberFormat="1" applyFont="1" applyBorder="1" applyAlignment="1">
      <alignment horizontal="center" vertical="center" wrapText="1"/>
    </xf>
    <xf numFmtId="1" fontId="8" fillId="0" borderId="15" xfId="0" applyNumberFormat="1" applyFont="1" applyBorder="1" applyAlignment="1">
      <alignment horizontal="center" vertical="center" wrapText="1"/>
    </xf>
    <xf numFmtId="0" fontId="3" fillId="0" borderId="23" xfId="0" applyFont="1" applyBorder="1" applyAlignment="1">
      <alignment horizontal="center" vertical="top" wrapText="1"/>
    </xf>
    <xf numFmtId="1" fontId="8" fillId="0" borderId="24" xfId="0" applyNumberFormat="1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5" xfId="0" applyFont="1" applyBorder="1" applyAlignment="1">
      <alignment horizontal="center" vertical="top" wrapText="1"/>
    </xf>
    <xf numFmtId="1" fontId="8" fillId="0" borderId="19" xfId="0" applyNumberFormat="1" applyFont="1" applyBorder="1" applyAlignment="1">
      <alignment horizontal="center" vertical="center" wrapText="1"/>
    </xf>
    <xf numFmtId="1" fontId="8" fillId="0" borderId="7" xfId="0" applyNumberFormat="1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1" fontId="8" fillId="0" borderId="26" xfId="0" applyNumberFormat="1" applyFont="1" applyBorder="1" applyAlignment="1">
      <alignment horizontal="center" vertical="center" wrapText="1"/>
    </xf>
    <xf numFmtId="1" fontId="8" fillId="0" borderId="27" xfId="0" applyNumberFormat="1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 vertical="center" wrapText="1"/>
    </xf>
    <xf numFmtId="9" fontId="8" fillId="0" borderId="24" xfId="0" applyNumberFormat="1" applyFont="1" applyBorder="1" applyAlignment="1">
      <alignment horizontal="center" vertical="center" wrapText="1"/>
    </xf>
    <xf numFmtId="0" fontId="3" fillId="0" borderId="29" xfId="0" applyFont="1" applyBorder="1" applyAlignment="1">
      <alignment horizontal="center" vertical="top" wrapText="1"/>
    </xf>
    <xf numFmtId="1" fontId="8" fillId="0" borderId="3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11" xfId="0" applyFont="1" applyBorder="1" applyAlignment="1">
      <alignment horizontal="center" vertical="top" wrapText="1"/>
    </xf>
    <xf numFmtId="9" fontId="8" fillId="0" borderId="13" xfId="0" applyNumberFormat="1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3" fillId="0" borderId="33" xfId="0" applyFont="1" applyBorder="1" applyAlignment="1">
      <alignment vertical="center" wrapText="1"/>
    </xf>
    <xf numFmtId="1" fontId="8" fillId="0" borderId="32" xfId="0" applyNumberFormat="1" applyFont="1" applyBorder="1" applyAlignment="1">
      <alignment horizontal="center" vertical="center" wrapText="1"/>
    </xf>
    <xf numFmtId="1" fontId="8" fillId="0" borderId="13" xfId="0" applyNumberFormat="1" applyFont="1" applyBorder="1" applyAlignment="1">
      <alignment horizontal="center" vertical="center" wrapText="1"/>
    </xf>
    <xf numFmtId="1" fontId="8" fillId="0" borderId="12" xfId="0" applyNumberFormat="1" applyFont="1" applyBorder="1" applyAlignment="1">
      <alignment horizontal="center" vertical="center" wrapText="1"/>
    </xf>
    <xf numFmtId="3" fontId="3" fillId="0" borderId="5" xfId="0" applyNumberFormat="1" applyFont="1" applyBorder="1" applyAlignment="1">
      <alignment horizontal="center" vertical="top" wrapText="1"/>
    </xf>
    <xf numFmtId="167" fontId="3" fillId="0" borderId="6" xfId="0" applyNumberFormat="1" applyFont="1" applyBorder="1" applyAlignment="1">
      <alignment horizontal="center" vertical="top" wrapText="1"/>
    </xf>
    <xf numFmtId="3" fontId="8" fillId="0" borderId="7" xfId="0" applyNumberFormat="1" applyFont="1" applyBorder="1" applyAlignment="1">
      <alignment horizontal="center" vertical="center" wrapText="1"/>
    </xf>
    <xf numFmtId="167" fontId="8" fillId="0" borderId="9" xfId="2" applyNumberFormat="1" applyFont="1" applyFill="1" applyBorder="1" applyAlignment="1">
      <alignment horizontal="center" vertical="center" wrapText="1"/>
    </xf>
    <xf numFmtId="9" fontId="8" fillId="0" borderId="9" xfId="2" applyFont="1" applyFill="1" applyBorder="1" applyAlignment="1">
      <alignment horizontal="center" vertical="center"/>
    </xf>
    <xf numFmtId="9" fontId="3" fillId="0" borderId="15" xfId="0" applyNumberFormat="1" applyFont="1" applyBorder="1" applyAlignment="1">
      <alignment horizontal="center"/>
    </xf>
    <xf numFmtId="9" fontId="3" fillId="0" borderId="6" xfId="0" applyNumberFormat="1" applyFont="1" applyBorder="1" applyAlignment="1">
      <alignment horizontal="center"/>
    </xf>
    <xf numFmtId="9" fontId="3" fillId="0" borderId="9" xfId="0" applyNumberFormat="1" applyFont="1" applyBorder="1" applyAlignment="1">
      <alignment horizontal="center"/>
    </xf>
    <xf numFmtId="9" fontId="8" fillId="0" borderId="9" xfId="0" applyNumberFormat="1" applyFont="1" applyBorder="1" applyAlignment="1">
      <alignment horizontal="center" vertical="center"/>
    </xf>
    <xf numFmtId="9" fontId="8" fillId="0" borderId="30" xfId="0" applyNumberFormat="1" applyFont="1" applyBorder="1" applyAlignment="1">
      <alignment horizontal="center" vertical="center" wrapText="1"/>
    </xf>
    <xf numFmtId="9" fontId="8" fillId="0" borderId="7" xfId="0" applyNumberFormat="1" applyFont="1" applyBorder="1" applyAlignment="1">
      <alignment horizontal="center" vertical="center" wrapText="1"/>
    </xf>
    <xf numFmtId="9" fontId="8" fillId="0" borderId="9" xfId="0" applyNumberFormat="1" applyFont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/>
    </xf>
    <xf numFmtId="3" fontId="3" fillId="6" borderId="5" xfId="1" applyNumberFormat="1" applyFont="1" applyFill="1" applyBorder="1" applyAlignment="1">
      <alignment horizontal="center"/>
    </xf>
    <xf numFmtId="3" fontId="3" fillId="5" borderId="5" xfId="1" applyNumberFormat="1" applyFont="1" applyFill="1" applyBorder="1" applyAlignment="1">
      <alignment horizontal="center"/>
    </xf>
    <xf numFmtId="3" fontId="3" fillId="4" borderId="5" xfId="1" applyNumberFormat="1" applyFont="1" applyFill="1" applyBorder="1" applyAlignment="1">
      <alignment horizontal="center"/>
    </xf>
    <xf numFmtId="3" fontId="3" fillId="6" borderId="1" xfId="1" applyNumberFormat="1" applyFont="1" applyFill="1" applyBorder="1" applyAlignment="1">
      <alignment horizontal="center"/>
    </xf>
    <xf numFmtId="3" fontId="3" fillId="5" borderId="1" xfId="1" applyNumberFormat="1" applyFont="1" applyFill="1" applyBorder="1" applyAlignment="1">
      <alignment horizontal="center"/>
    </xf>
    <xf numFmtId="3" fontId="3" fillId="4" borderId="1" xfId="1" applyNumberFormat="1" applyFont="1" applyFill="1" applyBorder="1" applyAlignment="1">
      <alignment horizontal="center"/>
    </xf>
    <xf numFmtId="167" fontId="3" fillId="6" borderId="6" xfId="2" applyNumberFormat="1" applyFont="1" applyFill="1" applyBorder="1" applyAlignment="1">
      <alignment horizontal="center"/>
    </xf>
    <xf numFmtId="167" fontId="3" fillId="5" borderId="6" xfId="2" applyNumberFormat="1" applyFont="1" applyFill="1" applyBorder="1" applyAlignment="1">
      <alignment horizontal="center"/>
    </xf>
    <xf numFmtId="167" fontId="3" fillId="4" borderId="6" xfId="2" applyNumberFormat="1" applyFont="1" applyFill="1" applyBorder="1" applyAlignment="1">
      <alignment horizontal="center"/>
    </xf>
    <xf numFmtId="167" fontId="3" fillId="5" borderId="1" xfId="2" applyNumberFormat="1" applyFont="1" applyFill="1" applyBorder="1" applyAlignment="1">
      <alignment horizontal="center"/>
    </xf>
    <xf numFmtId="167" fontId="3" fillId="6" borderId="1" xfId="2" applyNumberFormat="1" applyFont="1" applyFill="1" applyBorder="1" applyAlignment="1">
      <alignment horizontal="center"/>
    </xf>
    <xf numFmtId="167" fontId="3" fillId="4" borderId="1" xfId="2" applyNumberFormat="1" applyFont="1" applyFill="1" applyBorder="1" applyAlignment="1">
      <alignment horizontal="center"/>
    </xf>
    <xf numFmtId="9" fontId="3" fillId="6" borderId="14" xfId="2" applyFont="1" applyFill="1" applyBorder="1" applyAlignment="1">
      <alignment horizontal="center"/>
    </xf>
    <xf numFmtId="9" fontId="3" fillId="6" borderId="15" xfId="2" applyFont="1" applyFill="1" applyBorder="1" applyAlignment="1">
      <alignment horizontal="center"/>
    </xf>
    <xf numFmtId="9" fontId="3" fillId="4" borderId="6" xfId="2" applyFont="1" applyFill="1" applyBorder="1" applyAlignment="1">
      <alignment horizontal="center"/>
    </xf>
    <xf numFmtId="9" fontId="3" fillId="6" borderId="6" xfId="2" applyFont="1" applyFill="1" applyBorder="1" applyAlignment="1">
      <alignment horizontal="center"/>
    </xf>
    <xf numFmtId="9" fontId="3" fillId="5" borderId="6" xfId="2" applyFont="1" applyFill="1" applyBorder="1" applyAlignment="1">
      <alignment horizontal="center"/>
    </xf>
    <xf numFmtId="9" fontId="3" fillId="4" borderId="29" xfId="2" applyFont="1" applyFill="1" applyBorder="1" applyAlignment="1">
      <alignment horizontal="center"/>
    </xf>
    <xf numFmtId="9" fontId="3" fillId="5" borderId="29" xfId="2" applyFont="1" applyFill="1" applyBorder="1" applyAlignment="1">
      <alignment horizontal="center"/>
    </xf>
    <xf numFmtId="9" fontId="3" fillId="6" borderId="29" xfId="2" applyFont="1" applyFill="1" applyBorder="1" applyAlignment="1">
      <alignment horizontal="center"/>
    </xf>
    <xf numFmtId="9" fontId="3" fillId="6" borderId="25" xfId="2" applyFont="1" applyFill="1" applyBorder="1" applyAlignment="1">
      <alignment horizontal="center"/>
    </xf>
    <xf numFmtId="9" fontId="3" fillId="4" borderId="23" xfId="2" applyFont="1" applyFill="1" applyBorder="1" applyAlignment="1">
      <alignment horizontal="center"/>
    </xf>
    <xf numFmtId="9" fontId="3" fillId="6" borderId="23" xfId="2" applyFont="1" applyFill="1" applyBorder="1" applyAlignment="1">
      <alignment horizontal="center"/>
    </xf>
    <xf numFmtId="9" fontId="3" fillId="5" borderId="23" xfId="2" applyFont="1" applyFill="1" applyBorder="1" applyAlignment="1">
      <alignment horizontal="center"/>
    </xf>
    <xf numFmtId="14" fontId="8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center" vertical="center" wrapText="1"/>
    </xf>
    <xf numFmtId="0" fontId="3" fillId="0" borderId="7" xfId="0" applyFont="1" applyBorder="1" applyAlignment="1">
      <alignment horizontal="center" vertical="top" wrapText="1"/>
    </xf>
    <xf numFmtId="0" fontId="3" fillId="0" borderId="24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30" xfId="0" applyFont="1" applyBorder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0" fontId="8" fillId="0" borderId="19" xfId="0" applyFont="1" applyBorder="1" applyAlignment="1">
      <alignment horizontal="center" vertical="center" wrapText="1"/>
    </xf>
    <xf numFmtId="0" fontId="8" fillId="0" borderId="25" xfId="0" applyFont="1" applyBorder="1" applyAlignment="1">
      <alignment horizontal="left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24" xfId="0" applyFont="1" applyBorder="1" applyAlignment="1">
      <alignment horizontal="left" vertical="center" wrapText="1"/>
    </xf>
    <xf numFmtId="0" fontId="9" fillId="0" borderId="25" xfId="0" applyFont="1" applyBorder="1"/>
    <xf numFmtId="0" fontId="9" fillId="0" borderId="23" xfId="0" applyFont="1" applyBorder="1"/>
    <xf numFmtId="0" fontId="9" fillId="0" borderId="24" xfId="0" applyFont="1" applyBorder="1"/>
    <xf numFmtId="0" fontId="3" fillId="6" borderId="12" xfId="0" applyFont="1" applyFill="1" applyBorder="1" applyAlignment="1">
      <alignment horizontal="center"/>
    </xf>
    <xf numFmtId="3" fontId="3" fillId="6" borderId="7" xfId="1" applyNumberFormat="1" applyFont="1" applyFill="1" applyBorder="1" applyAlignment="1">
      <alignment horizontal="center"/>
    </xf>
    <xf numFmtId="3" fontId="3" fillId="6" borderId="8" xfId="1" applyNumberFormat="1" applyFont="1" applyFill="1" applyBorder="1" applyAlignment="1">
      <alignment horizontal="center"/>
    </xf>
    <xf numFmtId="167" fontId="3" fillId="6" borderId="8" xfId="2" applyNumberFormat="1" applyFont="1" applyFill="1" applyBorder="1" applyAlignment="1">
      <alignment horizontal="center"/>
    </xf>
    <xf numFmtId="14" fontId="8" fillId="0" borderId="15" xfId="0" applyNumberFormat="1" applyFont="1" applyBorder="1" applyAlignment="1">
      <alignment horizontal="center" vertical="center" wrapText="1"/>
    </xf>
    <xf numFmtId="14" fontId="16" fillId="0" borderId="15" xfId="0" applyNumberFormat="1" applyFont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3" fontId="3" fillId="6" borderId="19" xfId="1" applyNumberFormat="1" applyFont="1" applyFill="1" applyBorder="1" applyAlignment="1">
      <alignment horizontal="center"/>
    </xf>
    <xf numFmtId="3" fontId="3" fillId="5" borderId="7" xfId="1" applyNumberFormat="1" applyFont="1" applyFill="1" applyBorder="1" applyAlignment="1">
      <alignment horizontal="center"/>
    </xf>
    <xf numFmtId="3" fontId="3" fillId="6" borderId="14" xfId="1" applyNumberFormat="1" applyFont="1" applyFill="1" applyBorder="1" applyAlignment="1">
      <alignment horizontal="center"/>
    </xf>
    <xf numFmtId="3" fontId="3" fillId="5" borderId="8" xfId="1" applyNumberFormat="1" applyFont="1" applyFill="1" applyBorder="1" applyAlignment="1">
      <alignment horizontal="center"/>
    </xf>
    <xf numFmtId="167" fontId="3" fillId="6" borderId="15" xfId="2" applyNumberFormat="1" applyFont="1" applyFill="1" applyBorder="1" applyAlignment="1">
      <alignment horizontal="center"/>
    </xf>
    <xf numFmtId="167" fontId="3" fillId="5" borderId="9" xfId="2" applyNumberFormat="1" applyFont="1" applyFill="1" applyBorder="1" applyAlignment="1">
      <alignment horizontal="center"/>
    </xf>
    <xf numFmtId="167" fontId="3" fillId="6" borderId="14" xfId="2" applyNumberFormat="1" applyFont="1" applyFill="1" applyBorder="1" applyAlignment="1">
      <alignment horizontal="center"/>
    </xf>
    <xf numFmtId="9" fontId="3" fillId="6" borderId="19" xfId="2" applyFont="1" applyFill="1" applyBorder="1" applyAlignment="1">
      <alignment horizontal="center"/>
    </xf>
    <xf numFmtId="9" fontId="3" fillId="6" borderId="9" xfId="2" applyFont="1" applyFill="1" applyBorder="1" applyAlignment="1">
      <alignment horizontal="center"/>
    </xf>
    <xf numFmtId="9" fontId="3" fillId="6" borderId="32" xfId="2" applyFont="1" applyFill="1" applyBorder="1" applyAlignment="1">
      <alignment horizontal="center"/>
    </xf>
    <xf numFmtId="9" fontId="3" fillId="6" borderId="30" xfId="2" applyFont="1" applyFill="1" applyBorder="1" applyAlignment="1">
      <alignment horizontal="center"/>
    </xf>
    <xf numFmtId="9" fontId="3" fillId="6" borderId="24" xfId="2" applyFont="1" applyFill="1" applyBorder="1" applyAlignment="1">
      <alignment horizontal="center"/>
    </xf>
    <xf numFmtId="2" fontId="3" fillId="0" borderId="19" xfId="0" applyNumberFormat="1" applyFont="1" applyBorder="1" applyAlignment="1">
      <alignment horizontal="center"/>
    </xf>
    <xf numFmtId="2" fontId="3" fillId="0" borderId="14" xfId="0" applyNumberFormat="1" applyFont="1" applyBorder="1" applyAlignment="1">
      <alignment horizontal="center"/>
    </xf>
    <xf numFmtId="2" fontId="3" fillId="0" borderId="15" xfId="0" applyNumberFormat="1" applyFont="1" applyBorder="1" applyAlignment="1">
      <alignment horizontal="center"/>
    </xf>
    <xf numFmtId="2" fontId="3" fillId="0" borderId="5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2" fontId="3" fillId="0" borderId="6" xfId="0" applyNumberFormat="1" applyFont="1" applyBorder="1" applyAlignment="1">
      <alignment horizontal="center"/>
    </xf>
    <xf numFmtId="2" fontId="3" fillId="0" borderId="7" xfId="0" applyNumberFormat="1" applyFont="1" applyBorder="1" applyAlignment="1">
      <alignment horizontal="center"/>
    </xf>
    <xf numFmtId="2" fontId="3" fillId="0" borderId="8" xfId="0" applyNumberFormat="1" applyFont="1" applyBorder="1" applyAlignment="1">
      <alignment horizontal="center"/>
    </xf>
    <xf numFmtId="2" fontId="3" fillId="0" borderId="9" xfId="0" applyNumberFormat="1" applyFont="1" applyBorder="1" applyAlignment="1">
      <alignment horizontal="center"/>
    </xf>
    <xf numFmtId="167" fontId="8" fillId="0" borderId="27" xfId="2" applyNumberFormat="1" applyFont="1" applyFill="1" applyBorder="1" applyAlignment="1">
      <alignment horizontal="center" vertical="center" wrapText="1"/>
    </xf>
    <xf numFmtId="1" fontId="8" fillId="0" borderId="39" xfId="0" applyNumberFormat="1" applyFont="1" applyBorder="1" applyAlignment="1">
      <alignment horizontal="center" vertical="center" wrapText="1"/>
    </xf>
    <xf numFmtId="1" fontId="8" fillId="0" borderId="40" xfId="0" applyNumberFormat="1" applyFont="1" applyBorder="1" applyAlignment="1">
      <alignment horizontal="center" vertical="center" wrapText="1"/>
    </xf>
    <xf numFmtId="0" fontId="3" fillId="0" borderId="39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3" fillId="0" borderId="40" xfId="0" applyFont="1" applyBorder="1" applyAlignment="1">
      <alignment horizontal="center"/>
    </xf>
    <xf numFmtId="167" fontId="3" fillId="0" borderId="28" xfId="0" applyNumberFormat="1" applyFont="1" applyBorder="1" applyAlignment="1">
      <alignment horizontal="center" vertical="top" wrapText="1"/>
    </xf>
    <xf numFmtId="3" fontId="8" fillId="0" borderId="26" xfId="0" applyNumberFormat="1" applyFont="1" applyBorder="1" applyAlignment="1">
      <alignment horizontal="center" vertical="center" wrapText="1"/>
    </xf>
    <xf numFmtId="167" fontId="3" fillId="0" borderId="26" xfId="2" applyNumberFormat="1" applyFont="1" applyFill="1" applyBorder="1" applyAlignment="1">
      <alignment horizontal="center"/>
    </xf>
    <xf numFmtId="167" fontId="3" fillId="0" borderId="28" xfId="2" applyNumberFormat="1" applyFont="1" applyFill="1" applyBorder="1" applyAlignment="1">
      <alignment horizontal="center"/>
    </xf>
    <xf numFmtId="167" fontId="3" fillId="0" borderId="27" xfId="2" applyNumberFormat="1" applyFont="1" applyFill="1" applyBorder="1" applyAlignment="1">
      <alignment horizontal="center"/>
    </xf>
    <xf numFmtId="167" fontId="3" fillId="0" borderId="14" xfId="2" applyNumberFormat="1" applyFont="1" applyFill="1" applyBorder="1" applyAlignment="1">
      <alignment horizontal="center"/>
    </xf>
    <xf numFmtId="167" fontId="3" fillId="0" borderId="1" xfId="2" applyNumberFormat="1" applyFont="1" applyFill="1" applyBorder="1" applyAlignment="1">
      <alignment horizontal="center"/>
    </xf>
    <xf numFmtId="167" fontId="3" fillId="0" borderId="8" xfId="2" applyNumberFormat="1" applyFont="1" applyFill="1" applyBorder="1" applyAlignment="1">
      <alignment horizontal="center"/>
    </xf>
    <xf numFmtId="0" fontId="18" fillId="8" borderId="1" xfId="3" applyFont="1" applyFill="1" applyBorder="1" applyAlignment="1">
      <alignment horizontal="center" vertical="center" wrapText="1"/>
    </xf>
    <xf numFmtId="0" fontId="18" fillId="8" borderId="1" xfId="3" applyFont="1" applyFill="1" applyBorder="1" applyAlignment="1">
      <alignment horizontal="left" vertical="center" wrapText="1"/>
    </xf>
    <xf numFmtId="9" fontId="3" fillId="4" borderId="32" xfId="2" applyFont="1" applyFill="1" applyBorder="1" applyAlignment="1">
      <alignment horizontal="center"/>
    </xf>
    <xf numFmtId="9" fontId="3" fillId="4" borderId="14" xfId="2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3" fontId="3" fillId="5" borderId="19" xfId="1" applyNumberFormat="1" applyFont="1" applyFill="1" applyBorder="1" applyAlignment="1">
      <alignment horizontal="center"/>
    </xf>
    <xf numFmtId="3" fontId="3" fillId="5" borderId="14" xfId="1" applyNumberFormat="1" applyFont="1" applyFill="1" applyBorder="1" applyAlignment="1">
      <alignment horizontal="center"/>
    </xf>
    <xf numFmtId="167" fontId="3" fillId="6" borderId="9" xfId="2" applyNumberFormat="1" applyFont="1" applyFill="1" applyBorder="1" applyAlignment="1">
      <alignment horizontal="center"/>
    </xf>
    <xf numFmtId="3" fontId="3" fillId="4" borderId="19" xfId="1" applyNumberFormat="1" applyFont="1" applyFill="1" applyBorder="1" applyAlignment="1">
      <alignment horizontal="center"/>
    </xf>
    <xf numFmtId="3" fontId="3" fillId="4" borderId="14" xfId="1" applyNumberFormat="1" applyFont="1" applyFill="1" applyBorder="1" applyAlignment="1">
      <alignment horizontal="center"/>
    </xf>
    <xf numFmtId="0" fontId="9" fillId="0" borderId="25" xfId="0" applyFont="1" applyBorder="1" applyAlignment="1">
      <alignment vertical="center"/>
    </xf>
    <xf numFmtId="0" fontId="9" fillId="0" borderId="23" xfId="0" applyFont="1" applyBorder="1" applyAlignment="1">
      <alignment vertical="center"/>
    </xf>
    <xf numFmtId="0" fontId="9" fillId="0" borderId="24" xfId="0" applyFont="1" applyBorder="1" applyAlignment="1">
      <alignment vertical="center"/>
    </xf>
    <xf numFmtId="0" fontId="3" fillId="0" borderId="19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4" fontId="3" fillId="9" borderId="0" xfId="0" applyNumberFormat="1" applyFont="1" applyFill="1" applyAlignment="1">
      <alignment horizontal="center"/>
    </xf>
    <xf numFmtId="0" fontId="19" fillId="0" borderId="1" xfId="0" applyFont="1" applyBorder="1" applyAlignment="1">
      <alignment horizontal="center"/>
    </xf>
    <xf numFmtId="0" fontId="19" fillId="0" borderId="1" xfId="0" applyFont="1" applyBorder="1"/>
    <xf numFmtId="0" fontId="20" fillId="0" borderId="1" xfId="0" applyFont="1" applyBorder="1" applyAlignment="1">
      <alignment horizontal="center"/>
    </xf>
    <xf numFmtId="0" fontId="20" fillId="0" borderId="1" xfId="0" applyFont="1" applyBorder="1"/>
    <xf numFmtId="0" fontId="20" fillId="0" borderId="1" xfId="0" applyFont="1" applyBorder="1" applyAlignment="1">
      <alignment wrapText="1"/>
    </xf>
    <xf numFmtId="0" fontId="20" fillId="0" borderId="0" xfId="0" applyFont="1" applyAlignment="1">
      <alignment horizontal="center"/>
    </xf>
    <xf numFmtId="0" fontId="20" fillId="0" borderId="0" xfId="0" applyFont="1"/>
    <xf numFmtId="4" fontId="9" fillId="0" borderId="0" xfId="1" applyNumberFormat="1" applyFont="1" applyFill="1" applyBorder="1" applyAlignment="1">
      <alignment wrapText="1"/>
    </xf>
    <xf numFmtId="0" fontId="3" fillId="0" borderId="4" xfId="0" applyFont="1" applyBorder="1" applyAlignment="1">
      <alignment horizontal="center"/>
    </xf>
    <xf numFmtId="2" fontId="8" fillId="0" borderId="7" xfId="0" applyNumberFormat="1" applyFont="1" applyBorder="1" applyAlignment="1">
      <alignment horizontal="center" vertical="center" wrapText="1"/>
    </xf>
    <xf numFmtId="164" fontId="3" fillId="0" borderId="0" xfId="1" applyFont="1" applyAlignment="1">
      <alignment horizontal="center"/>
    </xf>
    <xf numFmtId="0" fontId="8" fillId="0" borderId="15" xfId="0" applyFont="1" applyBorder="1" applyAlignment="1">
      <alignment horizontal="left" vertical="center" wrapText="1"/>
    </xf>
    <xf numFmtId="0" fontId="8" fillId="0" borderId="9" xfId="0" applyFont="1" applyBorder="1" applyAlignment="1">
      <alignment horizontal="left" vertical="center" wrapText="1"/>
    </xf>
    <xf numFmtId="2" fontId="3" fillId="0" borderId="2" xfId="0" applyNumberFormat="1" applyFont="1" applyBorder="1" applyAlignment="1">
      <alignment horizontal="center"/>
    </xf>
    <xf numFmtId="0" fontId="3" fillId="5" borderId="43" xfId="0" applyFont="1" applyFill="1" applyBorder="1" applyAlignment="1">
      <alignment horizontal="center"/>
    </xf>
    <xf numFmtId="0" fontId="3" fillId="6" borderId="43" xfId="0" applyFont="1" applyFill="1" applyBorder="1" applyAlignment="1">
      <alignment horizontal="center"/>
    </xf>
    <xf numFmtId="0" fontId="3" fillId="4" borderId="43" xfId="0" applyFont="1" applyFill="1" applyBorder="1" applyAlignment="1">
      <alignment horizontal="center"/>
    </xf>
    <xf numFmtId="0" fontId="3" fillId="6" borderId="45" xfId="0" applyFont="1" applyFill="1" applyBorder="1" applyAlignment="1">
      <alignment horizontal="center"/>
    </xf>
    <xf numFmtId="1" fontId="8" fillId="0" borderId="46" xfId="0" applyNumberFormat="1" applyFont="1" applyBorder="1" applyAlignment="1">
      <alignment horizontal="center" vertical="center" wrapText="1"/>
    </xf>
    <xf numFmtId="1" fontId="8" fillId="0" borderId="47" xfId="0" applyNumberFormat="1" applyFont="1" applyBorder="1" applyAlignment="1">
      <alignment horizontal="center" vertical="center" wrapText="1"/>
    </xf>
    <xf numFmtId="1" fontId="8" fillId="0" borderId="48" xfId="0" applyNumberFormat="1" applyFont="1" applyBorder="1" applyAlignment="1">
      <alignment horizontal="center" vertical="center" wrapText="1"/>
    </xf>
    <xf numFmtId="2" fontId="3" fillId="0" borderId="3" xfId="0" applyNumberFormat="1" applyFont="1" applyBorder="1" applyAlignment="1">
      <alignment horizontal="center"/>
    </xf>
    <xf numFmtId="2" fontId="3" fillId="0" borderId="4" xfId="0" applyNumberFormat="1" applyFont="1" applyBorder="1" applyAlignment="1">
      <alignment horizontal="center"/>
    </xf>
    <xf numFmtId="0" fontId="3" fillId="5" borderId="44" xfId="0" applyFont="1" applyFill="1" applyBorder="1" applyAlignment="1">
      <alignment horizontal="center"/>
    </xf>
    <xf numFmtId="2" fontId="3" fillId="4" borderId="19" xfId="0" applyNumberFormat="1" applyFont="1" applyFill="1" applyBorder="1" applyAlignment="1">
      <alignment horizontal="center"/>
    </xf>
    <xf numFmtId="2" fontId="3" fillId="6" borderId="19" xfId="0" applyNumberFormat="1" applyFont="1" applyFill="1" applyBorder="1" applyAlignment="1">
      <alignment horizontal="center"/>
    </xf>
    <xf numFmtId="2" fontId="3" fillId="5" borderId="19" xfId="0" applyNumberFormat="1" applyFont="1" applyFill="1" applyBorder="1" applyAlignment="1">
      <alignment horizontal="center"/>
    </xf>
    <xf numFmtId="2" fontId="3" fillId="4" borderId="42" xfId="0" applyNumberFormat="1" applyFont="1" applyFill="1" applyBorder="1" applyAlignment="1">
      <alignment horizontal="center"/>
    </xf>
    <xf numFmtId="167" fontId="3" fillId="5" borderId="14" xfId="2" applyNumberFormat="1" applyFont="1" applyFill="1" applyBorder="1" applyAlignment="1">
      <alignment horizontal="center"/>
    </xf>
    <xf numFmtId="0" fontId="3" fillId="10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2" fontId="8" fillId="0" borderId="0" xfId="0" applyNumberFormat="1" applyFont="1" applyAlignment="1">
      <alignment horizontal="center" vertical="center" wrapText="1"/>
    </xf>
    <xf numFmtId="0" fontId="3" fillId="12" borderId="0" xfId="0" applyFont="1" applyFill="1" applyAlignment="1">
      <alignment horizontal="center"/>
    </xf>
    <xf numFmtId="0" fontId="7" fillId="13" borderId="0" xfId="3" applyFill="1" applyAlignment="1">
      <alignment horizontal="center" vertical="top"/>
    </xf>
    <xf numFmtId="167" fontId="3" fillId="5" borderId="15" xfId="2" applyNumberFormat="1" applyFont="1" applyFill="1" applyBorder="1" applyAlignment="1">
      <alignment horizontal="center"/>
    </xf>
    <xf numFmtId="167" fontId="3" fillId="4" borderId="14" xfId="2" applyNumberFormat="1" applyFont="1" applyFill="1" applyBorder="1" applyAlignment="1">
      <alignment horizontal="center"/>
    </xf>
    <xf numFmtId="9" fontId="3" fillId="4" borderId="19" xfId="2" applyFont="1" applyFill="1" applyBorder="1" applyAlignment="1">
      <alignment horizontal="center"/>
    </xf>
    <xf numFmtId="9" fontId="3" fillId="5" borderId="8" xfId="2" applyFont="1" applyFill="1" applyBorder="1" applyAlignment="1">
      <alignment horizontal="center"/>
    </xf>
    <xf numFmtId="9" fontId="3" fillId="5" borderId="9" xfId="2" applyFont="1" applyFill="1" applyBorder="1" applyAlignment="1">
      <alignment horizontal="center"/>
    </xf>
    <xf numFmtId="9" fontId="3" fillId="5" borderId="30" xfId="2" applyFont="1" applyFill="1" applyBorder="1" applyAlignment="1">
      <alignment horizontal="center"/>
    </xf>
    <xf numFmtId="9" fontId="3" fillId="4" borderId="8" xfId="2" applyFont="1" applyFill="1" applyBorder="1" applyAlignment="1">
      <alignment horizontal="center"/>
    </xf>
    <xf numFmtId="9" fontId="3" fillId="4" borderId="24" xfId="2" applyFont="1" applyFill="1" applyBorder="1" applyAlignment="1">
      <alignment horizontal="center"/>
    </xf>
    <xf numFmtId="2" fontId="3" fillId="6" borderId="2" xfId="0" applyNumberFormat="1" applyFont="1" applyFill="1" applyBorder="1" applyAlignment="1">
      <alignment horizontal="center"/>
    </xf>
    <xf numFmtId="0" fontId="3" fillId="13" borderId="0" xfId="0" applyFont="1" applyFill="1"/>
    <xf numFmtId="0" fontId="3" fillId="13" borderId="5" xfId="0" applyFont="1" applyFill="1" applyBorder="1" applyAlignment="1">
      <alignment horizontal="center"/>
    </xf>
    <xf numFmtId="0" fontId="9" fillId="13" borderId="23" xfId="0" applyFont="1" applyFill="1" applyBorder="1"/>
    <xf numFmtId="2" fontId="3" fillId="13" borderId="2" xfId="0" applyNumberFormat="1" applyFont="1" applyFill="1" applyBorder="1" applyAlignment="1">
      <alignment horizontal="center"/>
    </xf>
    <xf numFmtId="2" fontId="3" fillId="13" borderId="3" xfId="0" applyNumberFormat="1" applyFont="1" applyFill="1" applyBorder="1" applyAlignment="1">
      <alignment horizontal="center"/>
    </xf>
    <xf numFmtId="2" fontId="3" fillId="13" borderId="4" xfId="0" applyNumberFormat="1" applyFont="1" applyFill="1" applyBorder="1" applyAlignment="1">
      <alignment horizontal="center"/>
    </xf>
    <xf numFmtId="0" fontId="3" fillId="13" borderId="43" xfId="0" applyFont="1" applyFill="1" applyBorder="1" applyAlignment="1">
      <alignment horizontal="center"/>
    </xf>
    <xf numFmtId="0" fontId="3" fillId="13" borderId="41" xfId="0" applyFont="1" applyFill="1" applyBorder="1" applyAlignment="1">
      <alignment horizontal="center"/>
    </xf>
    <xf numFmtId="0" fontId="3" fillId="13" borderId="1" xfId="0" applyFont="1" applyFill="1" applyBorder="1" applyAlignment="1">
      <alignment horizontal="center"/>
    </xf>
    <xf numFmtId="0" fontId="3" fillId="13" borderId="6" xfId="0" applyFont="1" applyFill="1" applyBorder="1" applyAlignment="1">
      <alignment horizontal="center"/>
    </xf>
    <xf numFmtId="3" fontId="3" fillId="13" borderId="5" xfId="1" applyNumberFormat="1" applyFont="1" applyFill="1" applyBorder="1" applyAlignment="1">
      <alignment horizontal="center"/>
    </xf>
    <xf numFmtId="3" fontId="3" fillId="13" borderId="1" xfId="1" applyNumberFormat="1" applyFont="1" applyFill="1" applyBorder="1" applyAlignment="1">
      <alignment horizontal="center"/>
    </xf>
    <xf numFmtId="167" fontId="3" fillId="13" borderId="6" xfId="2" applyNumberFormat="1" applyFont="1" applyFill="1" applyBorder="1" applyAlignment="1">
      <alignment horizontal="center"/>
    </xf>
    <xf numFmtId="167" fontId="3" fillId="13" borderId="28" xfId="2" applyNumberFormat="1" applyFont="1" applyFill="1" applyBorder="1" applyAlignment="1">
      <alignment horizontal="center"/>
    </xf>
    <xf numFmtId="167" fontId="3" fillId="13" borderId="1" xfId="2" applyNumberFormat="1" applyFont="1" applyFill="1" applyBorder="1" applyAlignment="1">
      <alignment horizontal="center"/>
    </xf>
    <xf numFmtId="165" fontId="3" fillId="13" borderId="1" xfId="0" applyNumberFormat="1" applyFont="1" applyFill="1" applyBorder="1" applyAlignment="1">
      <alignment horizontal="center"/>
    </xf>
    <xf numFmtId="9" fontId="3" fillId="13" borderId="6" xfId="0" applyNumberFormat="1" applyFont="1" applyFill="1" applyBorder="1" applyAlignment="1">
      <alignment horizontal="center"/>
    </xf>
    <xf numFmtId="0" fontId="3" fillId="13" borderId="29" xfId="0" applyFont="1" applyFill="1" applyBorder="1" applyAlignment="1">
      <alignment horizontal="center"/>
    </xf>
    <xf numFmtId="0" fontId="3" fillId="13" borderId="23" xfId="0" applyFont="1" applyFill="1" applyBorder="1" applyAlignment="1">
      <alignment horizontal="center"/>
    </xf>
    <xf numFmtId="9" fontId="3" fillId="13" borderId="5" xfId="2" applyFont="1" applyFill="1" applyBorder="1" applyAlignment="1">
      <alignment horizontal="center"/>
    </xf>
    <xf numFmtId="9" fontId="3" fillId="13" borderId="1" xfId="2" applyFont="1" applyFill="1" applyBorder="1" applyAlignment="1">
      <alignment horizontal="center"/>
    </xf>
    <xf numFmtId="9" fontId="3" fillId="13" borderId="6" xfId="2" applyFont="1" applyFill="1" applyBorder="1" applyAlignment="1">
      <alignment horizontal="center"/>
    </xf>
    <xf numFmtId="9" fontId="3" fillId="13" borderId="29" xfId="2" applyFont="1" applyFill="1" applyBorder="1" applyAlignment="1">
      <alignment horizontal="center"/>
    </xf>
    <xf numFmtId="9" fontId="3" fillId="13" borderId="23" xfId="2" applyFont="1" applyFill="1" applyBorder="1" applyAlignment="1">
      <alignment horizontal="center"/>
    </xf>
    <xf numFmtId="0" fontId="3" fillId="13" borderId="11" xfId="0" applyFont="1" applyFill="1" applyBorder="1" applyAlignment="1">
      <alignment horizontal="center"/>
    </xf>
    <xf numFmtId="0" fontId="3" fillId="13" borderId="28" xfId="0" applyFont="1" applyFill="1" applyBorder="1" applyAlignment="1">
      <alignment horizontal="center"/>
    </xf>
    <xf numFmtId="2" fontId="3" fillId="13" borderId="19" xfId="0" applyNumberFormat="1" applyFont="1" applyFill="1" applyBorder="1" applyAlignment="1">
      <alignment horizontal="center"/>
    </xf>
    <xf numFmtId="0" fontId="3" fillId="13" borderId="0" xfId="0" applyFont="1" applyFill="1" applyAlignment="1">
      <alignment horizontal="center"/>
    </xf>
    <xf numFmtId="0" fontId="3" fillId="0" borderId="2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23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0" fontId="3" fillId="0" borderId="33" xfId="0" applyFont="1" applyBorder="1" applyAlignment="1">
      <alignment horizontal="center" vertical="center" wrapText="1"/>
    </xf>
    <xf numFmtId="3" fontId="3" fillId="0" borderId="18" xfId="0" applyNumberFormat="1" applyFont="1" applyBorder="1" applyAlignment="1">
      <alignment horizontal="center" vertical="center" wrapText="1"/>
    </xf>
    <xf numFmtId="3" fontId="3" fillId="0" borderId="16" xfId="0" applyNumberFormat="1" applyFont="1" applyBorder="1" applyAlignment="1">
      <alignment horizontal="center" vertical="center" wrapText="1"/>
    </xf>
    <xf numFmtId="3" fontId="3" fillId="0" borderId="17" xfId="0" applyNumberFormat="1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textRotation="90" wrapText="1"/>
    </xf>
    <xf numFmtId="0" fontId="3" fillId="0" borderId="5" xfId="0" applyFont="1" applyBorder="1" applyAlignment="1">
      <alignment horizontal="center" textRotation="90" wrapText="1"/>
    </xf>
    <xf numFmtId="0" fontId="3" fillId="0" borderId="14" xfId="0" applyFont="1" applyBorder="1" applyAlignment="1">
      <alignment horizontal="center" textRotation="90" wrapText="1"/>
    </xf>
    <xf numFmtId="0" fontId="3" fillId="0" borderId="1" xfId="0" applyFont="1" applyBorder="1" applyAlignment="1">
      <alignment horizontal="center" textRotation="90" wrapText="1"/>
    </xf>
    <xf numFmtId="0" fontId="3" fillId="0" borderId="15" xfId="0" applyFont="1" applyBorder="1" applyAlignment="1">
      <alignment horizontal="center" textRotation="90" wrapText="1"/>
    </xf>
    <xf numFmtId="0" fontId="3" fillId="0" borderId="6" xfId="0" applyFont="1" applyBorder="1" applyAlignment="1">
      <alignment horizontal="center" textRotation="90" wrapText="1"/>
    </xf>
    <xf numFmtId="0" fontId="3" fillId="0" borderId="20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3" fontId="3" fillId="0" borderId="10" xfId="0" applyNumberFormat="1" applyFont="1" applyBorder="1" applyAlignment="1">
      <alignment horizontal="center" vertical="center" wrapText="1"/>
    </xf>
    <xf numFmtId="3" fontId="3" fillId="0" borderId="35" xfId="0" applyNumberFormat="1" applyFont="1" applyBorder="1" applyAlignment="1">
      <alignment horizontal="center" vertical="center" wrapText="1"/>
    </xf>
    <xf numFmtId="3" fontId="3" fillId="0" borderId="36" xfId="0" applyNumberFormat="1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 vertical="center" wrapText="1"/>
    </xf>
    <xf numFmtId="0" fontId="3" fillId="0" borderId="36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0" fontId="3" fillId="0" borderId="37" xfId="0" applyFont="1" applyBorder="1" applyAlignment="1">
      <alignment horizontal="center" vertical="center" wrapText="1"/>
    </xf>
    <xf numFmtId="0" fontId="3" fillId="0" borderId="38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 vertical="center" wrapText="1"/>
    </xf>
    <xf numFmtId="3" fontId="8" fillId="0" borderId="19" xfId="0" applyNumberFormat="1" applyFont="1" applyBorder="1" applyAlignment="1">
      <alignment horizontal="center" vertical="center" wrapText="1"/>
    </xf>
    <xf numFmtId="3" fontId="8" fillId="0" borderId="14" xfId="0" applyNumberFormat="1" applyFont="1" applyBorder="1" applyAlignment="1">
      <alignment horizontal="center" vertical="center" wrapText="1"/>
    </xf>
    <xf numFmtId="3" fontId="8" fillId="0" borderId="15" xfId="0" applyNumberFormat="1" applyFont="1" applyBorder="1" applyAlignment="1">
      <alignment horizontal="center" vertical="center" wrapText="1"/>
    </xf>
    <xf numFmtId="3" fontId="8" fillId="0" borderId="10" xfId="0" applyNumberFormat="1" applyFont="1" applyBorder="1" applyAlignment="1">
      <alignment horizontal="center" vertical="center" wrapText="1"/>
    </xf>
    <xf numFmtId="3" fontId="8" fillId="0" borderId="35" xfId="0" applyNumberFormat="1" applyFont="1" applyBorder="1" applyAlignment="1">
      <alignment horizontal="center" vertical="center" wrapText="1"/>
    </xf>
    <xf numFmtId="3" fontId="8" fillId="0" borderId="36" xfId="0" applyNumberFormat="1" applyFont="1" applyBorder="1" applyAlignment="1">
      <alignment horizontal="center" vertical="center" wrapText="1"/>
    </xf>
    <xf numFmtId="9" fontId="8" fillId="0" borderId="19" xfId="0" applyNumberFormat="1" applyFont="1" applyBorder="1" applyAlignment="1">
      <alignment horizontal="center" vertical="center" wrapText="1"/>
    </xf>
    <xf numFmtId="9" fontId="8" fillId="0" borderId="14" xfId="0" applyNumberFormat="1" applyFont="1" applyBorder="1" applyAlignment="1">
      <alignment horizontal="center" vertical="center" wrapText="1"/>
    </xf>
    <xf numFmtId="9" fontId="8" fillId="0" borderId="15" xfId="0" applyNumberFormat="1" applyFont="1" applyBorder="1" applyAlignment="1">
      <alignment horizontal="center" vertical="center" wrapText="1"/>
    </xf>
    <xf numFmtId="9" fontId="8" fillId="0" borderId="32" xfId="0" applyNumberFormat="1" applyFont="1" applyBorder="1" applyAlignment="1">
      <alignment horizontal="center" vertical="center" wrapText="1"/>
    </xf>
    <xf numFmtId="9" fontId="8" fillId="0" borderId="25" xfId="0" applyNumberFormat="1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textRotation="90" wrapText="1"/>
    </xf>
    <xf numFmtId="0" fontId="3" fillId="0" borderId="29" xfId="0" applyFont="1" applyBorder="1" applyAlignment="1">
      <alignment horizontal="center" textRotation="90" wrapText="1"/>
    </xf>
    <xf numFmtId="0" fontId="19" fillId="0" borderId="26" xfId="0" applyFont="1" applyBorder="1" applyAlignment="1">
      <alignment horizontal="center" wrapText="1"/>
    </xf>
    <xf numFmtId="0" fontId="19" fillId="0" borderId="26" xfId="0" applyFont="1" applyBorder="1" applyAlignment="1">
      <alignment horizontal="center"/>
    </xf>
  </cellXfs>
  <cellStyles count="20">
    <cellStyle name="Обычный" xfId="0" builtinId="0"/>
    <cellStyle name="Обычный 2" xfId="10"/>
    <cellStyle name="Обычный 2 3" xfId="6"/>
    <cellStyle name="Обычный 2 3 2" xfId="9"/>
    <cellStyle name="Обычный 2 3 3" xfId="11"/>
    <cellStyle name="Обычный 2 3 4" xfId="13"/>
    <cellStyle name="Обычный 2 3 5" xfId="15"/>
    <cellStyle name="Обычный 2 3 6" xfId="16"/>
    <cellStyle name="Обычный 3" xfId="3"/>
    <cellStyle name="Обычный 4" xfId="14"/>
    <cellStyle name="Обычный 5" xfId="17"/>
    <cellStyle name="Обычный 6" xfId="7"/>
    <cellStyle name="Обычный 7" xfId="19"/>
    <cellStyle name="Обычный 8" xfId="4"/>
    <cellStyle name="Процентный" xfId="2" builtinId="5"/>
    <cellStyle name="Процентный 2" xfId="8"/>
    <cellStyle name="Процентный 3" xfId="18"/>
    <cellStyle name="Финансовый" xfId="1" builtinId="3"/>
    <cellStyle name="Финансовый 2" xfId="12"/>
    <cellStyle name="Финансовый 3" xfId="5"/>
  </cellStyles>
  <dxfs count="0"/>
  <tableStyles count="0" defaultTableStyle="TableStyleMedium2" defaultPivotStyle="PivotStyleLight16"/>
  <colors>
    <mruColors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pageSetUpPr fitToPage="1"/>
  </sheetPr>
  <dimension ref="A1:CA99"/>
  <sheetViews>
    <sheetView topLeftCell="A55" zoomScaleNormal="100" workbookViewId="0">
      <selection activeCell="H72" sqref="H72"/>
    </sheetView>
  </sheetViews>
  <sheetFormatPr defaultColWidth="10.8984375" defaultRowHeight="15"/>
  <cols>
    <col min="1" max="1" width="10.8984375" style="9"/>
    <col min="2" max="2" width="5" style="8" customWidth="1"/>
    <col min="3" max="3" width="33.3984375" style="9" customWidth="1"/>
    <col min="4" max="4" width="3.59765625" style="8" customWidth="1"/>
    <col min="5" max="5" width="4.3984375" style="8" customWidth="1"/>
    <col min="6" max="7" width="3.59765625" style="8" customWidth="1"/>
    <col min="8" max="9" width="17.3984375" style="8" customWidth="1"/>
    <col min="10" max="13" width="12.3984375" style="8" customWidth="1"/>
    <col min="14" max="16" width="11.5" style="84" customWidth="1"/>
    <col min="17" max="18" width="11.5" style="88" customWidth="1"/>
    <col min="19" max="22" width="12.3984375" style="8" customWidth="1"/>
    <col min="23" max="25" width="11.5" style="84" customWidth="1"/>
    <col min="26" max="27" width="11.5" style="88" customWidth="1"/>
    <col min="28" max="29" width="12.8984375" style="8" customWidth="1"/>
    <col min="30" max="32" width="11.5" style="84" customWidth="1"/>
    <col min="33" max="34" width="11.5" style="88" customWidth="1"/>
    <col min="35" max="36" width="12.8984375" style="8" customWidth="1"/>
    <col min="37" max="40" width="12.3984375" style="8" customWidth="1"/>
    <col min="41" max="41" width="12.8984375" style="8" customWidth="1"/>
    <col min="42" max="42" width="12.8984375" style="8" hidden="1" customWidth="1"/>
    <col min="43" max="43" width="12.8984375" style="8" customWidth="1"/>
    <col min="44" max="44" width="12.8984375" style="8" hidden="1" customWidth="1"/>
    <col min="45" max="45" width="12.8984375" style="8" customWidth="1"/>
    <col min="46" max="46" width="12.8984375" style="8" hidden="1" customWidth="1"/>
    <col min="47" max="47" width="12.8984375" style="8" customWidth="1"/>
    <col min="48" max="48" width="12.8984375" style="8" hidden="1" customWidth="1"/>
    <col min="49" max="49" width="15" style="8" customWidth="1"/>
    <col min="50" max="53" width="12.3984375" style="8" customWidth="1"/>
    <col min="54" max="54" width="14.09765625" style="8" hidden="1" customWidth="1"/>
    <col min="55" max="60" width="14.09765625" style="8" customWidth="1"/>
    <col min="61" max="61" width="12.59765625" style="8" customWidth="1"/>
    <col min="62" max="65" width="11.59765625" style="8" customWidth="1"/>
    <col min="66" max="78" width="12.59765625" style="8" customWidth="1"/>
    <col min="79" max="79" width="11.8984375" style="8" customWidth="1"/>
    <col min="80" max="16384" width="10.8984375" style="9"/>
  </cols>
  <sheetData>
    <row r="1" spans="1:79" hidden="1">
      <c r="A1" s="9">
        <v>1</v>
      </c>
      <c r="B1" s="9">
        <f>A1+1</f>
        <v>2</v>
      </c>
      <c r="C1" s="9">
        <f t="shared" ref="C1:BN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  <c r="AT1" s="9">
        <f t="shared" si="0"/>
        <v>46</v>
      </c>
      <c r="AU1" s="9">
        <f t="shared" si="0"/>
        <v>47</v>
      </c>
      <c r="AV1" s="9">
        <f t="shared" si="0"/>
        <v>48</v>
      </c>
      <c r="AW1" s="9">
        <f t="shared" si="0"/>
        <v>49</v>
      </c>
      <c r="AX1" s="9">
        <f t="shared" si="0"/>
        <v>50</v>
      </c>
      <c r="AY1" s="9">
        <f t="shared" si="0"/>
        <v>51</v>
      </c>
      <c r="AZ1" s="9">
        <f t="shared" si="0"/>
        <v>52</v>
      </c>
      <c r="BA1" s="9">
        <f t="shared" si="0"/>
        <v>53</v>
      </c>
      <c r="BB1" s="9">
        <f t="shared" si="0"/>
        <v>54</v>
      </c>
      <c r="BC1" s="9">
        <f t="shared" si="0"/>
        <v>55</v>
      </c>
      <c r="BD1" s="9">
        <f t="shared" si="0"/>
        <v>56</v>
      </c>
      <c r="BE1" s="9">
        <f t="shared" si="0"/>
        <v>57</v>
      </c>
      <c r="BF1" s="9">
        <f t="shared" si="0"/>
        <v>58</v>
      </c>
      <c r="BG1" s="9">
        <f t="shared" si="0"/>
        <v>59</v>
      </c>
      <c r="BH1" s="9">
        <f t="shared" si="0"/>
        <v>60</v>
      </c>
      <c r="BI1" s="9">
        <f t="shared" si="0"/>
        <v>61</v>
      </c>
      <c r="BJ1" s="9">
        <f t="shared" si="0"/>
        <v>62</v>
      </c>
      <c r="BK1" s="9">
        <f t="shared" si="0"/>
        <v>63</v>
      </c>
      <c r="BL1" s="9">
        <f t="shared" si="0"/>
        <v>64</v>
      </c>
      <c r="BM1" s="9">
        <f t="shared" si="0"/>
        <v>65</v>
      </c>
      <c r="BN1" s="9">
        <f t="shared" si="0"/>
        <v>66</v>
      </c>
      <c r="BO1" s="9">
        <f t="shared" ref="BO1:CA1" si="1">BN1+1</f>
        <v>67</v>
      </c>
      <c r="BP1" s="9">
        <f t="shared" si="1"/>
        <v>68</v>
      </c>
      <c r="BQ1" s="9">
        <f t="shared" si="1"/>
        <v>69</v>
      </c>
      <c r="BR1" s="9">
        <f t="shared" si="1"/>
        <v>70</v>
      </c>
      <c r="BS1" s="9">
        <f t="shared" si="1"/>
        <v>71</v>
      </c>
      <c r="BT1" s="9">
        <f t="shared" si="1"/>
        <v>72</v>
      </c>
      <c r="BU1" s="9">
        <f t="shared" si="1"/>
        <v>73</v>
      </c>
      <c r="BV1" s="9">
        <f t="shared" si="1"/>
        <v>74</v>
      </c>
      <c r="BW1" s="9">
        <f t="shared" si="1"/>
        <v>75</v>
      </c>
      <c r="BX1" s="9">
        <f t="shared" si="1"/>
        <v>76</v>
      </c>
      <c r="BY1" s="9">
        <f t="shared" si="1"/>
        <v>77</v>
      </c>
      <c r="BZ1" s="9">
        <f t="shared" si="1"/>
        <v>78</v>
      </c>
      <c r="CA1" s="9">
        <f t="shared" si="1"/>
        <v>79</v>
      </c>
    </row>
    <row r="2" spans="1:79" ht="15.6">
      <c r="C2" s="7" t="s">
        <v>582</v>
      </c>
    </row>
    <row r="3" spans="1:79" ht="15.6">
      <c r="C3" s="187">
        <v>45566</v>
      </c>
    </row>
    <row r="4" spans="1:79" ht="15.6" thickBot="1">
      <c r="J4" s="9"/>
      <c r="K4" s="9"/>
      <c r="L4" s="9"/>
      <c r="S4" s="9"/>
      <c r="T4" s="9"/>
      <c r="U4" s="9"/>
      <c r="AK4" s="9"/>
      <c r="AL4" s="9"/>
      <c r="AM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B4" s="9"/>
      <c r="BC4" s="9"/>
      <c r="BD4" s="9"/>
      <c r="BE4" s="9"/>
      <c r="BF4" s="9"/>
      <c r="BG4" s="9"/>
      <c r="BH4" s="9"/>
    </row>
    <row r="5" spans="1:79" s="82" customFormat="1" ht="37.049999999999997" customHeight="1" thickBot="1">
      <c r="B5" s="335" t="s">
        <v>167</v>
      </c>
      <c r="C5" s="337" t="s">
        <v>0</v>
      </c>
      <c r="D5" s="339" t="s">
        <v>98</v>
      </c>
      <c r="E5" s="340"/>
      <c r="F5" s="340"/>
      <c r="G5" s="341"/>
      <c r="H5" s="342" t="s">
        <v>626</v>
      </c>
      <c r="I5" s="342"/>
      <c r="J5" s="340"/>
      <c r="K5" s="340"/>
      <c r="L5" s="340"/>
      <c r="M5" s="343"/>
      <c r="N5" s="344" t="s">
        <v>627</v>
      </c>
      <c r="O5" s="345"/>
      <c r="P5" s="345"/>
      <c r="Q5" s="345"/>
      <c r="R5" s="345"/>
      <c r="S5" s="345"/>
      <c r="T5" s="345"/>
      <c r="U5" s="345"/>
      <c r="V5" s="346"/>
      <c r="W5" s="339" t="s">
        <v>635</v>
      </c>
      <c r="X5" s="340"/>
      <c r="Y5" s="340"/>
      <c r="Z5" s="340"/>
      <c r="AA5" s="340"/>
      <c r="AB5" s="340"/>
      <c r="AC5" s="340"/>
      <c r="AD5" s="340"/>
      <c r="AE5" s="340"/>
      <c r="AF5" s="340"/>
      <c r="AG5" s="340"/>
      <c r="AH5" s="340"/>
      <c r="AI5" s="340"/>
      <c r="AJ5" s="340"/>
      <c r="AK5" s="340"/>
      <c r="AL5" s="340"/>
      <c r="AM5" s="340"/>
      <c r="AN5" s="341"/>
      <c r="AO5" s="342" t="s">
        <v>606</v>
      </c>
      <c r="AP5" s="340"/>
      <c r="AQ5" s="340"/>
      <c r="AR5" s="340"/>
      <c r="AS5" s="340"/>
      <c r="AT5" s="340"/>
      <c r="AU5" s="340"/>
      <c r="AV5" s="340"/>
      <c r="AW5" s="340"/>
      <c r="AX5" s="340"/>
      <c r="AY5" s="340"/>
      <c r="AZ5" s="340"/>
      <c r="BA5" s="340"/>
      <c r="BB5" s="144"/>
      <c r="BC5" s="339" t="s">
        <v>625</v>
      </c>
      <c r="BD5" s="341"/>
      <c r="BE5" s="89"/>
      <c r="BF5" s="89"/>
      <c r="BG5" s="89"/>
      <c r="BH5" s="89"/>
      <c r="BI5" s="188"/>
      <c r="BJ5" s="188">
        <v>0</v>
      </c>
      <c r="BK5" s="188">
        <v>0.2</v>
      </c>
      <c r="BL5" s="188">
        <v>0</v>
      </c>
      <c r="BM5" s="188">
        <v>0.05</v>
      </c>
      <c r="BN5" s="188">
        <v>0.05</v>
      </c>
      <c r="BO5" s="188">
        <v>0.05</v>
      </c>
      <c r="BP5" s="188"/>
      <c r="BQ5" s="188">
        <v>0.05</v>
      </c>
      <c r="BR5" s="188">
        <v>0.05</v>
      </c>
      <c r="BS5" s="188"/>
      <c r="BT5" s="188">
        <v>0</v>
      </c>
      <c r="BU5" s="188">
        <v>0.05</v>
      </c>
      <c r="BV5" s="188">
        <v>0.05</v>
      </c>
      <c r="BW5" s="188">
        <v>0.05</v>
      </c>
      <c r="BX5" s="188">
        <v>0.05</v>
      </c>
      <c r="BY5" s="188">
        <v>0.25</v>
      </c>
      <c r="BZ5" s="188">
        <v>0.1</v>
      </c>
      <c r="CA5" s="188">
        <f>SUM(BJ5:BZ5)</f>
        <v>1</v>
      </c>
    </row>
    <row r="6" spans="1:79" s="89" customFormat="1" ht="37.049999999999997" customHeight="1" thickBot="1">
      <c r="B6" s="336"/>
      <c r="C6" s="338"/>
      <c r="D6" s="349" t="s">
        <v>602</v>
      </c>
      <c r="E6" s="351" t="s">
        <v>603</v>
      </c>
      <c r="F6" s="351" t="s">
        <v>605</v>
      </c>
      <c r="G6" s="353" t="s">
        <v>604</v>
      </c>
      <c r="H6" s="355" t="s">
        <v>641</v>
      </c>
      <c r="I6" s="355" t="s">
        <v>652</v>
      </c>
      <c r="J6" s="335" t="s">
        <v>649</v>
      </c>
      <c r="K6" s="347"/>
      <c r="L6" s="347"/>
      <c r="M6" s="348"/>
      <c r="N6" s="357" t="s">
        <v>628</v>
      </c>
      <c r="O6" s="358"/>
      <c r="P6" s="358"/>
      <c r="Q6" s="358"/>
      <c r="R6" s="359"/>
      <c r="S6" s="335" t="s">
        <v>650</v>
      </c>
      <c r="T6" s="347"/>
      <c r="U6" s="347"/>
      <c r="V6" s="348"/>
      <c r="W6" s="360" t="s">
        <v>630</v>
      </c>
      <c r="X6" s="361"/>
      <c r="Y6" s="361"/>
      <c r="Z6" s="361"/>
      <c r="AA6" s="361"/>
      <c r="AB6" s="361"/>
      <c r="AC6" s="362"/>
      <c r="AD6" s="363" t="s">
        <v>629</v>
      </c>
      <c r="AE6" s="364"/>
      <c r="AF6" s="364"/>
      <c r="AG6" s="364"/>
      <c r="AH6" s="364"/>
      <c r="AI6" s="364"/>
      <c r="AJ6" s="365"/>
      <c r="AK6" s="366" t="s">
        <v>650</v>
      </c>
      <c r="AL6" s="367"/>
      <c r="AM6" s="367"/>
      <c r="AN6" s="368"/>
      <c r="AO6" s="335" t="s">
        <v>623</v>
      </c>
      <c r="AP6" s="347"/>
      <c r="AQ6" s="347"/>
      <c r="AR6" s="348"/>
      <c r="AS6" s="366" t="s">
        <v>648</v>
      </c>
      <c r="AT6" s="367"/>
      <c r="AU6" s="367"/>
      <c r="AV6" s="368"/>
      <c r="AW6" s="141" t="s">
        <v>636</v>
      </c>
      <c r="AX6" s="366" t="s">
        <v>651</v>
      </c>
      <c r="AY6" s="367"/>
      <c r="AZ6" s="367"/>
      <c r="BA6" s="367"/>
      <c r="BB6" s="140" t="s">
        <v>639</v>
      </c>
      <c r="BC6" s="142" t="s">
        <v>644</v>
      </c>
      <c r="BD6" s="143" t="s">
        <v>646</v>
      </c>
      <c r="BE6" s="82"/>
      <c r="BF6" s="82"/>
      <c r="BG6" s="82"/>
      <c r="BH6" s="82"/>
      <c r="BI6" s="82" t="s">
        <v>577</v>
      </c>
      <c r="BJ6" s="82" t="s">
        <v>564</v>
      </c>
      <c r="BK6" s="82" t="s">
        <v>565</v>
      </c>
      <c r="BL6" s="82" t="s">
        <v>566</v>
      </c>
      <c r="BM6" s="82" t="s">
        <v>568</v>
      </c>
      <c r="BN6" s="82" t="s">
        <v>599</v>
      </c>
      <c r="BO6" s="82" t="s">
        <v>598</v>
      </c>
      <c r="BP6" s="82" t="s">
        <v>600</v>
      </c>
      <c r="BQ6" s="82" t="s">
        <v>601</v>
      </c>
      <c r="BR6" s="82" t="s">
        <v>607</v>
      </c>
      <c r="BS6" s="82" t="s">
        <v>600</v>
      </c>
      <c r="BT6" s="82" t="s">
        <v>569</v>
      </c>
      <c r="BU6" s="82" t="s">
        <v>608</v>
      </c>
      <c r="BV6" s="82" t="s">
        <v>609</v>
      </c>
      <c r="BW6" s="82" t="s">
        <v>610</v>
      </c>
      <c r="BX6" s="82" t="s">
        <v>611</v>
      </c>
      <c r="BY6" s="82" t="s">
        <v>570</v>
      </c>
      <c r="BZ6" s="82" t="s">
        <v>571</v>
      </c>
      <c r="CA6" s="82" t="s">
        <v>578</v>
      </c>
    </row>
    <row r="7" spans="1:79" s="11" customFormat="1" ht="52.8" customHeight="1">
      <c r="B7" s="336"/>
      <c r="C7" s="338"/>
      <c r="D7" s="350"/>
      <c r="E7" s="352"/>
      <c r="F7" s="352"/>
      <c r="G7" s="354"/>
      <c r="H7" s="356"/>
      <c r="I7" s="356"/>
      <c r="J7" s="118" t="s">
        <v>613</v>
      </c>
      <c r="K7" s="91" t="s">
        <v>614</v>
      </c>
      <c r="L7" s="91" t="s">
        <v>615</v>
      </c>
      <c r="M7" s="97" t="s">
        <v>638</v>
      </c>
      <c r="N7" s="148" t="s">
        <v>642</v>
      </c>
      <c r="O7" s="92" t="s">
        <v>643</v>
      </c>
      <c r="P7" s="92" t="s">
        <v>618</v>
      </c>
      <c r="Q7" s="149" t="s">
        <v>619</v>
      </c>
      <c r="R7" s="239" t="s">
        <v>662</v>
      </c>
      <c r="S7" s="118" t="s">
        <v>613</v>
      </c>
      <c r="T7" s="91" t="s">
        <v>614</v>
      </c>
      <c r="U7" s="91" t="s">
        <v>615</v>
      </c>
      <c r="V7" s="97" t="s">
        <v>638</v>
      </c>
      <c r="W7" s="148" t="s">
        <v>584</v>
      </c>
      <c r="X7" s="92" t="s">
        <v>585</v>
      </c>
      <c r="Y7" s="92" t="s">
        <v>618</v>
      </c>
      <c r="Z7" s="93" t="s">
        <v>619</v>
      </c>
      <c r="AA7" s="93" t="s">
        <v>662</v>
      </c>
      <c r="AB7" s="91" t="s">
        <v>631</v>
      </c>
      <c r="AC7" s="97" t="s">
        <v>632</v>
      </c>
      <c r="AD7" s="148" t="s">
        <v>584</v>
      </c>
      <c r="AE7" s="92" t="s">
        <v>585</v>
      </c>
      <c r="AF7" s="92" t="s">
        <v>618</v>
      </c>
      <c r="AG7" s="93" t="s">
        <v>619</v>
      </c>
      <c r="AH7" s="93" t="s">
        <v>662</v>
      </c>
      <c r="AI7" s="91" t="s">
        <v>631</v>
      </c>
      <c r="AJ7" s="96" t="s">
        <v>632</v>
      </c>
      <c r="AK7" s="131" t="s">
        <v>613</v>
      </c>
      <c r="AL7" s="91" t="s">
        <v>614</v>
      </c>
      <c r="AM7" s="91" t="s">
        <v>615</v>
      </c>
      <c r="AN7" s="113" t="s">
        <v>638</v>
      </c>
      <c r="AO7" s="118" t="s">
        <v>622</v>
      </c>
      <c r="AP7" s="91" t="s">
        <v>633</v>
      </c>
      <c r="AQ7" s="91" t="s">
        <v>624</v>
      </c>
      <c r="AR7" s="97" t="s">
        <v>634</v>
      </c>
      <c r="AS7" s="131" t="s">
        <v>622</v>
      </c>
      <c r="AT7" s="91" t="s">
        <v>633</v>
      </c>
      <c r="AU7" s="91" t="s">
        <v>624</v>
      </c>
      <c r="AV7" s="113" t="s">
        <v>634</v>
      </c>
      <c r="AW7" s="137" t="s">
        <v>637</v>
      </c>
      <c r="AX7" s="131" t="s">
        <v>613</v>
      </c>
      <c r="AY7" s="91" t="s">
        <v>614</v>
      </c>
      <c r="AZ7" s="91" t="s">
        <v>615</v>
      </c>
      <c r="BA7" s="91" t="s">
        <v>638</v>
      </c>
      <c r="BB7" s="113" t="s">
        <v>640</v>
      </c>
      <c r="BC7" s="118" t="s">
        <v>631</v>
      </c>
      <c r="BD7" s="97" t="s">
        <v>647</v>
      </c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</row>
    <row r="8" spans="1:79" s="10" customFormat="1" ht="15.6" thickBot="1">
      <c r="B8" s="189">
        <v>1</v>
      </c>
      <c r="C8" s="190">
        <f>B8+1</f>
        <v>2</v>
      </c>
      <c r="D8" s="191">
        <f t="shared" ref="D8:BD8" si="2">C8+1</f>
        <v>3</v>
      </c>
      <c r="E8" s="192">
        <f t="shared" si="2"/>
        <v>4</v>
      </c>
      <c r="F8" s="192">
        <f t="shared" si="2"/>
        <v>5</v>
      </c>
      <c r="G8" s="193">
        <f t="shared" si="2"/>
        <v>6</v>
      </c>
      <c r="H8" s="194">
        <f t="shared" si="2"/>
        <v>7</v>
      </c>
      <c r="I8" s="194">
        <f t="shared" si="2"/>
        <v>8</v>
      </c>
      <c r="J8" s="191">
        <f>I8+1</f>
        <v>9</v>
      </c>
      <c r="K8" s="192">
        <f t="shared" si="2"/>
        <v>10</v>
      </c>
      <c r="L8" s="192">
        <f t="shared" si="2"/>
        <v>11</v>
      </c>
      <c r="M8" s="193">
        <f t="shared" si="2"/>
        <v>12</v>
      </c>
      <c r="N8" s="191">
        <f t="shared" si="2"/>
        <v>13</v>
      </c>
      <c r="O8" s="192">
        <f t="shared" si="2"/>
        <v>14</v>
      </c>
      <c r="P8" s="192">
        <f t="shared" si="2"/>
        <v>15</v>
      </c>
      <c r="Q8" s="193">
        <f t="shared" si="2"/>
        <v>16</v>
      </c>
      <c r="R8" s="191">
        <f>Q8+1</f>
        <v>17</v>
      </c>
      <c r="S8" s="191">
        <f>R8+1</f>
        <v>18</v>
      </c>
      <c r="T8" s="192">
        <f t="shared" si="2"/>
        <v>19</v>
      </c>
      <c r="U8" s="192">
        <f t="shared" si="2"/>
        <v>20</v>
      </c>
      <c r="V8" s="193">
        <f t="shared" si="2"/>
        <v>21</v>
      </c>
      <c r="W8" s="191">
        <f t="shared" si="2"/>
        <v>22</v>
      </c>
      <c r="X8" s="192">
        <f t="shared" si="2"/>
        <v>23</v>
      </c>
      <c r="Y8" s="192">
        <f t="shared" si="2"/>
        <v>24</v>
      </c>
      <c r="Z8" s="192">
        <f t="shared" si="2"/>
        <v>25</v>
      </c>
      <c r="AA8" s="192"/>
      <c r="AB8" s="192">
        <f>Z8+1</f>
        <v>26</v>
      </c>
      <c r="AC8" s="193">
        <f t="shared" si="2"/>
        <v>27</v>
      </c>
      <c r="AD8" s="191">
        <f t="shared" si="2"/>
        <v>28</v>
      </c>
      <c r="AE8" s="192">
        <f t="shared" si="2"/>
        <v>29</v>
      </c>
      <c r="AF8" s="192">
        <f t="shared" si="2"/>
        <v>30</v>
      </c>
      <c r="AG8" s="192">
        <f t="shared" si="2"/>
        <v>31</v>
      </c>
      <c r="AH8" s="192">
        <f>AG8+1</f>
        <v>32</v>
      </c>
      <c r="AI8" s="192">
        <f>AH8+1</f>
        <v>33</v>
      </c>
      <c r="AJ8" s="193">
        <f t="shared" si="2"/>
        <v>34</v>
      </c>
      <c r="AK8" s="195">
        <f t="shared" si="2"/>
        <v>35</v>
      </c>
      <c r="AL8" s="192">
        <f t="shared" si="2"/>
        <v>36</v>
      </c>
      <c r="AM8" s="192">
        <f t="shared" si="2"/>
        <v>37</v>
      </c>
      <c r="AN8" s="190">
        <f t="shared" si="2"/>
        <v>38</v>
      </c>
      <c r="AO8" s="191">
        <f t="shared" si="2"/>
        <v>39</v>
      </c>
      <c r="AP8" s="192">
        <f t="shared" si="2"/>
        <v>40</v>
      </c>
      <c r="AQ8" s="192">
        <f t="shared" si="2"/>
        <v>41</v>
      </c>
      <c r="AR8" s="193">
        <f t="shared" si="2"/>
        <v>42</v>
      </c>
      <c r="AS8" s="195">
        <f t="shared" si="2"/>
        <v>43</v>
      </c>
      <c r="AT8" s="192">
        <f t="shared" si="2"/>
        <v>44</v>
      </c>
      <c r="AU8" s="192">
        <f t="shared" si="2"/>
        <v>45</v>
      </c>
      <c r="AV8" s="190">
        <f t="shared" si="2"/>
        <v>46</v>
      </c>
      <c r="AW8" s="194">
        <f t="shared" si="2"/>
        <v>47</v>
      </c>
      <c r="AX8" s="195">
        <f t="shared" si="2"/>
        <v>48</v>
      </c>
      <c r="AY8" s="192">
        <f t="shared" si="2"/>
        <v>49</v>
      </c>
      <c r="AZ8" s="192">
        <f t="shared" si="2"/>
        <v>50</v>
      </c>
      <c r="BA8" s="192">
        <f t="shared" si="2"/>
        <v>51</v>
      </c>
      <c r="BB8" s="190">
        <f t="shared" si="2"/>
        <v>52</v>
      </c>
      <c r="BC8" s="191">
        <f t="shared" si="2"/>
        <v>53</v>
      </c>
      <c r="BD8" s="193">
        <f t="shared" si="2"/>
        <v>54</v>
      </c>
      <c r="BE8" s="82"/>
      <c r="BF8" s="82"/>
      <c r="BG8" s="82"/>
      <c r="BH8" s="82"/>
    </row>
    <row r="9" spans="1:79" s="196" customFormat="1" ht="30" customHeight="1">
      <c r="B9" s="197"/>
      <c r="C9" s="198" t="s">
        <v>617</v>
      </c>
      <c r="D9" s="119"/>
      <c r="E9" s="111"/>
      <c r="F9" s="111"/>
      <c r="G9" s="112"/>
      <c r="H9" s="146" t="str">
        <f>_xlfn.TEXTJOIN(,0,COUNTIF('РО - регионы'!$D$16:$D$104,2)," / ",COUNTIF('РО - регионы'!$D$16:$D$104,1)," / ",COUNTIF('РО - регионы'!$D$16:$D$104,0)," из ",COUNTIF('РО - регионы'!$D$16:$D$104,"&lt;&gt;"""))</f>
        <v>4 / 40 / 45 из 89</v>
      </c>
      <c r="I9" s="234"/>
      <c r="J9" s="119"/>
      <c r="K9" s="111"/>
      <c r="L9" s="111"/>
      <c r="M9" s="208"/>
      <c r="N9" s="369" t="e">
        <f ca="1">_xlfn.TEXTJOIN(,0,COUNTIF(Спецтехника!$D$16:$D$104,2)," / ",COUNTIF(Спецтехника!$D$16:$D$104,1)," / ",COUNTIF(Спецтехника!$D$16:$D$104,0)," из ",COUNTIF(Спецтехника!$D$16:$D$104,"&lt;&gt;"""))</f>
        <v>#NAME?</v>
      </c>
      <c r="O9" s="370"/>
      <c r="P9" s="370"/>
      <c r="Q9" s="371"/>
      <c r="R9" s="240"/>
      <c r="S9" s="119"/>
      <c r="T9" s="111"/>
      <c r="U9" s="111"/>
      <c r="V9" s="209"/>
      <c r="W9" s="372" t="str">
        <f>_xlfn.TEXTJOIN(,0,COUNTIF(МНО!$D$16:$D$104,2)," / ",COUNTIF(МНО!$D$16:$D$104,1)," / ",COUNTIF(МНО!$D$16:$D$104,0)," из ",COUNTIF(МНО!$D$16:$D$104,"&lt;&gt;"""))</f>
        <v>22 / 21 / 46 из 89</v>
      </c>
      <c r="X9" s="373"/>
      <c r="Y9" s="373"/>
      <c r="Z9" s="373"/>
      <c r="AA9" s="373"/>
      <c r="AB9" s="373"/>
      <c r="AC9" s="374"/>
      <c r="AD9" s="372" t="str">
        <f>_xlfn.TEXTJOIN(,0,COUNTIF(Контейнеры!$D$16:$D$104,2)," / ",COUNTIF(Контейнеры!$D$16:$D$104,1)," / ",COUNTIF(Контейнеры!$D$16:$D$104,0)," из ",COUNTIF(Контейнеры!$D$16:$D$104,"&lt;&gt;"""))</f>
        <v>23 / 24 / 42 из 89</v>
      </c>
      <c r="AE9" s="373"/>
      <c r="AF9" s="373"/>
      <c r="AG9" s="373"/>
      <c r="AH9" s="373"/>
      <c r="AI9" s="373"/>
      <c r="AJ9" s="374"/>
      <c r="AK9" s="145"/>
      <c r="AL9" s="111"/>
      <c r="AM9" s="111"/>
      <c r="AN9" s="209"/>
      <c r="AO9" s="375" t="str">
        <f>_xlfn.TEXTJOIN(,0,COUNTIF(Обработка!$D$16:$D$104,2)," / ",COUNTIF(Обработка!$D$16:$D$104,1)," / ",COUNTIF(Обработка!$D$16:$D$104,0)," из ",COUNTIF(Обработка!$D$16:$D$104,"&lt;&gt;"""))</f>
        <v>4 / 23 / 23 из 89</v>
      </c>
      <c r="AP9" s="376"/>
      <c r="AQ9" s="376"/>
      <c r="AR9" s="377"/>
      <c r="AS9" s="378" t="str">
        <f>_xlfn.TEXTJOIN(,0,COUNTIF(Утилизация!$D$16:$D$104,2)," / ",COUNTIF(Утилизация!$D$16:$D$104,1)," / ",COUNTIF(Утилизация!$D$16:$D$104,0)," из ",COUNTIF(Утилизация!$D$16:$D$104,"&lt;&gt;"""))</f>
        <v>25 / 29 / 6 из 89</v>
      </c>
      <c r="AT9" s="376"/>
      <c r="AU9" s="376"/>
      <c r="AV9" s="379"/>
      <c r="AW9" s="138" t="str">
        <f>_xlfn.TEXTJOIN(,0,COUNTIF(Захоронение!$D$16:$D$104,2),"/",COUNTIF(Захоронение!$D$16:$D$104,1),"/",COUNTIF(Захоронение!$D$16:$D$104,0)," из ",COUNTIF(Захоронение!$D$16:$D$104,"&lt;&gt;"""))</f>
        <v>29/16/44 из 89</v>
      </c>
      <c r="AX9" s="132"/>
      <c r="AY9" s="129"/>
      <c r="AZ9" s="129"/>
      <c r="BA9" s="209"/>
      <c r="BB9" s="124" t="str">
        <f>'ДК ИП'!F15</f>
        <v>14 / 19 / 13</v>
      </c>
      <c r="BC9" s="119"/>
      <c r="BD9" s="112"/>
      <c r="BE9" s="83"/>
      <c r="BF9" s="83"/>
      <c r="BG9" s="83"/>
      <c r="BH9" s="83"/>
      <c r="BI9" s="90"/>
      <c r="BJ9" s="90"/>
      <c r="BK9" s="90"/>
      <c r="BL9" s="90"/>
      <c r="BM9" s="90"/>
      <c r="BN9" s="90"/>
      <c r="BO9" s="90"/>
      <c r="BP9" s="90"/>
      <c r="BQ9" s="90"/>
      <c r="BR9" s="90"/>
      <c r="BS9" s="90"/>
      <c r="BT9" s="90"/>
      <c r="BU9" s="90"/>
      <c r="BV9" s="90"/>
      <c r="BW9" s="90"/>
      <c r="BX9" s="90"/>
      <c r="BY9" s="90"/>
      <c r="BZ9" s="90"/>
      <c r="CA9" s="90"/>
    </row>
    <row r="10" spans="1:79" s="196" customFormat="1" ht="30" customHeight="1" thickBot="1">
      <c r="B10" s="199"/>
      <c r="C10" s="200" t="s">
        <v>616</v>
      </c>
      <c r="D10" s="120">
        <f>Штаб!G15</f>
        <v>36</v>
      </c>
      <c r="E10" s="105">
        <f>Штаб!H15</f>
        <v>14</v>
      </c>
      <c r="F10" s="105">
        <f>Штаб!I15</f>
        <v>15</v>
      </c>
      <c r="G10" s="110">
        <f>Штаб!J15</f>
        <v>24</v>
      </c>
      <c r="H10" s="147" t="str">
        <f>_xlfn.TEXTJOIN(,0,'РО - регионы'!I15," из ",'РО - регионы'!H15)</f>
        <v>4/97/159 из 260</v>
      </c>
      <c r="I10" s="235"/>
      <c r="J10" s="120"/>
      <c r="K10" s="105"/>
      <c r="L10" s="105"/>
      <c r="M10" s="110"/>
      <c r="N10" s="150">
        <f>Спецтехника!E15</f>
        <v>25984</v>
      </c>
      <c r="O10" s="106">
        <f>Спецтехника!F15</f>
        <v>23597</v>
      </c>
      <c r="P10" s="106">
        <f>Спецтехника!G15</f>
        <v>2387</v>
      </c>
      <c r="Q10" s="151">
        <f>Спецтехника!H15</f>
        <v>9.1864224137931036E-2</v>
      </c>
      <c r="R10" s="233"/>
      <c r="S10" s="120"/>
      <c r="T10" s="105"/>
      <c r="U10" s="105"/>
      <c r="V10" s="110"/>
      <c r="W10" s="150">
        <f>МНО!Q15</f>
        <v>1201872</v>
      </c>
      <c r="X10" s="106">
        <f>МНО!I15</f>
        <v>980980</v>
      </c>
      <c r="Y10" s="106">
        <f>МНО!L15</f>
        <v>220892</v>
      </c>
      <c r="Z10" s="107">
        <f>МНО!R15</f>
        <v>0.18378995433789955</v>
      </c>
      <c r="AA10" s="107"/>
      <c r="AB10" s="108">
        <f>МНО!N15</f>
        <v>5.9442443379488017</v>
      </c>
      <c r="AC10" s="152">
        <f>МНО!S15</f>
        <v>0.67392218341499344</v>
      </c>
      <c r="AD10" s="150">
        <f>Контейнеры!Q15</f>
        <v>2366240</v>
      </c>
      <c r="AE10" s="106">
        <f>Контейнеры!I15</f>
        <v>2005049</v>
      </c>
      <c r="AF10" s="106">
        <f>Контейнеры!L15</f>
        <v>361191</v>
      </c>
      <c r="AG10" s="107">
        <f>Контейнеры!R15</f>
        <v>0.15264343430928393</v>
      </c>
      <c r="AH10" s="107"/>
      <c r="AI10" s="108">
        <f>Контейнеры!N15</f>
        <v>13.719043282072189</v>
      </c>
      <c r="AJ10" s="156">
        <f>Контейнеры!S15</f>
        <v>0.81796834682642161</v>
      </c>
      <c r="AK10" s="133"/>
      <c r="AL10" s="105"/>
      <c r="AM10" s="105"/>
      <c r="AN10" s="114"/>
      <c r="AO10" s="158">
        <f>Обработка!G15</f>
        <v>0.54300000000000004</v>
      </c>
      <c r="AP10" s="109">
        <v>0</v>
      </c>
      <c r="AQ10" s="109">
        <f>Обработка!H15</f>
        <v>0.80700000000000005</v>
      </c>
      <c r="AR10" s="159">
        <v>0</v>
      </c>
      <c r="AS10" s="157">
        <f>Утилизация!G15</f>
        <v>0.13900000000000001</v>
      </c>
      <c r="AT10" s="109">
        <v>0</v>
      </c>
      <c r="AU10" s="109">
        <f>Утилизация!H15</f>
        <v>0.28599999999999998</v>
      </c>
      <c r="AV10" s="130">
        <v>0</v>
      </c>
      <c r="AW10" s="139"/>
      <c r="AX10" s="133"/>
      <c r="AY10" s="105"/>
      <c r="AZ10" s="105"/>
      <c r="BA10" s="110"/>
      <c r="BB10" s="125"/>
      <c r="BC10" s="120"/>
      <c r="BD10" s="110"/>
      <c r="BE10" s="83"/>
      <c r="BF10" s="83"/>
      <c r="BG10" s="83"/>
      <c r="BH10" s="83"/>
      <c r="BI10" s="90"/>
      <c r="BJ10" s="90"/>
      <c r="BK10" s="90"/>
      <c r="BL10" s="90"/>
      <c r="BM10" s="90"/>
      <c r="BN10" s="90"/>
      <c r="BO10" s="90"/>
      <c r="BP10" s="90"/>
      <c r="BQ10" s="90"/>
      <c r="BR10" s="90"/>
      <c r="BS10" s="90"/>
      <c r="BT10" s="90"/>
      <c r="BU10" s="90"/>
      <c r="BV10" s="90"/>
      <c r="BW10" s="90"/>
      <c r="BX10" s="90"/>
      <c r="BY10" s="90"/>
      <c r="BZ10" s="90"/>
      <c r="CA10" s="90"/>
    </row>
    <row r="11" spans="1:79" ht="30" customHeight="1">
      <c r="A11" s="9" t="s">
        <v>657</v>
      </c>
      <c r="B11" s="260">
        <f t="shared" ref="B11:B74" si="3">B10+1</f>
        <v>1</v>
      </c>
      <c r="C11" s="257" t="s">
        <v>17</v>
      </c>
      <c r="D11" s="224" t="str">
        <f>VLOOKUP($C11,Штаб!$B$16:$J$104,6,0)</f>
        <v/>
      </c>
      <c r="E11" s="225" t="str">
        <f>VLOOKUP($C11,Штаб!$B$16:$J$104,7,0)</f>
        <v/>
      </c>
      <c r="F11" s="225" t="str">
        <f>VLOOKUP($C11,Штаб!$B$16:$J$104,8,0)</f>
        <v/>
      </c>
      <c r="G11" s="226" t="str">
        <f>VLOOKUP($C11,Штаб!$B$16:$J$104,9,0)</f>
        <v>✔️</v>
      </c>
      <c r="H11" s="210" t="str">
        <f>VLOOKUP(C11,'РО - регионы'!$B$16:$I$104,8,0)</f>
        <v>0 / 0 / 1 из 1</v>
      </c>
      <c r="I11" s="236"/>
      <c r="J11" s="121"/>
      <c r="K11" s="102"/>
      <c r="L11" s="102"/>
      <c r="M11" s="104"/>
      <c r="N11" s="212">
        <f>VLOOKUP(C11,Спецтехника!$B$16:$J$104,4,0)</f>
        <v>1502</v>
      </c>
      <c r="O11" s="214">
        <f>VLOOKUP(C11,Спецтехника!$B$16:$J$104,5,0)</f>
        <v>1502</v>
      </c>
      <c r="P11" s="214">
        <f>VLOOKUP(C11,Спецтехника!$B$16:$J$104,6,0)</f>
        <v>0</v>
      </c>
      <c r="Q11" s="216">
        <f>VLOOKUP(C11,Спецтехника!$B$16:$J$104,7,0)</f>
        <v>0</v>
      </c>
      <c r="R11" s="241"/>
      <c r="S11" s="121"/>
      <c r="T11" s="102"/>
      <c r="U11" s="102"/>
      <c r="V11" s="104"/>
      <c r="W11" s="212">
        <f>VLOOKUP($C11,МНО!$B$16:$AB$104,16,0)</f>
        <v>0</v>
      </c>
      <c r="X11" s="214">
        <f>VLOOKUP($C11,МНО!$B$16:$AB$104,8,0)</f>
        <v>0</v>
      </c>
      <c r="Y11" s="214">
        <f>VLOOKUP($C11,МНО!$B$16:$AB$104,11,0)</f>
        <v>0</v>
      </c>
      <c r="Z11" s="218">
        <f>VLOOKUP($C11,МНО!$B$16:$AB$104,17,0)</f>
        <v>0</v>
      </c>
      <c r="AA11" s="244"/>
      <c r="AB11" s="103"/>
      <c r="AC11" s="153"/>
      <c r="AD11" s="212">
        <f>VLOOKUP($C11,Контейнеры!$B$16:$AB$104,16,0)</f>
        <v>0</v>
      </c>
      <c r="AE11" s="214">
        <f>VLOOKUP($C11,Контейнеры!$B$16:$AB$104,8,0)</f>
        <v>0</v>
      </c>
      <c r="AF11" s="214">
        <f>VLOOKUP($C11,Контейнеры!$B$16:$AB$104,11,0)</f>
        <v>0</v>
      </c>
      <c r="AG11" s="218">
        <f>VLOOKUP($C11,Контейнеры!$B$16:$AB$104,17,0)</f>
        <v>0</v>
      </c>
      <c r="AH11" s="244"/>
      <c r="AI11" s="103"/>
      <c r="AJ11" s="153"/>
      <c r="AK11" s="134"/>
      <c r="AL11" s="102"/>
      <c r="AM11" s="102"/>
      <c r="AN11" s="115"/>
      <c r="AO11" s="219">
        <f>VLOOKUP($C11,Обработка!$B$16:$L$104,6,0)</f>
        <v>0.98699999999999999</v>
      </c>
      <c r="AP11" s="175">
        <f t="shared" ref="AP11:AP74" si="4">AO11-$AO$10</f>
        <v>0.44399999999999995</v>
      </c>
      <c r="AQ11" s="175">
        <f>VLOOKUP($C11,Обработка!$B$16:$L$104,7,0)</f>
        <v>0.9</v>
      </c>
      <c r="AR11" s="176">
        <f t="shared" ref="AR11:AR74" si="5">AQ11-$AQ$10</f>
        <v>9.2999999999999972E-2</v>
      </c>
      <c r="AS11" s="221">
        <f>VLOOKUP($C11,Утилизация!$B$16:$L$104,6,0)</f>
        <v>0.50800000000000001</v>
      </c>
      <c r="AT11" s="175">
        <f t="shared" ref="AT11:AT74" si="6">AS11-$AS$10</f>
        <v>0.36899999999999999</v>
      </c>
      <c r="AU11" s="175">
        <f>VLOOKUP($C11,Утилизация!$B$16:$L$104,7,0)</f>
        <v>0.47</v>
      </c>
      <c r="AV11" s="183">
        <f t="shared" ref="AV11:AV74" si="7">AU11-$AU$10</f>
        <v>0.184</v>
      </c>
      <c r="AW11" s="210" t="str">
        <f>VLOOKUP(C11,Захоронение!$B$16:$Q$104,16,0)</f>
        <v/>
      </c>
      <c r="AX11" s="134"/>
      <c r="AY11" s="102"/>
      <c r="AZ11" s="102"/>
      <c r="BA11" s="104"/>
      <c r="BB11" s="126" t="str">
        <f>VLOOKUP(C11,'ДК ИП'!$B$16:$S$104,5,0)</f>
        <v>не подписана</v>
      </c>
      <c r="BC11" s="224">
        <f>VLOOKUP(C11,'Радар олд'!$B$3:$E$87,4,0)</f>
        <v>3.1559408152350268E-2</v>
      </c>
      <c r="BD11" s="104"/>
      <c r="BI11" s="8">
        <f t="shared" ref="BI11:BI74" si="8">IF(CA11&gt;=1.3,2,IF(CA11&gt;=0.8,1,0))</f>
        <v>0</v>
      </c>
      <c r="BJ11" s="8">
        <f>VLOOKUP(C11,Штаб!$B$16:$C$104,2)</f>
        <v>2</v>
      </c>
      <c r="BK11" s="8">
        <f>VLOOKUP(C11,'РО - регионы'!$B$16:$C$104,2)</f>
        <v>0</v>
      </c>
      <c r="BL11" s="8">
        <f>VLOOKUP(C11,'РО - регионы'!$B$16:$L$104,11)</f>
        <v>0</v>
      </c>
      <c r="BM11" s="8">
        <f>VLOOKUP(C11,Спецтехника!$B$16:$C$104,2)</f>
        <v>0</v>
      </c>
      <c r="BN11" s="8">
        <f>VLOOKUP($C11,МНО!$B$16:$AB$104,6,0)</f>
        <v>0</v>
      </c>
      <c r="BO11" s="8">
        <f>VLOOKUP($C11,МНО!$B$16:$AB$104,4,0)</f>
        <v>0</v>
      </c>
      <c r="BP11" s="8">
        <f>VLOOKUP($C11,МНО!$B$16:$AB$104,5,0)</f>
        <v>0</v>
      </c>
      <c r="BQ11" s="8">
        <f>VLOOKUP($C11,Контейнеры!$B$16:$G$104,6,0)</f>
        <v>0</v>
      </c>
      <c r="BR11" s="8">
        <f>VLOOKUP($C11,Контейнеры!$B$16:$G$104,4,0)</f>
        <v>0</v>
      </c>
      <c r="BS11" s="8">
        <f>VLOOKUP($C11,Контейнеры!$B$16:$G$104,5,0)</f>
        <v>0</v>
      </c>
      <c r="BT11" s="8">
        <f>VLOOKUP($C11,'ДК МНО'!$B$16:$C$104,2,0)</f>
        <v>2</v>
      </c>
      <c r="BU11" s="8">
        <f>VLOOKUP($C11,Обработка!$B$16:$F$104,5,0)</f>
        <v>0</v>
      </c>
      <c r="BV11" s="8">
        <f>VLOOKUP($C11,Обработка!$B$16:$F$104,4,0)</f>
        <v>0</v>
      </c>
      <c r="BW11" s="8">
        <f>VLOOKUP($C11,Утилизация!$B$16:$F$104,5,0)</f>
        <v>0</v>
      </c>
      <c r="BX11" s="8">
        <f>VLOOKUP($C11,Утилизация!$B$16:$F$104,4,0)</f>
        <v>0</v>
      </c>
      <c r="BY11" s="8">
        <f>VLOOKUP($C11,Захоронение!$B$16:$C$104,2,0)</f>
        <v>0</v>
      </c>
      <c r="BZ11" s="8">
        <f>VLOOKUP($C11,'ДК ИП'!$B$16:$C$104,2,0)</f>
        <v>0</v>
      </c>
      <c r="CA11" s="8">
        <f t="shared" ref="CA11:CA74" si="9">SUMPRODUCT(BJ11:BZ11,$BJ$5:$BZ$5)</f>
        <v>0</v>
      </c>
    </row>
    <row r="12" spans="1:79" ht="30" customHeight="1">
      <c r="A12" s="9" t="s">
        <v>657</v>
      </c>
      <c r="B12" s="261">
        <f t="shared" si="3"/>
        <v>2</v>
      </c>
      <c r="C12" s="258" t="s">
        <v>39</v>
      </c>
      <c r="D12" s="227" t="str">
        <f>VLOOKUP($C12,Штаб!$B$16:$J$104,6,0)</f>
        <v/>
      </c>
      <c r="E12" s="228" t="str">
        <f>VLOOKUP($C12,Штаб!$B$16:$J$104,7,0)</f>
        <v/>
      </c>
      <c r="F12" s="228" t="str">
        <f>VLOOKUP($C12,Штаб!$B$16:$J$104,8,0)</f>
        <v/>
      </c>
      <c r="G12" s="229" t="str">
        <f>VLOOKUP($C12,Штаб!$B$16:$J$104,9,0)</f>
        <v>✔️</v>
      </c>
      <c r="H12" s="161" t="str">
        <f>VLOOKUP(C12,'РО - регионы'!$B$16:$I$104,8,0)</f>
        <v>0 / 0 / 7 из 7</v>
      </c>
      <c r="I12" s="237"/>
      <c r="J12" s="122"/>
      <c r="K12" s="94"/>
      <c r="L12" s="94"/>
      <c r="M12" s="98"/>
      <c r="N12" s="163">
        <f>VLOOKUP(C12,Спецтехника!$B$16:$J$104,4,0)</f>
        <v>1653</v>
      </c>
      <c r="O12" s="166">
        <f>VLOOKUP(C12,Спецтехника!$B$16:$J$104,5,0)</f>
        <v>1515</v>
      </c>
      <c r="P12" s="166">
        <f>VLOOKUP(C12,Спецтехника!$B$16:$J$104,6,0)</f>
        <v>138</v>
      </c>
      <c r="Q12" s="169">
        <f>VLOOKUP(C12,Спецтехника!$B$16:$J$104,7,0)</f>
        <v>8.3484573502722328E-2</v>
      </c>
      <c r="R12" s="242"/>
      <c r="S12" s="122"/>
      <c r="T12" s="94"/>
      <c r="U12" s="94"/>
      <c r="V12" s="98"/>
      <c r="W12" s="163">
        <f>VLOOKUP($C12,МНО!$B$16:$AB$104,16,0)</f>
        <v>80049</v>
      </c>
      <c r="X12" s="166">
        <f>VLOOKUP($C12,МНО!$B$16:$AB$104,8,0)</f>
        <v>79870</v>
      </c>
      <c r="Y12" s="166">
        <f>VLOOKUP($C12,МНО!$B$16:$AB$104,11,0)</f>
        <v>179</v>
      </c>
      <c r="Z12" s="173">
        <f>VLOOKUP($C12,МНО!$B$16:$AB$104,17,0)</f>
        <v>2.2361303701482842E-3</v>
      </c>
      <c r="AA12" s="245"/>
      <c r="AB12" s="95">
        <f>VLOOKUP($C12,МНО!$B$16:$AB$104,13,0)</f>
        <v>7.6800373587200017</v>
      </c>
      <c r="AC12" s="154">
        <f>VLOOKUP($C12,МНО!$B$16:$AB$104,18,0)</f>
        <v>1</v>
      </c>
      <c r="AD12" s="163">
        <f>VLOOKUP($C12,Контейнеры!$B$16:$AB$104,16,0)</f>
        <v>222866</v>
      </c>
      <c r="AE12" s="166">
        <f>VLOOKUP($C12,Контейнеры!$B$16:$AB$104,8,0)</f>
        <v>207855</v>
      </c>
      <c r="AF12" s="166">
        <f>VLOOKUP($C12,Контейнеры!$B$16:$AB$104,11,0)</f>
        <v>15011</v>
      </c>
      <c r="AG12" s="173">
        <f>VLOOKUP($C12,Контейнеры!$B$16:$AB$104,17,0)</f>
        <v>6.7354374377428583E-2</v>
      </c>
      <c r="AH12" s="245"/>
      <c r="AI12" s="95">
        <f>VLOOKUP($C12,Контейнеры!$B$16:$AB$104,13,0)</f>
        <v>24.025980030654495</v>
      </c>
      <c r="AJ12" s="154">
        <f>VLOOKUP($C12,Контейнеры!$B$16:$AB$104,18,0)</f>
        <v>1</v>
      </c>
      <c r="AK12" s="135"/>
      <c r="AL12" s="94"/>
      <c r="AM12" s="94"/>
      <c r="AN12" s="116"/>
      <c r="AO12" s="78">
        <f>VLOOKUP($C12,Обработка!$B$16:$L$104,6,0)</f>
        <v>1</v>
      </c>
      <c r="AP12" s="75">
        <f t="shared" si="4"/>
        <v>0.45699999999999996</v>
      </c>
      <c r="AQ12" s="75">
        <f>VLOOKUP($C12,Обработка!$B$16:$L$104,7,0)</f>
        <v>1</v>
      </c>
      <c r="AR12" s="178">
        <f t="shared" si="5"/>
        <v>0.19299999999999995</v>
      </c>
      <c r="AS12" s="182">
        <f>VLOOKUP($C12,Утилизация!$B$16:$L$104,6,0)</f>
        <v>0.5</v>
      </c>
      <c r="AT12" s="75">
        <f t="shared" si="6"/>
        <v>0.36099999999999999</v>
      </c>
      <c r="AU12" s="75">
        <f>VLOOKUP($C12,Утилизация!$B$16:$L$104,7,0)</f>
        <v>0.6</v>
      </c>
      <c r="AV12" s="185">
        <f t="shared" si="7"/>
        <v>0.314</v>
      </c>
      <c r="AW12" s="161" t="str">
        <f>VLOOKUP(C12,Захоронение!$B$16:$Q$104,16,0)</f>
        <v/>
      </c>
      <c r="AX12" s="135"/>
      <c r="AY12" s="94"/>
      <c r="AZ12" s="94"/>
      <c r="BA12" s="98"/>
      <c r="BB12" s="127" t="str">
        <f>VLOOKUP(C12,'ДК ИП'!$B$16:$S$104,5,0)</f>
        <v>не подписана</v>
      </c>
      <c r="BC12" s="224">
        <f>VLOOKUP(C12,'Радар олд'!$B$3:$E$87,4,0)</f>
        <v>0.10900146337065353</v>
      </c>
      <c r="BD12" s="98"/>
      <c r="BI12" s="8">
        <f t="shared" si="8"/>
        <v>0</v>
      </c>
      <c r="BJ12" s="8">
        <f>VLOOKUP(C12,Штаб!$B$16:$C$104,2)</f>
        <v>2</v>
      </c>
      <c r="BK12" s="8">
        <f>VLOOKUP(C12,'РО - регионы'!$B$16:$C$104,2)</f>
        <v>0</v>
      </c>
      <c r="BL12" s="8">
        <f>VLOOKUP(C12,'РО - регионы'!$B$16:$L$104,11)</f>
        <v>0</v>
      </c>
      <c r="BM12" s="8">
        <f>VLOOKUP(C12,Спецтехника!$B$16:$C$104,2)</f>
        <v>0</v>
      </c>
      <c r="BN12" s="8">
        <f>VLOOKUP($C12,МНО!$B$16:$AB$104,6,0)</f>
        <v>0</v>
      </c>
      <c r="BO12" s="8">
        <f>VLOOKUP($C12,МНО!$B$16:$AB$104,4,0)</f>
        <v>0</v>
      </c>
      <c r="BP12" s="8">
        <f>VLOOKUP($C12,МНО!$B$16:$AB$104,5,0)</f>
        <v>0</v>
      </c>
      <c r="BQ12" s="8">
        <f>VLOOKUP($C12,Контейнеры!$B$16:$G$104,6,0)</f>
        <v>0</v>
      </c>
      <c r="BR12" s="8">
        <f>VLOOKUP($C12,Контейнеры!$B$16:$G$104,4,0)</f>
        <v>0</v>
      </c>
      <c r="BS12" s="8">
        <f>VLOOKUP($C12,Контейнеры!$B$16:$G$104,5,0)</f>
        <v>0</v>
      </c>
      <c r="BT12" s="8">
        <f>VLOOKUP($C12,'ДК МНО'!$B$16:$C$104,2,0)</f>
        <v>2</v>
      </c>
      <c r="BU12" s="8">
        <f>VLOOKUP($C12,Обработка!$B$16:$F$104,5,0)</f>
        <v>0</v>
      </c>
      <c r="BV12" s="8">
        <f>VLOOKUP($C12,Обработка!$B$16:$F$104,4,0)</f>
        <v>0</v>
      </c>
      <c r="BW12" s="8">
        <f>VLOOKUP($C12,Утилизация!$B$16:$F$104,5,0)</f>
        <v>0</v>
      </c>
      <c r="BX12" s="8">
        <f>VLOOKUP($C12,Утилизация!$B$16:$F$104,4,0)</f>
        <v>0</v>
      </c>
      <c r="BY12" s="8">
        <f>VLOOKUP($C12,Захоронение!$B$16:$C$104,2,0)</f>
        <v>0</v>
      </c>
      <c r="BZ12" s="8">
        <f>VLOOKUP($C12,'ДК ИП'!$B$16:$C$104,2,0)</f>
        <v>0</v>
      </c>
      <c r="CA12" s="8">
        <f t="shared" si="9"/>
        <v>0</v>
      </c>
    </row>
    <row r="13" spans="1:79" ht="30" customHeight="1">
      <c r="A13" s="9" t="s">
        <v>655</v>
      </c>
      <c r="B13" s="261">
        <f t="shared" si="3"/>
        <v>3</v>
      </c>
      <c r="C13" s="258" t="s">
        <v>18</v>
      </c>
      <c r="D13" s="227" t="str">
        <f>VLOOKUP($C13,Штаб!$B$16:$J$104,6,0)</f>
        <v/>
      </c>
      <c r="E13" s="228" t="str">
        <f>VLOOKUP($C13,Штаб!$B$16:$J$104,7,0)</f>
        <v>✔️</v>
      </c>
      <c r="F13" s="228" t="str">
        <f>VLOOKUP($C13,Штаб!$B$16:$J$104,8,0)</f>
        <v/>
      </c>
      <c r="G13" s="229" t="str">
        <f>VLOOKUP($C13,Штаб!$B$16:$J$104,9,0)</f>
        <v/>
      </c>
      <c r="H13" s="161" t="str">
        <f>VLOOKUP(C13,'РО - регионы'!$B$16:$I$104,8,0)</f>
        <v>0 / 0 / 1 из 1</v>
      </c>
      <c r="I13" s="237"/>
      <c r="J13" s="122"/>
      <c r="K13" s="94"/>
      <c r="L13" s="94"/>
      <c r="M13" s="98"/>
      <c r="N13" s="163">
        <f>VLOOKUP(C13,Спецтехника!$B$16:$J$104,4,0)</f>
        <v>869</v>
      </c>
      <c r="O13" s="166">
        <f>VLOOKUP(C13,Спецтехника!$B$16:$J$104,5,0)</f>
        <v>869</v>
      </c>
      <c r="P13" s="166">
        <f>VLOOKUP(C13,Спецтехника!$B$16:$J$104,6,0)</f>
        <v>0</v>
      </c>
      <c r="Q13" s="169">
        <f>VLOOKUP(C13,Спецтехника!$B$16:$J$104,7,0)</f>
        <v>0</v>
      </c>
      <c r="R13" s="242"/>
      <c r="S13" s="122"/>
      <c r="T13" s="94"/>
      <c r="U13" s="94"/>
      <c r="V13" s="98"/>
      <c r="W13" s="163">
        <f>VLOOKUP($C13,МНО!$B$16:$AB$104,16,0)</f>
        <v>0</v>
      </c>
      <c r="X13" s="166">
        <f>VLOOKUP($C13,МНО!$B$16:$AB$104,8,0)</f>
        <v>0</v>
      </c>
      <c r="Y13" s="166">
        <f>VLOOKUP($C13,МНО!$B$16:$AB$104,11,0)</f>
        <v>0</v>
      </c>
      <c r="Z13" s="173">
        <f>VLOOKUP($C13,МНО!$B$16:$AB$104,17,0)</f>
        <v>0</v>
      </c>
      <c r="AA13" s="245"/>
      <c r="AB13" s="95"/>
      <c r="AC13" s="154"/>
      <c r="AD13" s="163">
        <f>VLOOKUP($C13,Контейнеры!$B$16:$AB$104,16,0)</f>
        <v>0</v>
      </c>
      <c r="AE13" s="166">
        <f>VLOOKUP($C13,Контейнеры!$B$16:$AB$104,8,0)</f>
        <v>0</v>
      </c>
      <c r="AF13" s="166">
        <f>VLOOKUP($C13,Контейнеры!$B$16:$AB$104,11,0)</f>
        <v>0</v>
      </c>
      <c r="AG13" s="173">
        <f>VLOOKUP($C13,Контейнеры!$B$16:$AB$104,17,0)</f>
        <v>0</v>
      </c>
      <c r="AH13" s="245"/>
      <c r="AI13" s="95"/>
      <c r="AJ13" s="154"/>
      <c r="AK13" s="135"/>
      <c r="AL13" s="94"/>
      <c r="AM13" s="94"/>
      <c r="AN13" s="116"/>
      <c r="AO13" s="78">
        <f>VLOOKUP($C13,Обработка!$B$16:$L$104,6,0)</f>
        <v>0.75099999999999989</v>
      </c>
      <c r="AP13" s="75">
        <f t="shared" si="4"/>
        <v>0.20799999999999985</v>
      </c>
      <c r="AQ13" s="75">
        <f>VLOOKUP($C13,Обработка!$B$16:$L$104,7,0)</f>
        <v>1</v>
      </c>
      <c r="AR13" s="178">
        <f t="shared" si="5"/>
        <v>0.19299999999999995</v>
      </c>
      <c r="AS13" s="180">
        <f>VLOOKUP($C13,Утилизация!$B$16:$L$104,6,0)</f>
        <v>6.7000000000000004E-2</v>
      </c>
      <c r="AT13" s="76">
        <f t="shared" si="6"/>
        <v>-7.2000000000000008E-2</v>
      </c>
      <c r="AU13" s="75">
        <f>VLOOKUP($C13,Утилизация!$B$16:$L$104,7,0)</f>
        <v>0.5</v>
      </c>
      <c r="AV13" s="185">
        <f t="shared" si="7"/>
        <v>0.21400000000000002</v>
      </c>
      <c r="AW13" s="161" t="str">
        <f>VLOOKUP(C13,Захоронение!$B$16:$Q$104,16,0)</f>
        <v/>
      </c>
      <c r="AX13" s="135"/>
      <c r="AY13" s="94"/>
      <c r="AZ13" s="94"/>
      <c r="BA13" s="98"/>
      <c r="BB13" s="127" t="str">
        <f>VLOOKUP(C13,'ДК ИП'!$B$16:$S$104,5,0)</f>
        <v>нет</v>
      </c>
      <c r="BC13" s="224">
        <f>VLOOKUP(C13,'Радар олд'!$B$3:$E$87,4,0)</f>
        <v>0.1034341754018525</v>
      </c>
      <c r="BD13" s="98"/>
      <c r="BI13" s="8">
        <f t="shared" si="8"/>
        <v>0</v>
      </c>
      <c r="BJ13" s="8">
        <f>VLOOKUP(C13,Штаб!$B$16:$C$104,2)</f>
        <v>1</v>
      </c>
      <c r="BK13" s="8">
        <f>VLOOKUP(C13,'РО - регионы'!$B$16:$C$104,2)</f>
        <v>0</v>
      </c>
      <c r="BL13" s="8">
        <f>VLOOKUP(C13,'РО - регионы'!$B$16:$L$104,11)</f>
        <v>0</v>
      </c>
      <c r="BM13" s="8">
        <f>VLOOKUP(C13,Спецтехника!$B$16:$C$104,2)</f>
        <v>0</v>
      </c>
      <c r="BN13" s="8">
        <f>VLOOKUP($C13,МНО!$B$16:$AB$104,6,0)</f>
        <v>0</v>
      </c>
      <c r="BO13" s="8">
        <f>VLOOKUP($C13,МНО!$B$16:$AB$104,4,0)</f>
        <v>0</v>
      </c>
      <c r="BP13" s="8">
        <f>VLOOKUP($C13,МНО!$B$16:$AB$104,5,0)</f>
        <v>0</v>
      </c>
      <c r="BQ13" s="8">
        <f>VLOOKUP($C13,Контейнеры!$B$16:$G$104,6,0)</f>
        <v>0</v>
      </c>
      <c r="BR13" s="8">
        <f>VLOOKUP($C13,Контейнеры!$B$16:$G$104,4,0)</f>
        <v>0</v>
      </c>
      <c r="BS13" s="8">
        <f>VLOOKUP($C13,Контейнеры!$B$16:$G$104,5,0)</f>
        <v>0</v>
      </c>
      <c r="BT13" s="8">
        <f>VLOOKUP($C13,'ДК МНО'!$B$16:$C$104,2,0)</f>
        <v>2</v>
      </c>
      <c r="BU13" s="8">
        <f>VLOOKUP($C13,Обработка!$B$16:$F$104,5,0)</f>
        <v>0</v>
      </c>
      <c r="BV13" s="8">
        <f>VLOOKUP($C13,Обработка!$B$16:$F$104,4,0)</f>
        <v>0</v>
      </c>
      <c r="BW13" s="8">
        <f>VLOOKUP($C13,Утилизация!$B$16:$F$104,5,0)</f>
        <v>0</v>
      </c>
      <c r="BX13" s="8">
        <f>VLOOKUP($C13,Утилизация!$B$16:$F$104,4,0)</f>
        <v>2</v>
      </c>
      <c r="BY13" s="8">
        <f>VLOOKUP($C13,Захоронение!$B$16:$C$104,2,0)</f>
        <v>0</v>
      </c>
      <c r="BZ13" s="8">
        <f>VLOOKUP($C13,'ДК ИП'!$B$16:$C$104,2,0)</f>
        <v>0</v>
      </c>
      <c r="CA13" s="8">
        <f t="shared" si="9"/>
        <v>0.1</v>
      </c>
    </row>
    <row r="14" spans="1:79" ht="30" customHeight="1">
      <c r="A14" s="9" t="s">
        <v>655</v>
      </c>
      <c r="B14" s="261">
        <f t="shared" si="3"/>
        <v>4</v>
      </c>
      <c r="C14" s="258" t="s">
        <v>40</v>
      </c>
      <c r="D14" s="227" t="str">
        <f>VLOOKUP($C14,Штаб!$B$16:$J$104,6,0)</f>
        <v/>
      </c>
      <c r="E14" s="228" t="str">
        <f>VLOOKUP($C14,Штаб!$B$16:$J$104,7,0)</f>
        <v/>
      </c>
      <c r="F14" s="228" t="str">
        <f>VLOOKUP($C14,Штаб!$B$16:$J$104,8,0)</f>
        <v>✔️</v>
      </c>
      <c r="G14" s="229" t="str">
        <f>VLOOKUP($C14,Штаб!$B$16:$J$104,9,0)</f>
        <v/>
      </c>
      <c r="H14" s="161" t="str">
        <f>VLOOKUP(C14,'РО - регионы'!$B$16:$I$104,8,0)</f>
        <v>0 / 0 / 1 из 1</v>
      </c>
      <c r="I14" s="237"/>
      <c r="J14" s="122"/>
      <c r="K14" s="94"/>
      <c r="L14" s="94"/>
      <c r="M14" s="98"/>
      <c r="N14" s="163">
        <f>VLOOKUP(C14,Спецтехника!$B$16:$J$104,4,0)</f>
        <v>171</v>
      </c>
      <c r="O14" s="166">
        <f>VLOOKUP(C14,Спецтехника!$B$16:$J$104,5,0)</f>
        <v>171</v>
      </c>
      <c r="P14" s="166">
        <f>VLOOKUP(C14,Спецтехника!$B$16:$J$104,6,0)</f>
        <v>0</v>
      </c>
      <c r="Q14" s="169">
        <f>VLOOKUP(C14,Спецтехника!$B$16:$J$104,7,0)</f>
        <v>0</v>
      </c>
      <c r="R14" s="242"/>
      <c r="S14" s="122"/>
      <c r="T14" s="94"/>
      <c r="U14" s="94"/>
      <c r="V14" s="98"/>
      <c r="W14" s="163">
        <f>VLOOKUP($C14,МНО!$B$16:$AB$104,16,0)</f>
        <v>4970</v>
      </c>
      <c r="X14" s="166">
        <f>VLOOKUP($C14,МНО!$B$16:$AB$104,8,0)</f>
        <v>4920</v>
      </c>
      <c r="Y14" s="166">
        <f>VLOOKUP($C14,МНО!$B$16:$AB$104,11,0)</f>
        <v>50</v>
      </c>
      <c r="Z14" s="173">
        <f>VLOOKUP($C14,МНО!$B$16:$AB$104,17,0)</f>
        <v>1.0060362173038229E-2</v>
      </c>
      <c r="AA14" s="245"/>
      <c r="AB14" s="95">
        <f>VLOOKUP($C14,МНО!$B$16:$AB$104,13,0)</f>
        <v>6.5307005383600583</v>
      </c>
      <c r="AC14" s="154">
        <f>VLOOKUP($C14,МНО!$B$16:$AB$104,18,0)</f>
        <v>1</v>
      </c>
      <c r="AD14" s="164">
        <f>VLOOKUP($C14,Контейнеры!$B$16:$AB$104,16,0)</f>
        <v>12524</v>
      </c>
      <c r="AE14" s="167">
        <f>VLOOKUP($C14,Контейнеры!$B$16:$AB$104,8,0)</f>
        <v>12374</v>
      </c>
      <c r="AF14" s="167">
        <f>VLOOKUP($C14,Контейнеры!$B$16:$AB$104,11,0)</f>
        <v>150</v>
      </c>
      <c r="AG14" s="172">
        <f>VLOOKUP($C14,Контейнеры!$B$16:$AB$104,17,0)</f>
        <v>1.1977004152028107E-2</v>
      </c>
      <c r="AH14" s="245"/>
      <c r="AI14" s="95">
        <f>VLOOKUP($C14,Контейнеры!$B$16:$AB$104,13,0)</f>
        <v>18.850218908716439</v>
      </c>
      <c r="AJ14" s="154">
        <f>VLOOKUP($C14,Контейнеры!$B$16:$AB$104,18,0)</f>
        <v>1</v>
      </c>
      <c r="AK14" s="135"/>
      <c r="AL14" s="94"/>
      <c r="AM14" s="94"/>
      <c r="AN14" s="116"/>
      <c r="AO14" s="78">
        <f>VLOOKUP($C14,Обработка!$B$16:$L$104,6,0)</f>
        <v>0.996</v>
      </c>
      <c r="AP14" s="75">
        <f t="shared" si="4"/>
        <v>0.45299999999999996</v>
      </c>
      <c r="AQ14" s="75">
        <f>VLOOKUP($C14,Обработка!$B$16:$L$104,7,0)</f>
        <v>0.85</v>
      </c>
      <c r="AR14" s="178">
        <f t="shared" si="5"/>
        <v>4.2999999999999927E-2</v>
      </c>
      <c r="AS14" s="181">
        <f>VLOOKUP($C14,Утилизация!$B$16:$L$104,6,0)</f>
        <v>7.0000000000000007E-2</v>
      </c>
      <c r="AT14" s="74">
        <f t="shared" si="6"/>
        <v>-6.9000000000000006E-2</v>
      </c>
      <c r="AU14" s="76">
        <f>VLOOKUP($C14,Утилизация!$B$16:$L$104,7,0)</f>
        <v>6.3E-2</v>
      </c>
      <c r="AV14" s="184">
        <f t="shared" si="7"/>
        <v>-0.22299999999999998</v>
      </c>
      <c r="AW14" s="161" t="str">
        <f>VLOOKUP(C14,Захоронение!$B$16:$Q$104,16,0)</f>
        <v/>
      </c>
      <c r="AX14" s="135"/>
      <c r="AY14" s="94"/>
      <c r="AZ14" s="94"/>
      <c r="BA14" s="98"/>
      <c r="BB14" s="127" t="str">
        <f>VLOOKUP(C14,'ДК ИП'!$B$16:$S$104,5,0)</f>
        <v>не подписана</v>
      </c>
      <c r="BC14" s="224">
        <f>VLOOKUP(C14,'Радар олд'!$B$3:$E$87,4,0)</f>
        <v>6.5505043888379411E-2</v>
      </c>
      <c r="BD14" s="98"/>
      <c r="BI14" s="8">
        <f t="shared" si="8"/>
        <v>0</v>
      </c>
      <c r="BJ14" s="8">
        <f>VLOOKUP(C14,Штаб!$B$16:$C$104,2)</f>
        <v>1</v>
      </c>
      <c r="BK14" s="8">
        <f>VLOOKUP(C14,'РО - регионы'!$B$16:$C$104,2)</f>
        <v>0</v>
      </c>
      <c r="BL14" s="8">
        <f>VLOOKUP(C14,'РО - регионы'!$B$16:$L$104,11)</f>
        <v>0</v>
      </c>
      <c r="BM14" s="8">
        <f>VLOOKUP(C14,Спецтехника!$B$16:$C$104,2)</f>
        <v>0</v>
      </c>
      <c r="BN14" s="8">
        <f>VLOOKUP($C14,МНО!$B$16:$AB$104,6,0)</f>
        <v>0</v>
      </c>
      <c r="BO14" s="8">
        <f>VLOOKUP($C14,МНО!$B$16:$AB$104,4,0)</f>
        <v>0</v>
      </c>
      <c r="BP14" s="8">
        <f>VLOOKUP($C14,МНО!$B$16:$AB$104,5,0)</f>
        <v>0</v>
      </c>
      <c r="BQ14" s="8">
        <f>VLOOKUP($C14,Контейнеры!$B$16:$G$104,6,0)</f>
        <v>0</v>
      </c>
      <c r="BR14" s="8">
        <f>VLOOKUP($C14,Контейнеры!$B$16:$G$104,4,0)</f>
        <v>0</v>
      </c>
      <c r="BS14" s="8">
        <f>VLOOKUP($C14,Контейнеры!$B$16:$G$104,5,0)</f>
        <v>0</v>
      </c>
      <c r="BT14" s="8">
        <f>VLOOKUP($C14,'ДК МНО'!$B$16:$C$104,2,0)</f>
        <v>2</v>
      </c>
      <c r="BU14" s="8">
        <f>VLOOKUP($C14,Обработка!$B$16:$F$104,5,0)</f>
        <v>0</v>
      </c>
      <c r="BV14" s="8">
        <f>VLOOKUP($C14,Обработка!$B$16:$F$104,4,0)</f>
        <v>0</v>
      </c>
      <c r="BW14" s="8">
        <f>VLOOKUP($C14,Утилизация!$B$16:$F$104,5,0)</f>
        <v>2</v>
      </c>
      <c r="BX14" s="8">
        <f>VLOOKUP($C14,Утилизация!$B$16:$F$104,4,0)</f>
        <v>1</v>
      </c>
      <c r="BY14" s="8">
        <f>VLOOKUP($C14,Захоронение!$B$16:$C$104,2,0)</f>
        <v>0</v>
      </c>
      <c r="BZ14" s="8">
        <f>VLOOKUP($C14,'ДК ИП'!$B$16:$C$104,2,0)</f>
        <v>0</v>
      </c>
      <c r="CA14" s="8">
        <f t="shared" si="9"/>
        <v>0.15000000000000002</v>
      </c>
    </row>
    <row r="15" spans="1:79" ht="30" customHeight="1">
      <c r="A15" s="9" t="s">
        <v>657</v>
      </c>
      <c r="B15" s="261">
        <f t="shared" si="3"/>
        <v>5</v>
      </c>
      <c r="C15" s="258" t="s">
        <v>79</v>
      </c>
      <c r="D15" s="227" t="str">
        <f>VLOOKUP($C15,Штаб!$B$16:$J$104,6,0)</f>
        <v/>
      </c>
      <c r="E15" s="228" t="str">
        <f>VLOOKUP($C15,Штаб!$B$16:$J$104,7,0)</f>
        <v>✔️</v>
      </c>
      <c r="F15" s="228" t="str">
        <f>VLOOKUP($C15,Штаб!$B$16:$J$104,8,0)</f>
        <v/>
      </c>
      <c r="G15" s="229" t="str">
        <f>VLOOKUP($C15,Штаб!$B$16:$J$104,9,0)</f>
        <v/>
      </c>
      <c r="H15" s="161" t="str">
        <f>VLOOKUP(C15,'РО - регионы'!$B$16:$I$104,8,0)</f>
        <v>0 / 0 / 2 из 2</v>
      </c>
      <c r="I15" s="237"/>
      <c r="J15" s="122"/>
      <c r="K15" s="94"/>
      <c r="L15" s="94"/>
      <c r="M15" s="98"/>
      <c r="N15" s="164">
        <f>VLOOKUP(C15,Спецтехника!$B$16:$J$104,4,0)</f>
        <v>272</v>
      </c>
      <c r="O15" s="167">
        <f>VLOOKUP(C15,Спецтехника!$B$16:$J$104,5,0)</f>
        <v>243</v>
      </c>
      <c r="P15" s="167">
        <f>VLOOKUP(C15,Спецтехника!$B$16:$J$104,6,0)</f>
        <v>29</v>
      </c>
      <c r="Q15" s="170">
        <f>VLOOKUP(C15,Спецтехника!$B$16:$J$104,7,0)</f>
        <v>0.10661764705882353</v>
      </c>
      <c r="R15" s="242"/>
      <c r="S15" s="122"/>
      <c r="T15" s="94"/>
      <c r="U15" s="94"/>
      <c r="V15" s="98"/>
      <c r="W15" s="163">
        <f>VLOOKUP($C15,МНО!$B$16:$AB$104,16,0)</f>
        <v>10374</v>
      </c>
      <c r="X15" s="166">
        <f>VLOOKUP($C15,МНО!$B$16:$AB$104,8,0)</f>
        <v>9955</v>
      </c>
      <c r="Y15" s="166">
        <f>VLOOKUP($C15,МНО!$B$16:$AB$104,11,0)</f>
        <v>419</v>
      </c>
      <c r="Z15" s="173">
        <f>VLOOKUP($C15,МНО!$B$16:$AB$104,17,0)</f>
        <v>4.0389435126277233E-2</v>
      </c>
      <c r="AA15" s="245"/>
      <c r="AB15" s="95">
        <f>VLOOKUP($C15,МНО!$B$16:$AB$104,13,0)</f>
        <v>5.7078184265263667</v>
      </c>
      <c r="AC15" s="154">
        <f>VLOOKUP($C15,МНО!$B$16:$AB$104,18,0)</f>
        <v>1</v>
      </c>
      <c r="AD15" s="163">
        <f>VLOOKUP($C15,Контейнеры!$B$16:$AB$104,16,0)</f>
        <v>19938</v>
      </c>
      <c r="AE15" s="166">
        <f>VLOOKUP($C15,Контейнеры!$B$16:$AB$104,8,0)</f>
        <v>16568</v>
      </c>
      <c r="AF15" s="166">
        <f>VLOOKUP($C15,Контейнеры!$B$16:$AB$104,11,0)</f>
        <v>3370</v>
      </c>
      <c r="AG15" s="173">
        <f>VLOOKUP($C15,Контейнеры!$B$16:$AB$104,17,0)</f>
        <v>0.16902397432039321</v>
      </c>
      <c r="AH15" s="245"/>
      <c r="AI15" s="95">
        <f>VLOOKUP($C15,Контейнеры!$B$16:$AB$104,13,0)</f>
        <v>11.262014492162541</v>
      </c>
      <c r="AJ15" s="154">
        <f>VLOOKUP($C15,Контейнеры!$B$16:$AB$104,18,0)</f>
        <v>0.53841154296113347</v>
      </c>
      <c r="AK15" s="135"/>
      <c r="AL15" s="94"/>
      <c r="AM15" s="94"/>
      <c r="AN15" s="116"/>
      <c r="AO15" s="80">
        <f>VLOOKUP($C15,Обработка!$B$16:$L$104,6,0)</f>
        <v>0.41399999999999998</v>
      </c>
      <c r="AP15" s="74">
        <f t="shared" si="4"/>
        <v>-0.12900000000000006</v>
      </c>
      <c r="AQ15" s="75">
        <f>VLOOKUP($C15,Обработка!$B$16:$L$104,7,0)</f>
        <v>1</v>
      </c>
      <c r="AR15" s="178">
        <f t="shared" si="5"/>
        <v>0.19299999999999995</v>
      </c>
      <c r="AS15" s="181">
        <f>VLOOKUP($C15,Утилизация!$B$16:$L$104,6,0)</f>
        <v>0.124</v>
      </c>
      <c r="AT15" s="74">
        <f t="shared" si="6"/>
        <v>-1.5000000000000013E-2</v>
      </c>
      <c r="AU15" s="74">
        <f>VLOOKUP($C15,Утилизация!$B$16:$L$104,7,0)</f>
        <v>0.25900000000000001</v>
      </c>
      <c r="AV15" s="186">
        <f t="shared" si="7"/>
        <v>-2.6999999999999968E-2</v>
      </c>
      <c r="AW15" s="161" t="str">
        <f>VLOOKUP(C15,Захоронение!$B$16:$Q$104,16,0)</f>
        <v/>
      </c>
      <c r="AX15" s="135"/>
      <c r="AY15" s="94"/>
      <c r="AZ15" s="94"/>
      <c r="BA15" s="98"/>
      <c r="BB15" s="127" t="str">
        <f>VLOOKUP(C15,'ДК ИП'!$B$16:$S$104,5,0)</f>
        <v>не подписана</v>
      </c>
      <c r="BC15" s="224">
        <f>VLOOKUP(C15,'Радар олд'!$B$3:$E$87,4,0)</f>
        <v>6.0497301412510029E-2</v>
      </c>
      <c r="BD15" s="98"/>
      <c r="BI15" s="8">
        <f t="shared" si="8"/>
        <v>0</v>
      </c>
      <c r="BJ15" s="8">
        <f>VLOOKUP(C15,Штаб!$B$16:$C$104,2)</f>
        <v>1</v>
      </c>
      <c r="BK15" s="8">
        <f>VLOOKUP(C15,'РО - регионы'!$B$16:$C$104,2)</f>
        <v>0</v>
      </c>
      <c r="BL15" s="8">
        <f>VLOOKUP(C15,'РО - регионы'!$B$16:$L$104,11)</f>
        <v>0</v>
      </c>
      <c r="BM15" s="8">
        <f>VLOOKUP(C15,Спецтехника!$B$16:$C$104,2)</f>
        <v>1</v>
      </c>
      <c r="BN15" s="8">
        <f>VLOOKUP($C15,МНО!$B$16:$AB$104,6,0)</f>
        <v>0</v>
      </c>
      <c r="BO15" s="8">
        <f>VLOOKUP($C15,МНО!$B$16:$AB$104,4,0)</f>
        <v>1</v>
      </c>
      <c r="BP15" s="8">
        <f>VLOOKUP($C15,МНО!$B$16:$AB$104,5,0)</f>
        <v>0</v>
      </c>
      <c r="BQ15" s="8">
        <f>VLOOKUP($C15,Контейнеры!$B$16:$G$104,6,0)</f>
        <v>1</v>
      </c>
      <c r="BR15" s="8">
        <f>VLOOKUP($C15,Контейнеры!$B$16:$G$104,4,0)</f>
        <v>0</v>
      </c>
      <c r="BS15" s="8">
        <f>VLOOKUP($C15,Контейнеры!$B$16:$G$104,5,0)</f>
        <v>2</v>
      </c>
      <c r="BT15" s="8">
        <f>VLOOKUP($C15,'ДК МНО'!$B$16:$C$104,2,0)</f>
        <v>2</v>
      </c>
      <c r="BU15" s="8">
        <f>VLOOKUP($C15,Обработка!$B$16:$F$104,5,0)</f>
        <v>0</v>
      </c>
      <c r="BV15" s="8">
        <f>VLOOKUP($C15,Обработка!$B$16:$F$104,4,0)</f>
        <v>1</v>
      </c>
      <c r="BW15" s="8">
        <f>VLOOKUP($C15,Утилизация!$B$16:$F$104,5,0)</f>
        <v>1</v>
      </c>
      <c r="BX15" s="8">
        <f>VLOOKUP($C15,Утилизация!$B$16:$F$104,4,0)</f>
        <v>1</v>
      </c>
      <c r="BY15" s="8">
        <f>VLOOKUP($C15,Захоронение!$B$16:$C$104,2,0)</f>
        <v>0</v>
      </c>
      <c r="BZ15" s="8">
        <f>VLOOKUP($C15,'ДК ИП'!$B$16:$C$104,2,0)</f>
        <v>0</v>
      </c>
      <c r="CA15" s="8">
        <f t="shared" si="9"/>
        <v>0.3</v>
      </c>
    </row>
    <row r="16" spans="1:79" ht="30" customHeight="1">
      <c r="A16" s="9" t="s">
        <v>659</v>
      </c>
      <c r="B16" s="261">
        <f t="shared" si="3"/>
        <v>6</v>
      </c>
      <c r="C16" s="258" t="s">
        <v>65</v>
      </c>
      <c r="D16" s="227" t="str">
        <f>VLOOKUP($C16,Штаб!$B$16:$J$104,6,0)</f>
        <v/>
      </c>
      <c r="E16" s="228" t="str">
        <f>VLOOKUP($C16,Штаб!$B$16:$J$104,7,0)</f>
        <v>✔️</v>
      </c>
      <c r="F16" s="228" t="str">
        <f>VLOOKUP($C16,Штаб!$B$16:$J$104,8,0)</f>
        <v/>
      </c>
      <c r="G16" s="229" t="str">
        <f>VLOOKUP($C16,Штаб!$B$16:$J$104,9,0)</f>
        <v/>
      </c>
      <c r="H16" s="161" t="str">
        <f>VLOOKUP(C16,'РО - регионы'!$B$16:$I$104,8,0)</f>
        <v>0 / 0 / 2 из 2</v>
      </c>
      <c r="I16" s="237"/>
      <c r="J16" s="122"/>
      <c r="K16" s="94"/>
      <c r="L16" s="94"/>
      <c r="M16" s="98"/>
      <c r="N16" s="163">
        <f>VLOOKUP(C16,Спецтехника!$B$16:$J$104,4,0)</f>
        <v>334</v>
      </c>
      <c r="O16" s="166">
        <f>VLOOKUP(C16,Спецтехника!$B$16:$J$104,5,0)</f>
        <v>320</v>
      </c>
      <c r="P16" s="166">
        <f>VLOOKUP(C16,Спецтехника!$B$16:$J$104,6,0)</f>
        <v>14</v>
      </c>
      <c r="Q16" s="169">
        <f>VLOOKUP(C16,Спецтехника!$B$16:$J$104,7,0)</f>
        <v>4.1916167664670656E-2</v>
      </c>
      <c r="R16" s="242"/>
      <c r="S16" s="122"/>
      <c r="T16" s="94"/>
      <c r="U16" s="94"/>
      <c r="V16" s="98"/>
      <c r="W16" s="164">
        <f>VLOOKUP($C16,МНО!$B$16:$AB$104,16,0)</f>
        <v>19326</v>
      </c>
      <c r="X16" s="167">
        <f>VLOOKUP($C16,МНО!$B$16:$AB$104,8,0)</f>
        <v>15259</v>
      </c>
      <c r="Y16" s="167">
        <f>VLOOKUP($C16,МНО!$B$16:$AB$104,11,0)</f>
        <v>4067</v>
      </c>
      <c r="Z16" s="172">
        <f>VLOOKUP($C16,МНО!$B$16:$AB$104,17,0)</f>
        <v>0.21044189175204389</v>
      </c>
      <c r="AA16" s="245"/>
      <c r="AB16" s="95">
        <f>VLOOKUP($C16,МНО!$B$16:$AB$104,13,0)</f>
        <v>3.1173994807914833</v>
      </c>
      <c r="AC16" s="154">
        <f>VLOOKUP($C16,МНО!$B$16:$AB$104,18,0)</f>
        <v>1</v>
      </c>
      <c r="AD16" s="164">
        <f>VLOOKUP($C16,Контейнеры!$B$16:$AB$104,16,0)</f>
        <v>44672</v>
      </c>
      <c r="AE16" s="167">
        <f>VLOOKUP($C16,Контейнеры!$B$16:$AB$104,8,0)</f>
        <v>32765</v>
      </c>
      <c r="AF16" s="167">
        <f>VLOOKUP($C16,Контейнеры!$B$16:$AB$104,11,0)</f>
        <v>11907</v>
      </c>
      <c r="AG16" s="172">
        <f>VLOOKUP($C16,Контейнеры!$B$16:$AB$104,17,0)</f>
        <v>0.26654280085959886</v>
      </c>
      <c r="AH16" s="245"/>
      <c r="AI16" s="95">
        <f>VLOOKUP($C16,Контейнеры!$B$16:$AB$104,13,0)</f>
        <v>8.1850784508480601</v>
      </c>
      <c r="AJ16" s="154">
        <f>VLOOKUP($C16,Контейнеры!$B$16:$AB$104,18,0)</f>
        <v>0.9368655820204157</v>
      </c>
      <c r="AK16" s="135"/>
      <c r="AL16" s="94"/>
      <c r="AM16" s="94"/>
      <c r="AN16" s="116"/>
      <c r="AO16" s="79">
        <f>VLOOKUP($C16,Обработка!$B$16:$L$104,6,0)</f>
        <v>0.27100000000000002</v>
      </c>
      <c r="AP16" s="76">
        <f t="shared" si="4"/>
        <v>-0.27200000000000002</v>
      </c>
      <c r="AQ16" s="75">
        <f>VLOOKUP($C16,Обработка!$B$16:$L$104,7,0)</f>
        <v>1</v>
      </c>
      <c r="AR16" s="178">
        <f t="shared" si="5"/>
        <v>0.19299999999999995</v>
      </c>
      <c r="AS16" s="181">
        <f>VLOOKUP($C16,Утилизация!$B$16:$L$104,6,0)</f>
        <v>0.11800000000000001</v>
      </c>
      <c r="AT16" s="74">
        <f t="shared" si="6"/>
        <v>-2.1000000000000005E-2</v>
      </c>
      <c r="AU16" s="75">
        <f>VLOOKUP($C16,Утилизация!$B$16:$L$104,7,0)</f>
        <v>0.32719799999999999</v>
      </c>
      <c r="AV16" s="185">
        <f t="shared" si="7"/>
        <v>4.1198000000000012E-2</v>
      </c>
      <c r="AW16" s="161" t="str">
        <f>VLOOKUP(C16,Захоронение!$B$16:$Q$104,16,0)</f>
        <v/>
      </c>
      <c r="AX16" s="135"/>
      <c r="AY16" s="94"/>
      <c r="AZ16" s="94"/>
      <c r="BA16" s="98"/>
      <c r="BB16" s="127" t="str">
        <f>VLOOKUP(C16,'ДК ИП'!$B$16:$S$104,5,0)</f>
        <v>небольшое</v>
      </c>
      <c r="BC16" s="224">
        <f>VLOOKUP(C16,'Радар олд'!$B$3:$E$87,4,0)</f>
        <v>0.11566279025614687</v>
      </c>
      <c r="BD16" s="98"/>
      <c r="BI16" s="8">
        <f t="shared" si="8"/>
        <v>0</v>
      </c>
      <c r="BJ16" s="8">
        <f>VLOOKUP(C16,Штаб!$B$16:$C$104,2)</f>
        <v>1</v>
      </c>
      <c r="BK16" s="8">
        <f>VLOOKUP(C16,'РО - регионы'!$B$16:$C$104,2)</f>
        <v>0</v>
      </c>
      <c r="BL16" s="8">
        <f>VLOOKUP(C16,'РО - регионы'!$B$16:$L$104,11)</f>
        <v>0</v>
      </c>
      <c r="BM16" s="8">
        <f>VLOOKUP(C16,Спецтехника!$B$16:$C$104,2)</f>
        <v>0</v>
      </c>
      <c r="BN16" s="8">
        <f>VLOOKUP($C16,МНО!$B$16:$AB$104,6,0)</f>
        <v>1</v>
      </c>
      <c r="BO16" s="8">
        <f>VLOOKUP($C16,МНО!$B$16:$AB$104,4,0)</f>
        <v>1</v>
      </c>
      <c r="BP16" s="8">
        <f>VLOOKUP($C16,МНО!$B$16:$AB$104,5,0)</f>
        <v>0</v>
      </c>
      <c r="BQ16" s="8">
        <f>VLOOKUP($C16,Контейнеры!$B$16:$G$104,6,0)</f>
        <v>1</v>
      </c>
      <c r="BR16" s="8">
        <f>VLOOKUP($C16,Контейнеры!$B$16:$G$104,4,0)</f>
        <v>0</v>
      </c>
      <c r="BS16" s="8">
        <f>VLOOKUP($C16,Контейнеры!$B$16:$G$104,5,0)</f>
        <v>0</v>
      </c>
      <c r="BT16" s="8">
        <f>VLOOKUP($C16,'ДК МНО'!$B$16:$C$104,2,0)</f>
        <v>2</v>
      </c>
      <c r="BU16" s="8">
        <f>VLOOKUP($C16,Обработка!$B$16:$F$104,5,0)</f>
        <v>0</v>
      </c>
      <c r="BV16" s="8">
        <f>VLOOKUP($C16,Обработка!$B$16:$F$104,4,0)</f>
        <v>2</v>
      </c>
      <c r="BW16" s="8">
        <f>VLOOKUP($C16,Утилизация!$B$16:$F$104,5,0)</f>
        <v>0</v>
      </c>
      <c r="BX16" s="8">
        <f>VLOOKUP($C16,Утилизация!$B$16:$F$104,4,0)</f>
        <v>1</v>
      </c>
      <c r="BY16" s="8">
        <f>VLOOKUP($C16,Захоронение!$B$16:$C$104,2,0)</f>
        <v>0</v>
      </c>
      <c r="BZ16" s="8">
        <f>VLOOKUP($C16,'ДК ИП'!$B$16:$C$104,2,0)</f>
        <v>0</v>
      </c>
      <c r="CA16" s="8">
        <f t="shared" si="9"/>
        <v>0.3</v>
      </c>
    </row>
    <row r="17" spans="1:79" ht="30" customHeight="1">
      <c r="A17" s="9" t="s">
        <v>659</v>
      </c>
      <c r="B17" s="261">
        <f t="shared" si="3"/>
        <v>7</v>
      </c>
      <c r="C17" s="258" t="s">
        <v>30</v>
      </c>
      <c r="D17" s="227" t="str">
        <f>VLOOKUP($C17,Штаб!$B$16:$J$104,6,0)</f>
        <v/>
      </c>
      <c r="E17" s="228" t="str">
        <f>VLOOKUP($C17,Штаб!$B$16:$J$104,7,0)</f>
        <v/>
      </c>
      <c r="F17" s="228" t="str">
        <f>VLOOKUP($C17,Штаб!$B$16:$J$104,8,0)</f>
        <v/>
      </c>
      <c r="G17" s="229" t="str">
        <f>VLOOKUP($C17,Штаб!$B$16:$J$104,9,0)</f>
        <v>✔️</v>
      </c>
      <c r="H17" s="161" t="str">
        <f>VLOOKUP(C17,'РО - регионы'!$B$16:$I$104,8,0)</f>
        <v>0 / 0 / 1 из 1</v>
      </c>
      <c r="I17" s="237"/>
      <c r="J17" s="122"/>
      <c r="K17" s="94"/>
      <c r="L17" s="94"/>
      <c r="M17" s="98"/>
      <c r="N17" s="163">
        <f>VLOOKUP(C17,Спецтехника!$B$16:$J$104,4,0)</f>
        <v>150</v>
      </c>
      <c r="O17" s="166">
        <f>VLOOKUP(C17,Спецтехника!$B$16:$J$104,5,0)</f>
        <v>150</v>
      </c>
      <c r="P17" s="166">
        <f>VLOOKUP(C17,Спецтехника!$B$16:$J$104,6,0)</f>
        <v>0</v>
      </c>
      <c r="Q17" s="169">
        <f>VLOOKUP(C17,Спецтехника!$B$16:$J$104,7,0)</f>
        <v>0</v>
      </c>
      <c r="R17" s="242"/>
      <c r="S17" s="122"/>
      <c r="T17" s="94"/>
      <c r="U17" s="94"/>
      <c r="V17" s="98"/>
      <c r="W17" s="163">
        <f>VLOOKUP($C17,МНО!$B$16:$AB$104,16,0)</f>
        <v>14213</v>
      </c>
      <c r="X17" s="166">
        <f>VLOOKUP($C17,МНО!$B$16:$AB$104,8,0)</f>
        <v>12185</v>
      </c>
      <c r="Y17" s="166">
        <f>VLOOKUP($C17,МНО!$B$16:$AB$104,11,0)</f>
        <v>2028</v>
      </c>
      <c r="Z17" s="173">
        <f>VLOOKUP($C17,МНО!$B$16:$AB$104,17,0)</f>
        <v>0.14268627313023288</v>
      </c>
      <c r="AA17" s="245"/>
      <c r="AB17" s="95">
        <f>VLOOKUP($C17,МНО!$B$16:$AB$104,13,0)</f>
        <v>10.173151552965436</v>
      </c>
      <c r="AC17" s="154">
        <f>VLOOKUP($C17,МНО!$B$16:$AB$104,18,0)</f>
        <v>0.67164590453092277</v>
      </c>
      <c r="AD17" s="165">
        <f>VLOOKUP($C17,Контейнеры!$B$16:$AB$104,16,0)</f>
        <v>24306</v>
      </c>
      <c r="AE17" s="168">
        <f>VLOOKUP($C17,Контейнеры!$B$16:$AB$104,8,0)</f>
        <v>19704</v>
      </c>
      <c r="AF17" s="168">
        <f>VLOOKUP($C17,Контейнеры!$B$16:$AB$104,11,0)</f>
        <v>4602</v>
      </c>
      <c r="AG17" s="174">
        <f>VLOOKUP($C17,Контейнеры!$B$16:$AB$104,17,0)</f>
        <v>0.18933596642804246</v>
      </c>
      <c r="AH17" s="245"/>
      <c r="AI17" s="95">
        <f>VLOOKUP($C17,Контейнеры!$B$16:$AB$104,13,0)</f>
        <v>17.438171222238449</v>
      </c>
      <c r="AJ17" s="154">
        <f>VLOOKUP($C17,Контейнеры!$B$16:$AB$104,18,0)</f>
        <v>0.64963238930467182</v>
      </c>
      <c r="AK17" s="135"/>
      <c r="AL17" s="94"/>
      <c r="AM17" s="94"/>
      <c r="AN17" s="116"/>
      <c r="AO17" s="79">
        <f>VLOOKUP($C17,Обработка!$B$16:$L$104,6,0)</f>
        <v>0</v>
      </c>
      <c r="AP17" s="76">
        <f t="shared" si="4"/>
        <v>-0.54300000000000004</v>
      </c>
      <c r="AQ17" s="74">
        <f>VLOOKUP($C17,Обработка!$B$16:$L$104,7,0)</f>
        <v>0.78799999999999992</v>
      </c>
      <c r="AR17" s="179">
        <f t="shared" si="5"/>
        <v>-1.9000000000000128E-2</v>
      </c>
      <c r="AS17" s="180">
        <f>VLOOKUP($C17,Утилизация!$B$16:$L$104,6,0)</f>
        <v>0</v>
      </c>
      <c r="AT17" s="76">
        <f t="shared" si="6"/>
        <v>-0.13900000000000001</v>
      </c>
      <c r="AU17" s="75">
        <f>VLOOKUP($C17,Утилизация!$B$16:$L$104,7,0)</f>
        <v>0.30430000000000001</v>
      </c>
      <c r="AV17" s="185">
        <f t="shared" si="7"/>
        <v>1.8300000000000038E-2</v>
      </c>
      <c r="AW17" s="161" t="str">
        <f>VLOOKUP(C17,Захоронение!$B$16:$Q$104,16,0)</f>
        <v/>
      </c>
      <c r="AX17" s="135"/>
      <c r="AY17" s="94"/>
      <c r="AZ17" s="94"/>
      <c r="BA17" s="98"/>
      <c r="BB17" s="127" t="str">
        <f>VLOOKUP(C17,'ДК ИП'!$B$16:$S$104,5,0)</f>
        <v>небольшое</v>
      </c>
      <c r="BC17" s="224">
        <f>VLOOKUP(C17,'Радар олд'!$B$3:$E$87,4,0)</f>
        <v>3.2745246407979219E-2</v>
      </c>
      <c r="BD17" s="98"/>
      <c r="BI17" s="8">
        <f t="shared" si="8"/>
        <v>0</v>
      </c>
      <c r="BJ17" s="8">
        <f>VLOOKUP(C17,Штаб!$B$16:$C$104,2)</f>
        <v>2</v>
      </c>
      <c r="BK17" s="8">
        <f>VLOOKUP(C17,'РО - регионы'!$B$16:$C$104,2)</f>
        <v>0</v>
      </c>
      <c r="BL17" s="8">
        <f>VLOOKUP(C17,'РО - регионы'!$B$16:$L$104,11)</f>
        <v>0</v>
      </c>
      <c r="BM17" s="8">
        <f>VLOOKUP(C17,Спецтехника!$B$16:$C$104,2)</f>
        <v>0</v>
      </c>
      <c r="BN17" s="8">
        <f>VLOOKUP($C17,МНО!$B$16:$AB$104,6,0)</f>
        <v>0</v>
      </c>
      <c r="BO17" s="8">
        <f>VLOOKUP($C17,МНО!$B$16:$AB$104,4,0)</f>
        <v>0</v>
      </c>
      <c r="BP17" s="8">
        <f>VLOOKUP($C17,МНО!$B$16:$AB$104,5,0)</f>
        <v>2</v>
      </c>
      <c r="BQ17" s="8">
        <f>VLOOKUP($C17,Контейнеры!$B$16:$G$104,6,0)</f>
        <v>1</v>
      </c>
      <c r="BR17" s="8">
        <f>VLOOKUP($C17,Контейнеры!$B$16:$G$104,4,0)</f>
        <v>0</v>
      </c>
      <c r="BS17" s="8">
        <f>VLOOKUP($C17,Контейнеры!$B$16:$G$104,5,0)</f>
        <v>2</v>
      </c>
      <c r="BT17" s="8">
        <f>VLOOKUP($C17,'ДК МНО'!$B$16:$C$104,2,0)</f>
        <v>2</v>
      </c>
      <c r="BU17" s="8">
        <f>VLOOKUP($C17,Обработка!$B$16:$F$104,5,0)</f>
        <v>1</v>
      </c>
      <c r="BV17" s="8">
        <f>VLOOKUP($C17,Обработка!$B$16:$F$104,4,0)</f>
        <v>2</v>
      </c>
      <c r="BW17" s="8">
        <f>VLOOKUP($C17,Утилизация!$B$16:$F$104,5,0)</f>
        <v>0</v>
      </c>
      <c r="BX17" s="8">
        <f>VLOOKUP($C17,Утилизация!$B$16:$F$104,4,0)</f>
        <v>2</v>
      </c>
      <c r="BY17" s="8">
        <f>VLOOKUP($C17,Захоронение!$B$16:$C$104,2,0)</f>
        <v>0</v>
      </c>
      <c r="BZ17" s="8">
        <f>VLOOKUP($C17,'ДК ИП'!$B$16:$C$104,2,0)</f>
        <v>0</v>
      </c>
      <c r="CA17" s="8">
        <f t="shared" si="9"/>
        <v>0.30000000000000004</v>
      </c>
    </row>
    <row r="18" spans="1:79" ht="30" customHeight="1">
      <c r="A18" s="9" t="s">
        <v>657</v>
      </c>
      <c r="B18" s="261">
        <f t="shared" si="3"/>
        <v>8</v>
      </c>
      <c r="C18" s="258" t="s">
        <v>35</v>
      </c>
      <c r="D18" s="227" t="str">
        <f>VLOOKUP($C18,Штаб!$B$16:$J$104,6,0)</f>
        <v/>
      </c>
      <c r="E18" s="228" t="str">
        <f>VLOOKUP($C18,Штаб!$B$16:$J$104,7,0)</f>
        <v/>
      </c>
      <c r="F18" s="228" t="str">
        <f>VLOOKUP($C18,Штаб!$B$16:$J$104,8,0)</f>
        <v>✔️</v>
      </c>
      <c r="G18" s="229" t="str">
        <f>VLOOKUP($C18,Штаб!$B$16:$J$104,9,0)</f>
        <v/>
      </c>
      <c r="H18" s="161" t="str">
        <f>VLOOKUP(C18,'РО - регионы'!$B$16:$I$104,8,0)</f>
        <v>0 / 0 / 2 из 2</v>
      </c>
      <c r="I18" s="237"/>
      <c r="J18" s="122"/>
      <c r="K18" s="94"/>
      <c r="L18" s="94"/>
      <c r="M18" s="98"/>
      <c r="N18" s="163">
        <f>VLOOKUP(C18,Спецтехника!$B$16:$J$104,4,0)</f>
        <v>225</v>
      </c>
      <c r="O18" s="166">
        <f>VLOOKUP(C18,Спецтехника!$B$16:$J$104,5,0)</f>
        <v>207</v>
      </c>
      <c r="P18" s="166">
        <f>VLOOKUP(C18,Спецтехника!$B$16:$J$104,6,0)</f>
        <v>18</v>
      </c>
      <c r="Q18" s="169">
        <f>VLOOKUP(C18,Спецтехника!$B$16:$J$104,7,0)</f>
        <v>0.08</v>
      </c>
      <c r="R18" s="242"/>
      <c r="S18" s="122"/>
      <c r="T18" s="94"/>
      <c r="U18" s="94"/>
      <c r="V18" s="98"/>
      <c r="W18" s="165">
        <f>VLOOKUP($C18,МНО!$B$16:$AB$104,16,0)</f>
        <v>10443</v>
      </c>
      <c r="X18" s="168">
        <f>VLOOKUP($C18,МНО!$B$16:$AB$104,8,0)</f>
        <v>7506</v>
      </c>
      <c r="Y18" s="168">
        <f>VLOOKUP($C18,МНО!$B$16:$AB$104,11,0)</f>
        <v>2937</v>
      </c>
      <c r="Z18" s="174">
        <f>VLOOKUP($C18,МНО!$B$16:$AB$104,17,0)</f>
        <v>0.28124102269462797</v>
      </c>
      <c r="AA18" s="245"/>
      <c r="AB18" s="95">
        <f>VLOOKUP($C18,МНО!$B$16:$AB$104,13,0)</f>
        <v>6.9139931303092119</v>
      </c>
      <c r="AC18" s="154">
        <f>VLOOKUP($C18,МНО!$B$16:$AB$104,18,0)</f>
        <v>1</v>
      </c>
      <c r="AD18" s="165">
        <f>VLOOKUP($C18,Контейнеры!$B$16:$AB$104,16,0)</f>
        <v>23217</v>
      </c>
      <c r="AE18" s="168">
        <f>VLOOKUP($C18,Контейнеры!$B$16:$AB$104,8,0)</f>
        <v>16513</v>
      </c>
      <c r="AF18" s="168">
        <f>VLOOKUP($C18,Контейнеры!$B$16:$AB$104,11,0)</f>
        <v>6704</v>
      </c>
      <c r="AG18" s="174">
        <f>VLOOKUP($C18,Контейнеры!$B$16:$AB$104,17,0)</f>
        <v>0.28875393030968688</v>
      </c>
      <c r="AH18" s="245"/>
      <c r="AI18" s="95">
        <f>VLOOKUP($C18,Контейнеры!$B$16:$AB$104,13,0)</f>
        <v>15.56520362110375</v>
      </c>
      <c r="AJ18" s="154">
        <f>VLOOKUP($C18,Контейнеры!$B$16:$AB$104,18,0)</f>
        <v>0.90018534670737027</v>
      </c>
      <c r="AK18" s="135"/>
      <c r="AL18" s="94"/>
      <c r="AM18" s="94"/>
      <c r="AN18" s="116"/>
      <c r="AO18" s="80">
        <f>VLOOKUP($C18,Обработка!$B$16:$L$104,6,0)</f>
        <v>0.375</v>
      </c>
      <c r="AP18" s="74">
        <f t="shared" si="4"/>
        <v>-0.16800000000000004</v>
      </c>
      <c r="AQ18" s="75">
        <f>VLOOKUP($C18,Обработка!$B$16:$L$104,7,0)</f>
        <v>1</v>
      </c>
      <c r="AR18" s="178">
        <f t="shared" si="5"/>
        <v>0.19299999999999995</v>
      </c>
      <c r="AS18" s="180">
        <f>VLOOKUP($C18,Утилизация!$B$16:$L$104,6,0)</f>
        <v>1.4999999999999999E-2</v>
      </c>
      <c r="AT18" s="76">
        <f t="shared" si="6"/>
        <v>-0.12400000000000001</v>
      </c>
      <c r="AU18" s="75">
        <f>VLOOKUP($C18,Утилизация!$B$16:$L$104,7,0)</f>
        <v>0.3</v>
      </c>
      <c r="AV18" s="185">
        <f t="shared" si="7"/>
        <v>1.4000000000000012E-2</v>
      </c>
      <c r="AW18" s="161" t="str">
        <f>VLOOKUP(C18,Захоронение!$B$16:$Q$104,16,0)</f>
        <v/>
      </c>
      <c r="AX18" s="135"/>
      <c r="AY18" s="94"/>
      <c r="AZ18" s="94"/>
      <c r="BA18" s="98"/>
      <c r="BB18" s="127" t="str">
        <f>VLOOKUP(C18,'ДК ИП'!$B$16:$S$104,5,0)</f>
        <v>нет</v>
      </c>
      <c r="BC18" s="224">
        <f>VLOOKUP(C18,'Радар олд'!$B$3:$E$87,4,0)</f>
        <v>4.9957959905438061E-2</v>
      </c>
      <c r="BD18" s="98"/>
      <c r="BI18" s="8">
        <f t="shared" si="8"/>
        <v>0</v>
      </c>
      <c r="BJ18" s="8">
        <f>VLOOKUP(C18,Штаб!$B$16:$C$104,2)</f>
        <v>1</v>
      </c>
      <c r="BK18" s="8">
        <f>VLOOKUP(C18,'РО - регионы'!$B$16:$C$104,2)</f>
        <v>0</v>
      </c>
      <c r="BL18" s="8">
        <f>VLOOKUP(C18,'РО - регионы'!$B$16:$L$104,11)</f>
        <v>0</v>
      </c>
      <c r="BM18" s="8">
        <f>VLOOKUP(C18,Спецтехника!$B$16:$C$104,2)</f>
        <v>0</v>
      </c>
      <c r="BN18" s="8">
        <f>VLOOKUP($C18,МНО!$B$16:$AB$104,6,0)</f>
        <v>1</v>
      </c>
      <c r="BO18" s="8">
        <f>VLOOKUP($C18,МНО!$B$16:$AB$104,4,0)</f>
        <v>0</v>
      </c>
      <c r="BP18" s="8">
        <f>VLOOKUP($C18,МНО!$B$16:$AB$104,5,0)</f>
        <v>0</v>
      </c>
      <c r="BQ18" s="8">
        <f>VLOOKUP($C18,Контейнеры!$B$16:$G$104,6,0)</f>
        <v>1</v>
      </c>
      <c r="BR18" s="8">
        <f>VLOOKUP($C18,Контейнеры!$B$16:$G$104,4,0)</f>
        <v>0</v>
      </c>
      <c r="BS18" s="8">
        <f>VLOOKUP($C18,Контейнеры!$B$16:$G$104,5,0)</f>
        <v>1</v>
      </c>
      <c r="BT18" s="8">
        <f>VLOOKUP($C18,'ДК МНО'!$B$16:$C$104,2,0)</f>
        <v>2</v>
      </c>
      <c r="BU18" s="8">
        <f>VLOOKUP($C18,Обработка!$B$16:$F$104,5,0)</f>
        <v>0</v>
      </c>
      <c r="BV18" s="8">
        <f>VLOOKUP($C18,Обработка!$B$16:$F$104,4,0)</f>
        <v>1</v>
      </c>
      <c r="BW18" s="8">
        <f>VLOOKUP($C18,Утилизация!$B$16:$F$104,5,0)</f>
        <v>0</v>
      </c>
      <c r="BX18" s="8">
        <f>VLOOKUP($C18,Утилизация!$B$16:$F$104,4,0)</f>
        <v>2</v>
      </c>
      <c r="BY18" s="8">
        <f>VLOOKUP($C18,Захоронение!$B$16:$C$104,2,0)</f>
        <v>0</v>
      </c>
      <c r="BZ18" s="8">
        <f>VLOOKUP($C18,'ДК ИП'!$B$16:$C$104,2,0)</f>
        <v>0</v>
      </c>
      <c r="CA18" s="8">
        <f t="shared" si="9"/>
        <v>0.25</v>
      </c>
    </row>
    <row r="19" spans="1:79" ht="30" customHeight="1">
      <c r="A19" s="9" t="s">
        <v>660</v>
      </c>
      <c r="B19" s="261">
        <f t="shared" si="3"/>
        <v>9</v>
      </c>
      <c r="C19" s="258" t="s">
        <v>85</v>
      </c>
      <c r="D19" s="227" t="str">
        <f>VLOOKUP($C19,Штаб!$B$16:$J$104,6,0)</f>
        <v>✔️</v>
      </c>
      <c r="E19" s="228" t="str">
        <f>VLOOKUP($C19,Штаб!$B$16:$J$104,7,0)</f>
        <v/>
      </c>
      <c r="F19" s="228" t="str">
        <f>VLOOKUP($C19,Штаб!$B$16:$J$104,8,0)</f>
        <v/>
      </c>
      <c r="G19" s="229" t="str">
        <f>VLOOKUP($C19,Штаб!$B$16:$J$104,9,0)</f>
        <v/>
      </c>
      <c r="H19" s="160" t="str">
        <f>VLOOKUP(C19,'РО - регионы'!$B$16:$I$104,8,0)</f>
        <v>0 / 2 / 3 из 5</v>
      </c>
      <c r="I19" s="237"/>
      <c r="J19" s="122"/>
      <c r="K19" s="94"/>
      <c r="L19" s="94"/>
      <c r="M19" s="98"/>
      <c r="N19" s="163">
        <f>VLOOKUP(C19,Спецтехника!$B$16:$J$104,4,0)</f>
        <v>484</v>
      </c>
      <c r="O19" s="166">
        <f>VLOOKUP(C19,Спецтехника!$B$16:$J$104,5,0)</f>
        <v>444</v>
      </c>
      <c r="P19" s="166">
        <f>VLOOKUP(C19,Спецтехника!$B$16:$J$104,6,0)</f>
        <v>40</v>
      </c>
      <c r="Q19" s="169">
        <f>VLOOKUP(C19,Спецтехника!$B$16:$J$104,7,0)</f>
        <v>8.2644628099173556E-2</v>
      </c>
      <c r="R19" s="242"/>
      <c r="S19" s="122"/>
      <c r="T19" s="94"/>
      <c r="U19" s="94"/>
      <c r="V19" s="98"/>
      <c r="W19" s="163">
        <f>VLOOKUP($C19,МНО!$B$16:$AB$104,16,0)</f>
        <v>19616</v>
      </c>
      <c r="X19" s="166">
        <f>VLOOKUP($C19,МНО!$B$16:$AB$104,8,0)</f>
        <v>18134</v>
      </c>
      <c r="Y19" s="166">
        <f>VLOOKUP($C19,МНО!$B$16:$AB$104,11,0)</f>
        <v>1482</v>
      </c>
      <c r="Z19" s="173">
        <f>VLOOKUP($C19,МНО!$B$16:$AB$104,17,0)</f>
        <v>7.5550570962479607E-2</v>
      </c>
      <c r="AA19" s="245"/>
      <c r="AB19" s="95">
        <f>VLOOKUP($C19,МНО!$B$16:$AB$104,13,0)</f>
        <v>5.0550710024565655</v>
      </c>
      <c r="AC19" s="154">
        <f>VLOOKUP($C19,МНО!$B$16:$AB$104,18,0)</f>
        <v>0.55056623250447823</v>
      </c>
      <c r="AD19" s="163">
        <f>VLOOKUP($C19,Контейнеры!$B$16:$AB$104,16,0)</f>
        <v>42325</v>
      </c>
      <c r="AE19" s="166">
        <f>VLOOKUP($C19,Контейнеры!$B$16:$AB$104,8,0)</f>
        <v>37721</v>
      </c>
      <c r="AF19" s="166">
        <f>VLOOKUP($C19,Контейнеры!$B$16:$AB$104,11,0)</f>
        <v>4604</v>
      </c>
      <c r="AG19" s="173">
        <f>VLOOKUP($C19,Контейнеры!$B$16:$AB$104,17,0)</f>
        <v>0.10877731836975782</v>
      </c>
      <c r="AH19" s="245"/>
      <c r="AI19" s="95">
        <f>VLOOKUP($C19,Контейнеры!$B$16:$AB$104,13,0)</f>
        <v>11.108140119053019</v>
      </c>
      <c r="AJ19" s="154">
        <f>VLOOKUP($C19,Контейнеры!$B$16:$AB$104,18,0)</f>
        <v>0.59317209711913443</v>
      </c>
      <c r="AK19" s="135"/>
      <c r="AL19" s="94"/>
      <c r="AM19" s="94"/>
      <c r="AN19" s="116"/>
      <c r="AO19" s="78">
        <f>VLOOKUP($C19,Обработка!$B$16:$L$104,6,0)</f>
        <v>0.68299999999999994</v>
      </c>
      <c r="AP19" s="75">
        <f t="shared" si="4"/>
        <v>0.1399999999999999</v>
      </c>
      <c r="AQ19" s="75">
        <f>VLOOKUP($C19,Обработка!$B$16:$L$104,7,0)</f>
        <v>0.80799999999999994</v>
      </c>
      <c r="AR19" s="178">
        <f t="shared" si="5"/>
        <v>9.9999999999988987E-4</v>
      </c>
      <c r="AS19" s="181">
        <f>VLOOKUP($C19,Утилизация!$B$16:$L$104,6,0)</f>
        <v>0.13699999999999998</v>
      </c>
      <c r="AT19" s="74">
        <f t="shared" si="6"/>
        <v>-2.0000000000000295E-3</v>
      </c>
      <c r="AU19" s="74">
        <f>VLOOKUP($C19,Утилизация!$B$16:$L$104,7,0)</f>
        <v>0.23300000000000001</v>
      </c>
      <c r="AV19" s="186">
        <f t="shared" si="7"/>
        <v>-5.2999999999999964E-2</v>
      </c>
      <c r="AW19" s="161" t="str">
        <f>VLOOKUP(C19,Захоронение!$B$16:$Q$104,16,0)</f>
        <v/>
      </c>
      <c r="AX19" s="135"/>
      <c r="AY19" s="94"/>
      <c r="AZ19" s="94"/>
      <c r="BA19" s="98"/>
      <c r="BB19" s="127" t="str">
        <f>VLOOKUP(C19,'ДК ИП'!$B$16:$S$104,5,0)</f>
        <v>небольшое</v>
      </c>
      <c r="BC19" s="224">
        <f>VLOOKUP(C19,'Радар олд'!$B$3:$E$87,4,0)</f>
        <v>0.10159614912312218</v>
      </c>
      <c r="BD19" s="98"/>
      <c r="BI19" s="8">
        <f t="shared" si="8"/>
        <v>0</v>
      </c>
      <c r="BJ19" s="8">
        <f>VLOOKUP(C19,Штаб!$B$16:$C$104,2)</f>
        <v>0</v>
      </c>
      <c r="BK19" s="8">
        <f>VLOOKUP(C19,'РО - регионы'!$B$16:$C$104,2)</f>
        <v>1</v>
      </c>
      <c r="BL19" s="8">
        <f>VLOOKUP(C19,'РО - регионы'!$B$16:$L$104,11)</f>
        <v>2</v>
      </c>
      <c r="BM19" s="8">
        <f>VLOOKUP(C19,Спецтехника!$B$16:$C$104,2)</f>
        <v>0</v>
      </c>
      <c r="BN19" s="8">
        <f>VLOOKUP($C19,МНО!$B$16:$AB$104,6,0)</f>
        <v>0</v>
      </c>
      <c r="BO19" s="8">
        <f>VLOOKUP($C19,МНО!$B$16:$AB$104,4,0)</f>
        <v>1</v>
      </c>
      <c r="BP19" s="8">
        <f>VLOOKUP($C19,МНО!$B$16:$AB$104,5,0)</f>
        <v>2</v>
      </c>
      <c r="BQ19" s="8">
        <f>VLOOKUP($C19,Контейнеры!$B$16:$G$104,6,0)</f>
        <v>0</v>
      </c>
      <c r="BR19" s="8">
        <f>VLOOKUP($C19,Контейнеры!$B$16:$G$104,4,0)</f>
        <v>0</v>
      </c>
      <c r="BS19" s="8">
        <f>VLOOKUP($C19,Контейнеры!$B$16:$G$104,5,0)</f>
        <v>2</v>
      </c>
      <c r="BT19" s="8">
        <f>VLOOKUP($C19,'ДК МНО'!$B$16:$C$104,2,0)</f>
        <v>2</v>
      </c>
      <c r="BU19" s="8">
        <f>VLOOKUP($C19,Обработка!$B$16:$F$104,5,0)</f>
        <v>0</v>
      </c>
      <c r="BV19" s="8">
        <f>VLOOKUP($C19,Обработка!$B$16:$F$104,4,0)</f>
        <v>0</v>
      </c>
      <c r="BW19" s="8">
        <f>VLOOKUP($C19,Утилизация!$B$16:$F$104,5,0)</f>
        <v>1</v>
      </c>
      <c r="BX19" s="8">
        <f>VLOOKUP($C19,Утилизация!$B$16:$F$104,4,0)</f>
        <v>1</v>
      </c>
      <c r="BY19" s="8">
        <f>VLOOKUP($C19,Захоронение!$B$16:$C$104,2,0)</f>
        <v>0</v>
      </c>
      <c r="BZ19" s="8">
        <f>VLOOKUP($C19,'ДК ИП'!$B$16:$C$104,2,0)</f>
        <v>0</v>
      </c>
      <c r="CA19" s="8">
        <f t="shared" si="9"/>
        <v>0.35</v>
      </c>
    </row>
    <row r="20" spans="1:79" ht="30" customHeight="1">
      <c r="A20" s="9" t="s">
        <v>657</v>
      </c>
      <c r="B20" s="261">
        <f t="shared" si="3"/>
        <v>10</v>
      </c>
      <c r="C20" s="258" t="s">
        <v>90</v>
      </c>
      <c r="D20" s="227" t="str">
        <f>VLOOKUP($C20,Штаб!$B$16:$J$104,6,0)</f>
        <v/>
      </c>
      <c r="E20" s="228" t="str">
        <f>VLOOKUP($C20,Штаб!$B$16:$J$104,7,0)</f>
        <v/>
      </c>
      <c r="F20" s="228" t="str">
        <f>VLOOKUP($C20,Штаб!$B$16:$J$104,8,0)</f>
        <v/>
      </c>
      <c r="G20" s="229" t="str">
        <f>VLOOKUP($C20,Штаб!$B$16:$J$104,9,0)</f>
        <v>✔️</v>
      </c>
      <c r="H20" s="161" t="str">
        <f>VLOOKUP(C20,'РО - регионы'!$B$16:$I$104,8,0)</f>
        <v>0 / 0 / 1 из 1</v>
      </c>
      <c r="I20" s="237"/>
      <c r="J20" s="122"/>
      <c r="K20" s="94"/>
      <c r="L20" s="94"/>
      <c r="M20" s="98"/>
      <c r="N20" s="163">
        <f>VLOOKUP(C20,Спецтехника!$B$16:$J$104,4,0)</f>
        <v>298</v>
      </c>
      <c r="O20" s="166">
        <f>VLOOKUP(C20,Спецтехника!$B$16:$J$104,5,0)</f>
        <v>298</v>
      </c>
      <c r="P20" s="166">
        <f>VLOOKUP(C20,Спецтехника!$B$16:$J$104,6,0)</f>
        <v>0</v>
      </c>
      <c r="Q20" s="169">
        <f>VLOOKUP(C20,Спецтехника!$B$16:$J$104,7,0)</f>
        <v>0</v>
      </c>
      <c r="R20" s="242"/>
      <c r="S20" s="122"/>
      <c r="T20" s="94"/>
      <c r="U20" s="94"/>
      <c r="V20" s="98"/>
      <c r="W20" s="163">
        <f>VLOOKUP($C20,МНО!$B$16:$AB$104,16,0)</f>
        <v>7796</v>
      </c>
      <c r="X20" s="166">
        <f>VLOOKUP($C20,МНО!$B$16:$AB$104,8,0)</f>
        <v>6980</v>
      </c>
      <c r="Y20" s="166">
        <f>VLOOKUP($C20,МНО!$B$16:$AB$104,11,0)</f>
        <v>816</v>
      </c>
      <c r="Z20" s="173">
        <f>VLOOKUP($C20,МНО!$B$16:$AB$104,17,0)</f>
        <v>0.10466906105695228</v>
      </c>
      <c r="AA20" s="245"/>
      <c r="AB20" s="95">
        <f>VLOOKUP($C20,МНО!$B$16:$AB$104,13,0)</f>
        <v>5.7302464384897416</v>
      </c>
      <c r="AC20" s="154">
        <f>VLOOKUP($C20,МНО!$B$16:$AB$104,18,0)</f>
        <v>1</v>
      </c>
      <c r="AD20" s="165">
        <f>VLOOKUP($C20,Контейнеры!$B$16:$AB$104,16,0)</f>
        <v>17873</v>
      </c>
      <c r="AE20" s="168">
        <f>VLOOKUP($C20,Контейнеры!$B$16:$AB$104,8,0)</f>
        <v>16756</v>
      </c>
      <c r="AF20" s="168">
        <f>VLOOKUP($C20,Контейнеры!$B$16:$AB$104,11,0)</f>
        <v>1117</v>
      </c>
      <c r="AG20" s="174">
        <f>VLOOKUP($C20,Контейнеры!$B$16:$AB$104,17,0)</f>
        <v>6.2496503105242546E-2</v>
      </c>
      <c r="AH20" s="245"/>
      <c r="AI20" s="95">
        <f>VLOOKUP($C20,Контейнеры!$B$16:$AB$104,13,0)</f>
        <v>14.109626645603836</v>
      </c>
      <c r="AJ20" s="154">
        <f>VLOOKUP($C20,Контейнеры!$B$16:$AB$104,18,0)</f>
        <v>0.98269896193771622</v>
      </c>
      <c r="AK20" s="135"/>
      <c r="AL20" s="94"/>
      <c r="AM20" s="94"/>
      <c r="AN20" s="116"/>
      <c r="AO20" s="78">
        <f>VLOOKUP($C20,Обработка!$B$16:$L$104,6,0)</f>
        <v>0.62</v>
      </c>
      <c r="AP20" s="75">
        <f t="shared" si="4"/>
        <v>7.6999999999999957E-2</v>
      </c>
      <c r="AQ20" s="74">
        <f>VLOOKUP($C20,Обработка!$B$16:$L$104,7,0)</f>
        <v>0.61</v>
      </c>
      <c r="AR20" s="179">
        <f t="shared" si="5"/>
        <v>-0.19700000000000006</v>
      </c>
      <c r="AS20" s="181">
        <f>VLOOKUP($C20,Утилизация!$B$16:$L$104,6,0)</f>
        <v>8.900000000000001E-2</v>
      </c>
      <c r="AT20" s="74">
        <f t="shared" si="6"/>
        <v>-0.05</v>
      </c>
      <c r="AU20" s="76">
        <f>VLOOKUP($C20,Утилизация!$B$16:$L$104,7,0)</f>
        <v>8.199999999999999E-2</v>
      </c>
      <c r="AV20" s="184">
        <f t="shared" si="7"/>
        <v>-0.20399999999999999</v>
      </c>
      <c r="AW20" s="161" t="str">
        <f>VLOOKUP(C20,Захоронение!$B$16:$Q$104,16,0)</f>
        <v/>
      </c>
      <c r="AX20" s="135"/>
      <c r="AY20" s="94"/>
      <c r="AZ20" s="94"/>
      <c r="BA20" s="98"/>
      <c r="BB20" s="127" t="str">
        <f>VLOOKUP(C20,'ДК ИП'!$B$16:$S$104,5,0)</f>
        <v>небольшое</v>
      </c>
      <c r="BC20" s="224">
        <f>VLOOKUP(C20,'Радар олд'!$B$3:$E$87,4,0)</f>
        <v>0.13473026159564416</v>
      </c>
      <c r="BD20" s="98"/>
      <c r="BI20" s="8">
        <f t="shared" si="8"/>
        <v>0</v>
      </c>
      <c r="BJ20" s="8">
        <f>VLOOKUP(C20,Штаб!$B$16:$C$104,2)</f>
        <v>2</v>
      </c>
      <c r="BK20" s="8">
        <f>VLOOKUP(C20,'РО - регионы'!$B$16:$C$104,2)</f>
        <v>0</v>
      </c>
      <c r="BL20" s="8">
        <f>VLOOKUP(C20,'РО - регионы'!$B$16:$L$104,11)</f>
        <v>0</v>
      </c>
      <c r="BM20" s="8">
        <f>VLOOKUP(C20,Спецтехника!$B$16:$C$104,2)</f>
        <v>0</v>
      </c>
      <c r="BN20" s="8">
        <f>VLOOKUP($C20,МНО!$B$16:$AB$104,6,0)</f>
        <v>0</v>
      </c>
      <c r="BO20" s="8">
        <f>VLOOKUP($C20,МНО!$B$16:$AB$104,4,0)</f>
        <v>1</v>
      </c>
      <c r="BP20" s="8">
        <f>VLOOKUP($C20,МНО!$B$16:$AB$104,5,0)</f>
        <v>0</v>
      </c>
      <c r="BQ20" s="8">
        <f>VLOOKUP($C20,Контейнеры!$B$16:$G$104,6,0)</f>
        <v>0</v>
      </c>
      <c r="BR20" s="8">
        <f>VLOOKUP($C20,Контейнеры!$B$16:$G$104,4,0)</f>
        <v>0</v>
      </c>
      <c r="BS20" s="8">
        <f>VLOOKUP($C20,Контейнеры!$B$16:$G$104,5,0)</f>
        <v>0</v>
      </c>
      <c r="BT20" s="8">
        <f>VLOOKUP($C20,'ДК МНО'!$B$16:$C$104,2,0)</f>
        <v>2</v>
      </c>
      <c r="BU20" s="8">
        <f>VLOOKUP($C20,Обработка!$B$16:$F$104,5,0)</f>
        <v>1</v>
      </c>
      <c r="BV20" s="8">
        <f>VLOOKUP($C20,Обработка!$B$16:$F$104,4,0)</f>
        <v>0</v>
      </c>
      <c r="BW20" s="8">
        <f>VLOOKUP($C20,Утилизация!$B$16:$F$104,5,0)</f>
        <v>2</v>
      </c>
      <c r="BX20" s="8">
        <f>VLOOKUP($C20,Утилизация!$B$16:$F$104,4,0)</f>
        <v>1</v>
      </c>
      <c r="BY20" s="8">
        <f>VLOOKUP($C20,Захоронение!$B$16:$C$104,2,0)</f>
        <v>0</v>
      </c>
      <c r="BZ20" s="8">
        <f>VLOOKUP($C20,'ДК ИП'!$B$16:$C$104,2,0)</f>
        <v>0</v>
      </c>
      <c r="CA20" s="8">
        <f t="shared" si="9"/>
        <v>0.25</v>
      </c>
    </row>
    <row r="21" spans="1:79" ht="30" customHeight="1">
      <c r="A21" s="9" t="s">
        <v>657</v>
      </c>
      <c r="B21" s="261">
        <f t="shared" si="3"/>
        <v>11</v>
      </c>
      <c r="C21" s="258" t="s">
        <v>22</v>
      </c>
      <c r="D21" s="227" t="str">
        <f>VLOOKUP($C21,Штаб!$B$16:$J$104,6,0)</f>
        <v>✔️</v>
      </c>
      <c r="E21" s="228" t="str">
        <f>VLOOKUP($C21,Штаб!$B$16:$J$104,7,0)</f>
        <v/>
      </c>
      <c r="F21" s="228" t="str">
        <f>VLOOKUP($C21,Штаб!$B$16:$J$104,8,0)</f>
        <v/>
      </c>
      <c r="G21" s="229" t="str">
        <f>VLOOKUP($C21,Штаб!$B$16:$J$104,9,0)</f>
        <v/>
      </c>
      <c r="H21" s="161" t="str">
        <f>VLOOKUP(C21,'РО - регионы'!$B$16:$I$104,8,0)</f>
        <v>0 / 0 / 1 из 1</v>
      </c>
      <c r="I21" s="237"/>
      <c r="J21" s="122"/>
      <c r="K21" s="94"/>
      <c r="L21" s="94"/>
      <c r="M21" s="98"/>
      <c r="N21" s="163">
        <f>VLOOKUP(C21,Спецтехника!$B$16:$J$104,4,0)</f>
        <v>221</v>
      </c>
      <c r="O21" s="166">
        <f>VLOOKUP(C21,Спецтехника!$B$16:$J$104,5,0)</f>
        <v>221</v>
      </c>
      <c r="P21" s="166">
        <f>VLOOKUP(C21,Спецтехника!$B$16:$J$104,6,0)</f>
        <v>0</v>
      </c>
      <c r="Q21" s="169">
        <f>VLOOKUP(C21,Спецтехника!$B$16:$J$104,7,0)</f>
        <v>0</v>
      </c>
      <c r="R21" s="242"/>
      <c r="S21" s="122"/>
      <c r="T21" s="94"/>
      <c r="U21" s="94"/>
      <c r="V21" s="98"/>
      <c r="W21" s="165">
        <f>VLOOKUP($C21,МНО!$B$16:$AB$104,16,0)</f>
        <v>5441</v>
      </c>
      <c r="X21" s="168">
        <f>VLOOKUP($C21,МНО!$B$16:$AB$104,8,0)</f>
        <v>5441</v>
      </c>
      <c r="Y21" s="168">
        <f>VLOOKUP($C21,МНО!$B$16:$AB$104,11,0)</f>
        <v>0</v>
      </c>
      <c r="Z21" s="174">
        <f>VLOOKUP($C21,МНО!$B$16:$AB$104,17,0)</f>
        <v>0</v>
      </c>
      <c r="AA21" s="245"/>
      <c r="AB21" s="95">
        <f>VLOOKUP($C21,МНО!$B$16:$AB$104,13,0)</f>
        <v>5.9377414725687157</v>
      </c>
      <c r="AC21" s="154">
        <f>VLOOKUP($C21,МНО!$B$16:$AB$104,18,0)</f>
        <v>0.60949927187184949</v>
      </c>
      <c r="AD21" s="165">
        <f>VLOOKUP($C21,Контейнеры!$B$16:$AB$104,16,0)</f>
        <v>11785</v>
      </c>
      <c r="AE21" s="168">
        <f>VLOOKUP($C21,Контейнеры!$B$16:$AB$104,8,0)</f>
        <v>11785</v>
      </c>
      <c r="AF21" s="168">
        <f>VLOOKUP($C21,Контейнеры!$B$16:$AB$104,11,0)</f>
        <v>0</v>
      </c>
      <c r="AG21" s="174">
        <f>VLOOKUP($C21,Контейнеры!$B$16:$AB$104,17,0)</f>
        <v>0</v>
      </c>
      <c r="AH21" s="245"/>
      <c r="AI21" s="95">
        <f>VLOOKUP($C21,Контейнеры!$B$16:$AB$104,13,0)</f>
        <v>13.009162159178716</v>
      </c>
      <c r="AJ21" s="154">
        <f>VLOOKUP($C21,Контейнеры!$B$16:$AB$104,18,0)</f>
        <v>1</v>
      </c>
      <c r="AK21" s="135"/>
      <c r="AL21" s="94"/>
      <c r="AM21" s="94"/>
      <c r="AN21" s="116"/>
      <c r="AO21" s="78">
        <f>VLOOKUP($C21,Обработка!$B$16:$L$104,6,0)</f>
        <v>0.79799999999999993</v>
      </c>
      <c r="AP21" s="75">
        <f t="shared" si="4"/>
        <v>0.25499999999999989</v>
      </c>
      <c r="AQ21" s="74">
        <f>VLOOKUP($C21,Обработка!$B$16:$L$104,7,0)</f>
        <v>0.75</v>
      </c>
      <c r="AR21" s="179">
        <f t="shared" si="5"/>
        <v>-5.7000000000000051E-2</v>
      </c>
      <c r="AS21" s="181">
        <f>VLOOKUP($C21,Утилизация!$B$16:$L$104,6,0)</f>
        <v>7.5999999999999998E-2</v>
      </c>
      <c r="AT21" s="74">
        <f t="shared" si="6"/>
        <v>-6.3000000000000014E-2</v>
      </c>
      <c r="AU21" s="76">
        <f>VLOOKUP($C21,Утилизация!$B$16:$L$104,7,0)</f>
        <v>7.5999999999999998E-2</v>
      </c>
      <c r="AV21" s="184">
        <f t="shared" si="7"/>
        <v>-0.20999999999999996</v>
      </c>
      <c r="AW21" s="161" t="str">
        <f>VLOOKUP(C21,Захоронение!$B$16:$Q$104,16,0)</f>
        <v/>
      </c>
      <c r="AX21" s="135"/>
      <c r="AY21" s="94"/>
      <c r="AZ21" s="94"/>
      <c r="BA21" s="98"/>
      <c r="BB21" s="127" t="str">
        <f>VLOOKUP(C21,'ДК ИП'!$B$16:$S$104,5,0)</f>
        <v>небольшое</v>
      </c>
      <c r="BC21" s="224">
        <f>VLOOKUP(C21,'Радар олд'!$B$3:$E$87,4,0)</f>
        <v>0.14019207418037311</v>
      </c>
      <c r="BD21" s="98"/>
      <c r="BI21" s="8">
        <f t="shared" si="8"/>
        <v>0</v>
      </c>
      <c r="BJ21" s="8">
        <f>VLOOKUP(C21,Штаб!$B$16:$C$104,2)</f>
        <v>0</v>
      </c>
      <c r="BK21" s="8">
        <f>VLOOKUP(C21,'РО - регионы'!$B$16:$C$104,2)</f>
        <v>0</v>
      </c>
      <c r="BL21" s="8">
        <f>VLOOKUP(C21,'РО - регионы'!$B$16:$L$104,11)</f>
        <v>0</v>
      </c>
      <c r="BM21" s="8">
        <f>VLOOKUP(C21,Спецтехника!$B$16:$C$104,2)</f>
        <v>0</v>
      </c>
      <c r="BN21" s="8">
        <f>VLOOKUP($C21,МНО!$B$16:$AB$104,6,0)</f>
        <v>2</v>
      </c>
      <c r="BO21" s="8">
        <f>VLOOKUP($C21,МНО!$B$16:$AB$104,4,0)</f>
        <v>1</v>
      </c>
      <c r="BP21" s="8">
        <f>VLOOKUP($C21,МНО!$B$16:$AB$104,5,0)</f>
        <v>2</v>
      </c>
      <c r="BQ21" s="8">
        <f>VLOOKUP($C21,Контейнеры!$B$16:$G$104,6,0)</f>
        <v>2</v>
      </c>
      <c r="BR21" s="8">
        <f>VLOOKUP($C21,Контейнеры!$B$16:$G$104,4,0)</f>
        <v>2</v>
      </c>
      <c r="BS21" s="8">
        <f>VLOOKUP($C21,Контейнеры!$B$16:$G$104,5,0)</f>
        <v>0</v>
      </c>
      <c r="BT21" s="8">
        <f>VLOOKUP($C21,'ДК МНО'!$B$16:$C$104,2,0)</f>
        <v>2</v>
      </c>
      <c r="BU21" s="8">
        <f>VLOOKUP($C21,Обработка!$B$16:$F$104,5,0)</f>
        <v>1</v>
      </c>
      <c r="BV21" s="8">
        <f>VLOOKUP($C21,Обработка!$B$16:$F$104,4,0)</f>
        <v>0</v>
      </c>
      <c r="BW21" s="8">
        <f>VLOOKUP($C21,Утилизация!$B$16:$F$104,5,0)</f>
        <v>2</v>
      </c>
      <c r="BX21" s="8">
        <f>VLOOKUP($C21,Утилизация!$B$16:$F$104,4,0)</f>
        <v>1</v>
      </c>
      <c r="BY21" s="8">
        <f>VLOOKUP($C21,Захоронение!$B$16:$C$104,2,0)</f>
        <v>0</v>
      </c>
      <c r="BZ21" s="8">
        <f>VLOOKUP($C21,'ДК ИП'!$B$16:$C$104,2,0)</f>
        <v>0</v>
      </c>
      <c r="CA21" s="8">
        <f t="shared" si="9"/>
        <v>0.55000000000000004</v>
      </c>
    </row>
    <row r="22" spans="1:79" ht="30" customHeight="1">
      <c r="A22" s="9" t="s">
        <v>659</v>
      </c>
      <c r="B22" s="261">
        <f t="shared" si="3"/>
        <v>12</v>
      </c>
      <c r="C22" s="258" t="s">
        <v>87</v>
      </c>
      <c r="D22" s="227" t="str">
        <f>VLOOKUP($C22,Штаб!$B$16:$J$104,6,0)</f>
        <v>✔️</v>
      </c>
      <c r="E22" s="228" t="str">
        <f>VLOOKUP($C22,Штаб!$B$16:$J$104,7,0)</f>
        <v/>
      </c>
      <c r="F22" s="228" t="str">
        <f>VLOOKUP($C22,Штаб!$B$16:$J$104,8,0)</f>
        <v/>
      </c>
      <c r="G22" s="229" t="str">
        <f>VLOOKUP($C22,Штаб!$B$16:$J$104,9,0)</f>
        <v/>
      </c>
      <c r="H22" s="161" t="str">
        <f>VLOOKUP(C22,'РО - регионы'!$B$16:$I$104,8,0)</f>
        <v>0 / 0 / 1 из 1</v>
      </c>
      <c r="I22" s="237"/>
      <c r="J22" s="122"/>
      <c r="K22" s="94"/>
      <c r="L22" s="94"/>
      <c r="M22" s="98"/>
      <c r="N22" s="163">
        <f>VLOOKUP(C22,Спецтехника!$B$16:$J$104,4,0)</f>
        <v>149</v>
      </c>
      <c r="O22" s="166">
        <f>VLOOKUP(C22,Спецтехника!$B$16:$J$104,5,0)</f>
        <v>149</v>
      </c>
      <c r="P22" s="166">
        <f>VLOOKUP(C22,Спецтехника!$B$16:$J$104,6,0)</f>
        <v>0</v>
      </c>
      <c r="Q22" s="169">
        <f>VLOOKUP(C22,Спецтехника!$B$16:$J$104,7,0)</f>
        <v>0</v>
      </c>
      <c r="R22" s="242"/>
      <c r="S22" s="122"/>
      <c r="T22" s="94"/>
      <c r="U22" s="94"/>
      <c r="V22" s="98"/>
      <c r="W22" s="165">
        <f>VLOOKUP($C22,МНО!$B$16:$AB$104,16,0)</f>
        <v>15394</v>
      </c>
      <c r="X22" s="168">
        <f>VLOOKUP($C22,МНО!$B$16:$AB$104,8,0)</f>
        <v>15394</v>
      </c>
      <c r="Y22" s="168">
        <f>VLOOKUP($C22,МНО!$B$16:$AB$104,11,0)</f>
        <v>0</v>
      </c>
      <c r="Z22" s="174">
        <f>VLOOKUP($C22,МНО!$B$16:$AB$104,17,0)</f>
        <v>0</v>
      </c>
      <c r="AA22" s="245"/>
      <c r="AB22" s="95">
        <f>VLOOKUP($C22,МНО!$B$16:$AB$104,13,0)</f>
        <v>12.876790501953197</v>
      </c>
      <c r="AC22" s="154">
        <f>VLOOKUP($C22,МНО!$B$16:$AB$104,18,0)</f>
        <v>1</v>
      </c>
      <c r="AD22" s="165">
        <f>VLOOKUP($C22,Контейнеры!$B$16:$AB$104,16,0)</f>
        <v>29016</v>
      </c>
      <c r="AE22" s="168">
        <f>VLOOKUP($C22,Контейнеры!$B$16:$AB$104,8,0)</f>
        <v>28065</v>
      </c>
      <c r="AF22" s="168">
        <f>VLOOKUP($C22,Контейнеры!$B$16:$AB$104,11,0)</f>
        <v>951</v>
      </c>
      <c r="AG22" s="174">
        <f>VLOOKUP($C22,Контейнеры!$B$16:$AB$104,17,0)</f>
        <v>3.2775020678246482E-2</v>
      </c>
      <c r="AH22" s="245"/>
      <c r="AI22" s="95">
        <f>VLOOKUP($C22,Контейнеры!$B$16:$AB$104,13,0)</f>
        <v>24.047586201578152</v>
      </c>
      <c r="AJ22" s="154">
        <f>VLOOKUP($C22,Контейнеры!$B$16:$AB$104,18,0)</f>
        <v>0.94926433282597666</v>
      </c>
      <c r="AK22" s="135"/>
      <c r="AL22" s="94"/>
      <c r="AM22" s="94"/>
      <c r="AN22" s="116"/>
      <c r="AO22" s="78">
        <f>VLOOKUP($C22,Обработка!$B$16:$L$104,6,0)</f>
        <v>0.67</v>
      </c>
      <c r="AP22" s="75">
        <f t="shared" si="4"/>
        <v>0.127</v>
      </c>
      <c r="AQ22" s="74">
        <f>VLOOKUP($C22,Обработка!$B$16:$L$104,7,0)</f>
        <v>0.7</v>
      </c>
      <c r="AR22" s="179">
        <f t="shared" si="5"/>
        <v>-0.1070000000000001</v>
      </c>
      <c r="AS22" s="181">
        <f>VLOOKUP($C22,Утилизация!$B$16:$L$104,6,0)</f>
        <v>9.4E-2</v>
      </c>
      <c r="AT22" s="74">
        <f t="shared" si="6"/>
        <v>-4.5000000000000012E-2</v>
      </c>
      <c r="AU22" s="76">
        <f>VLOOKUP($C22,Утилизация!$B$16:$L$104,7,0)</f>
        <v>4.7E-2</v>
      </c>
      <c r="AV22" s="184">
        <f t="shared" si="7"/>
        <v>-0.23899999999999999</v>
      </c>
      <c r="AW22" s="161" t="str">
        <f>VLOOKUP(C22,Захоронение!$B$16:$Q$104,16,0)</f>
        <v/>
      </c>
      <c r="AX22" s="135"/>
      <c r="AY22" s="94"/>
      <c r="AZ22" s="94"/>
      <c r="BA22" s="98"/>
      <c r="BB22" s="127" t="str">
        <f>VLOOKUP(C22,'ДК ИП'!$B$16:$S$104,5,0)</f>
        <v>небольшое</v>
      </c>
      <c r="BC22" s="224">
        <f>VLOOKUP(C22,'Радар олд'!$B$3:$E$87,4,0)</f>
        <v>0.1216731601861428</v>
      </c>
      <c r="BD22" s="98"/>
      <c r="BI22" s="8">
        <f t="shared" si="8"/>
        <v>0</v>
      </c>
      <c r="BJ22" s="8">
        <f>VLOOKUP(C22,Штаб!$B$16:$C$104,2)</f>
        <v>0</v>
      </c>
      <c r="BK22" s="8">
        <f>VLOOKUP(C22,'РО - регионы'!$B$16:$C$104,2)</f>
        <v>0</v>
      </c>
      <c r="BL22" s="8">
        <f>VLOOKUP(C22,'РО - регионы'!$B$16:$L$104,11)</f>
        <v>0</v>
      </c>
      <c r="BM22" s="8">
        <f>VLOOKUP(C22,Спецтехника!$B$16:$C$104,2)</f>
        <v>0</v>
      </c>
      <c r="BN22" s="8">
        <f>VLOOKUP($C22,МНО!$B$16:$AB$104,6,0)</f>
        <v>2</v>
      </c>
      <c r="BO22" s="8">
        <f>VLOOKUP($C22,МНО!$B$16:$AB$104,4,0)</f>
        <v>0</v>
      </c>
      <c r="BP22" s="8">
        <f>VLOOKUP($C22,МНО!$B$16:$AB$104,5,0)</f>
        <v>0</v>
      </c>
      <c r="BQ22" s="8">
        <f>VLOOKUP($C22,Контейнеры!$B$16:$G$104,6,0)</f>
        <v>0</v>
      </c>
      <c r="BR22" s="8">
        <f>VLOOKUP($C22,Контейнеры!$B$16:$G$104,4,0)</f>
        <v>0</v>
      </c>
      <c r="BS22" s="8">
        <f>VLOOKUP($C22,Контейнеры!$B$16:$G$104,5,0)</f>
        <v>0</v>
      </c>
      <c r="BT22" s="8">
        <f>VLOOKUP($C22,'ДК МНО'!$B$16:$C$104,2,0)</f>
        <v>2</v>
      </c>
      <c r="BU22" s="8">
        <f>VLOOKUP($C22,Обработка!$B$16:$F$104,5,0)</f>
        <v>1</v>
      </c>
      <c r="BV22" s="8">
        <f>VLOOKUP($C22,Обработка!$B$16:$F$104,4,0)</f>
        <v>0</v>
      </c>
      <c r="BW22" s="8">
        <f>VLOOKUP($C22,Утилизация!$B$16:$F$104,5,0)</f>
        <v>2</v>
      </c>
      <c r="BX22" s="8">
        <f>VLOOKUP($C22,Утилизация!$B$16:$F$104,4,0)</f>
        <v>1</v>
      </c>
      <c r="BY22" s="8">
        <f>VLOOKUP($C22,Захоронение!$B$16:$C$104,2,0)</f>
        <v>0</v>
      </c>
      <c r="BZ22" s="8">
        <f>VLOOKUP($C22,'ДК ИП'!$B$16:$C$104,2,0)</f>
        <v>0</v>
      </c>
      <c r="CA22" s="8">
        <f t="shared" si="9"/>
        <v>0.3</v>
      </c>
    </row>
    <row r="23" spans="1:79" ht="30" customHeight="1">
      <c r="A23" s="9" t="s">
        <v>660</v>
      </c>
      <c r="B23" s="261">
        <f t="shared" si="3"/>
        <v>13</v>
      </c>
      <c r="C23" s="258" t="s">
        <v>80</v>
      </c>
      <c r="D23" s="227" t="str">
        <f>VLOOKUP($C23,Штаб!$B$16:$J$104,6,0)</f>
        <v>✔️</v>
      </c>
      <c r="E23" s="228" t="str">
        <f>VLOOKUP($C23,Штаб!$B$16:$J$104,7,0)</f>
        <v/>
      </c>
      <c r="F23" s="228" t="str">
        <f>VLOOKUP($C23,Штаб!$B$16:$J$104,8,0)</f>
        <v/>
      </c>
      <c r="G23" s="229" t="str">
        <f>VLOOKUP($C23,Штаб!$B$16:$J$104,9,0)</f>
        <v/>
      </c>
      <c r="H23" s="161" t="str">
        <f>VLOOKUP(C23,'РО - регионы'!$B$16:$I$104,8,0)</f>
        <v>0 / 0 / 1 из 1</v>
      </c>
      <c r="I23" s="237"/>
      <c r="J23" s="122"/>
      <c r="K23" s="94"/>
      <c r="L23" s="94"/>
      <c r="M23" s="98"/>
      <c r="N23" s="163">
        <f>VLOOKUP(C23,Спецтехника!$B$16:$J$104,4,0)</f>
        <v>301</v>
      </c>
      <c r="O23" s="166">
        <f>VLOOKUP(C23,Спецтехника!$B$16:$J$104,5,0)</f>
        <v>298</v>
      </c>
      <c r="P23" s="166">
        <f>VLOOKUP(C23,Спецтехника!$B$16:$J$104,6,0)</f>
        <v>3</v>
      </c>
      <c r="Q23" s="169">
        <f>VLOOKUP(C23,Спецтехника!$B$16:$J$104,7,0)</f>
        <v>9.9667774086378731E-3</v>
      </c>
      <c r="R23" s="242"/>
      <c r="S23" s="122"/>
      <c r="T23" s="94"/>
      <c r="U23" s="94"/>
      <c r="V23" s="98"/>
      <c r="W23" s="165">
        <f>VLOOKUP($C23,МНО!$B$16:$AB$104,16,0)</f>
        <v>15786</v>
      </c>
      <c r="X23" s="168">
        <f>VLOOKUP($C23,МНО!$B$16:$AB$104,8,0)</f>
        <v>15786</v>
      </c>
      <c r="Y23" s="168">
        <f>VLOOKUP($C23,МНО!$B$16:$AB$104,11,0)</f>
        <v>0</v>
      </c>
      <c r="Z23" s="174">
        <f>VLOOKUP($C23,МНО!$B$16:$AB$104,17,0)</f>
        <v>0</v>
      </c>
      <c r="AA23" s="245"/>
      <c r="AB23" s="95">
        <f>VLOOKUP($C23,МНО!$B$16:$AB$104,13,0)</f>
        <v>9.4784500208610076</v>
      </c>
      <c r="AC23" s="154">
        <f>VLOOKUP($C23,МНО!$B$16:$AB$104,18,0)</f>
        <v>1</v>
      </c>
      <c r="AD23" s="165">
        <f>VLOOKUP($C23,Контейнеры!$B$16:$AB$104,16,0)</f>
        <v>27758</v>
      </c>
      <c r="AE23" s="168">
        <f>VLOOKUP($C23,Контейнеры!$B$16:$AB$104,8,0)</f>
        <v>27758</v>
      </c>
      <c r="AF23" s="168">
        <f>VLOOKUP($C23,Контейнеры!$B$16:$AB$104,11,0)</f>
        <v>0</v>
      </c>
      <c r="AG23" s="174">
        <f>VLOOKUP($C23,Контейнеры!$B$16:$AB$104,17,0)</f>
        <v>0</v>
      </c>
      <c r="AH23" s="245"/>
      <c r="AI23" s="95">
        <f>VLOOKUP($C23,Контейнеры!$B$16:$AB$104,13,0)</f>
        <v>17.182785767963683</v>
      </c>
      <c r="AJ23" s="154">
        <f>VLOOKUP($C23,Контейнеры!$B$16:$AB$104,18,0)</f>
        <v>1</v>
      </c>
      <c r="AK23" s="135"/>
      <c r="AL23" s="94"/>
      <c r="AM23" s="94"/>
      <c r="AN23" s="116"/>
      <c r="AO23" s="78">
        <f>VLOOKUP($C23,Обработка!$B$16:$L$104,6,0)</f>
        <v>1</v>
      </c>
      <c r="AP23" s="75">
        <f t="shared" si="4"/>
        <v>0.45699999999999996</v>
      </c>
      <c r="AQ23" s="75">
        <f>VLOOKUP($C23,Обработка!$B$16:$L$104,7,0)</f>
        <v>0.95</v>
      </c>
      <c r="AR23" s="178">
        <f t="shared" si="5"/>
        <v>0.1429999999999999</v>
      </c>
      <c r="AS23" s="180">
        <f>VLOOKUP($C23,Утилизация!$B$16:$L$104,6,0)</f>
        <v>0.04</v>
      </c>
      <c r="AT23" s="76">
        <f t="shared" si="6"/>
        <v>-9.9000000000000005E-2</v>
      </c>
      <c r="AU23" s="76">
        <f>VLOOKUP($C23,Утилизация!$B$16:$L$104,7,0)</f>
        <v>0.1</v>
      </c>
      <c r="AV23" s="184">
        <f t="shared" si="7"/>
        <v>-0.18599999999999997</v>
      </c>
      <c r="AW23" s="161" t="str">
        <f>VLOOKUP(C23,Захоронение!$B$16:$Q$104,16,0)</f>
        <v/>
      </c>
      <c r="AX23" s="135"/>
      <c r="AY23" s="94"/>
      <c r="AZ23" s="94"/>
      <c r="BA23" s="98"/>
      <c r="BB23" s="127" t="str">
        <f>VLOOKUP(C23,'ДК ИП'!$B$16:$S$104,5,0)</f>
        <v>не подписана</v>
      </c>
      <c r="BC23" s="224">
        <f>VLOOKUP(C23,'Радар олд'!$B$3:$E$87,4,0)</f>
        <v>3.0951051531024718E-2</v>
      </c>
      <c r="BD23" s="98"/>
      <c r="BI23" s="8">
        <f t="shared" si="8"/>
        <v>0</v>
      </c>
      <c r="BJ23" s="8">
        <f>VLOOKUP(C23,Штаб!$B$16:$C$104,2)</f>
        <v>0</v>
      </c>
      <c r="BK23" s="8">
        <f>VLOOKUP(C23,'РО - регионы'!$B$16:$C$104,2)</f>
        <v>0</v>
      </c>
      <c r="BL23" s="8">
        <f>VLOOKUP(C23,'РО - регионы'!$B$16:$L$104,11)</f>
        <v>0</v>
      </c>
      <c r="BM23" s="8">
        <f>VLOOKUP(C23,Спецтехника!$B$16:$C$104,2)</f>
        <v>0</v>
      </c>
      <c r="BN23" s="8">
        <f>VLOOKUP($C23,МНО!$B$16:$AB$104,6,0)</f>
        <v>2</v>
      </c>
      <c r="BO23" s="8">
        <f>VLOOKUP($C23,МНО!$B$16:$AB$104,4,0)</f>
        <v>0</v>
      </c>
      <c r="BP23" s="8">
        <f>VLOOKUP($C23,МНО!$B$16:$AB$104,5,0)</f>
        <v>0</v>
      </c>
      <c r="BQ23" s="8">
        <f>VLOOKUP($C23,Контейнеры!$B$16:$G$104,6,0)</f>
        <v>2</v>
      </c>
      <c r="BR23" s="8">
        <f>VLOOKUP($C23,Контейнеры!$B$16:$G$104,4,0)</f>
        <v>0</v>
      </c>
      <c r="BS23" s="8">
        <f>VLOOKUP($C23,Контейнеры!$B$16:$G$104,5,0)</f>
        <v>0</v>
      </c>
      <c r="BT23" s="8">
        <f>VLOOKUP($C23,'ДК МНО'!$B$16:$C$104,2,0)</f>
        <v>2</v>
      </c>
      <c r="BU23" s="8">
        <f>VLOOKUP($C23,Обработка!$B$16:$F$104,5,0)</f>
        <v>0</v>
      </c>
      <c r="BV23" s="8">
        <f>VLOOKUP($C23,Обработка!$B$16:$F$104,4,0)</f>
        <v>0</v>
      </c>
      <c r="BW23" s="8">
        <f>VLOOKUP($C23,Утилизация!$B$16:$F$104,5,0)</f>
        <v>2</v>
      </c>
      <c r="BX23" s="8">
        <f>VLOOKUP($C23,Утилизация!$B$16:$F$104,4,0)</f>
        <v>2</v>
      </c>
      <c r="BY23" s="8">
        <f>VLOOKUP($C23,Захоронение!$B$16:$C$104,2,0)</f>
        <v>0</v>
      </c>
      <c r="BZ23" s="8">
        <f>VLOOKUP($C23,'ДК ИП'!$B$16:$C$104,2,0)</f>
        <v>0</v>
      </c>
      <c r="CA23" s="8">
        <f t="shared" si="9"/>
        <v>0.4</v>
      </c>
    </row>
    <row r="24" spans="1:79" ht="30" customHeight="1">
      <c r="A24" s="9" t="s">
        <v>660</v>
      </c>
      <c r="B24" s="261">
        <f t="shared" si="3"/>
        <v>14</v>
      </c>
      <c r="C24" s="258" t="s">
        <v>84</v>
      </c>
      <c r="D24" s="227" t="str">
        <f>VLOOKUP($C24,Штаб!$B$16:$J$104,6,0)</f>
        <v>✔️</v>
      </c>
      <c r="E24" s="228" t="str">
        <f>VLOOKUP($C24,Штаб!$B$16:$J$104,7,0)</f>
        <v/>
      </c>
      <c r="F24" s="228" t="str">
        <f>VLOOKUP($C24,Штаб!$B$16:$J$104,8,0)</f>
        <v/>
      </c>
      <c r="G24" s="229" t="str">
        <f>VLOOKUP($C24,Штаб!$B$16:$J$104,9,0)</f>
        <v/>
      </c>
      <c r="H24" s="161" t="str">
        <f>VLOOKUP(C24,'РО - регионы'!$B$16:$I$104,8,0)</f>
        <v>0 / 0 / 2 из 2</v>
      </c>
      <c r="I24" s="237"/>
      <c r="J24" s="122"/>
      <c r="K24" s="94"/>
      <c r="L24" s="94"/>
      <c r="M24" s="98"/>
      <c r="N24" s="163">
        <f>VLOOKUP(C24,Спецтехника!$B$16:$J$104,4,0)</f>
        <v>328</v>
      </c>
      <c r="O24" s="166">
        <f>VLOOKUP(C24,Спецтехника!$B$16:$J$104,5,0)</f>
        <v>309</v>
      </c>
      <c r="P24" s="166">
        <f>VLOOKUP(C24,Спецтехника!$B$16:$J$104,6,0)</f>
        <v>19</v>
      </c>
      <c r="Q24" s="169">
        <f>VLOOKUP(C24,Спецтехника!$B$16:$J$104,7,0)</f>
        <v>5.7926829268292686E-2</v>
      </c>
      <c r="R24" s="242"/>
      <c r="S24" s="122"/>
      <c r="T24" s="94"/>
      <c r="U24" s="94"/>
      <c r="V24" s="98"/>
      <c r="W24" s="163">
        <f>VLOOKUP($C24,МНО!$B$16:$AB$104,16,0)</f>
        <v>17867</v>
      </c>
      <c r="X24" s="166">
        <f>VLOOKUP($C24,МНО!$B$16:$AB$104,8,0)</f>
        <v>17823</v>
      </c>
      <c r="Y24" s="166">
        <f>VLOOKUP($C24,МНО!$B$16:$AB$104,11,0)</f>
        <v>44</v>
      </c>
      <c r="Z24" s="173">
        <f>VLOOKUP($C24,МНО!$B$16:$AB$104,17,0)</f>
        <v>2.462640622376448E-3</v>
      </c>
      <c r="AA24" s="245"/>
      <c r="AB24" s="95">
        <f>VLOOKUP($C24,МНО!$B$16:$AB$104,13,0)</f>
        <v>9.6459787675927853</v>
      </c>
      <c r="AC24" s="154">
        <f>VLOOKUP($C24,МНО!$B$16:$AB$104,18,0)</f>
        <v>1</v>
      </c>
      <c r="AD24" s="165">
        <f>VLOOKUP($C24,Контейнеры!$B$16:$AB$104,16,0)</f>
        <v>45503</v>
      </c>
      <c r="AE24" s="168">
        <f>VLOOKUP($C24,Контейнеры!$B$16:$AB$104,8,0)</f>
        <v>39609</v>
      </c>
      <c r="AF24" s="168">
        <f>VLOOKUP($C24,Контейнеры!$B$16:$AB$104,11,0)</f>
        <v>5894</v>
      </c>
      <c r="AG24" s="174">
        <f>VLOOKUP($C24,Контейнеры!$B$16:$AB$104,17,0)</f>
        <v>0.12952992110410302</v>
      </c>
      <c r="AH24" s="245"/>
      <c r="AI24" s="95">
        <f>VLOOKUP($C24,Контейнеры!$B$16:$AB$104,13,0)</f>
        <v>22.512967592103152</v>
      </c>
      <c r="AJ24" s="154">
        <f>VLOOKUP($C24,Контейнеры!$B$16:$AB$104,18,0)</f>
        <v>0.97076123719425522</v>
      </c>
      <c r="AK24" s="135"/>
      <c r="AL24" s="94"/>
      <c r="AM24" s="94"/>
      <c r="AN24" s="116"/>
      <c r="AO24" s="80">
        <f>VLOOKUP($C24,Обработка!$B$16:$L$104,6,0)</f>
        <v>0.32299999999999995</v>
      </c>
      <c r="AP24" s="74">
        <f t="shared" si="4"/>
        <v>-0.22000000000000008</v>
      </c>
      <c r="AQ24" s="74">
        <f>VLOOKUP($C24,Обработка!$B$16:$L$104,7,0)</f>
        <v>0.40600000000000003</v>
      </c>
      <c r="AR24" s="179">
        <f t="shared" si="5"/>
        <v>-0.40100000000000002</v>
      </c>
      <c r="AS24" s="180">
        <f>VLOOKUP($C24,Утилизация!$B$16:$L$104,6,0)</f>
        <v>1.7000000000000001E-2</v>
      </c>
      <c r="AT24" s="76">
        <f t="shared" si="6"/>
        <v>-0.12200000000000001</v>
      </c>
      <c r="AU24" s="76">
        <f>VLOOKUP($C24,Утилизация!$B$16:$L$104,7,0)</f>
        <v>9.0999999999999998E-2</v>
      </c>
      <c r="AV24" s="184">
        <f t="shared" si="7"/>
        <v>-0.19499999999999998</v>
      </c>
      <c r="AW24" s="161" t="str">
        <f>VLOOKUP(C24,Захоронение!$B$16:$Q$104,16,0)</f>
        <v/>
      </c>
      <c r="AX24" s="135"/>
      <c r="AY24" s="94"/>
      <c r="AZ24" s="94"/>
      <c r="BA24" s="98"/>
      <c r="BB24" s="127" t="str">
        <f>VLOOKUP(C24,'ДК ИП'!$B$16:$S$104,5,0)</f>
        <v>небольшое</v>
      </c>
      <c r="BC24" s="224">
        <f>VLOOKUP(C24,'Радар олд'!$B$3:$E$87,4,0)</f>
        <v>3.069252568793886E-2</v>
      </c>
      <c r="BD24" s="98"/>
      <c r="BI24" s="8">
        <f t="shared" si="8"/>
        <v>0</v>
      </c>
      <c r="BJ24" s="8">
        <f>VLOOKUP(C24,Штаб!$B$16:$C$104,2)</f>
        <v>0</v>
      </c>
      <c r="BK24" s="8">
        <f>VLOOKUP(C24,'РО - регионы'!$B$16:$C$104,2)</f>
        <v>0</v>
      </c>
      <c r="BL24" s="8">
        <f>VLOOKUP(C24,'РО - регионы'!$B$16:$L$104,11)</f>
        <v>0</v>
      </c>
      <c r="BM24" s="8">
        <f>VLOOKUP(C24,Спецтехника!$B$16:$C$104,2)</f>
        <v>0</v>
      </c>
      <c r="BN24" s="8">
        <f>VLOOKUP($C24,МНО!$B$16:$AB$104,6,0)</f>
        <v>0</v>
      </c>
      <c r="BO24" s="8">
        <f>VLOOKUP($C24,МНО!$B$16:$AB$104,4,0)</f>
        <v>0</v>
      </c>
      <c r="BP24" s="8">
        <f>VLOOKUP($C24,МНО!$B$16:$AB$104,5,0)</f>
        <v>0</v>
      </c>
      <c r="BQ24" s="8">
        <f>VLOOKUP($C24,Контейнеры!$B$16:$G$104,6,0)</f>
        <v>0</v>
      </c>
      <c r="BR24" s="8">
        <f>VLOOKUP($C24,Контейнеры!$B$16:$G$104,4,0)</f>
        <v>0</v>
      </c>
      <c r="BS24" s="8">
        <f>VLOOKUP($C24,Контейнеры!$B$16:$G$104,5,0)</f>
        <v>0</v>
      </c>
      <c r="BT24" s="8">
        <f>VLOOKUP($C24,'ДК МНО'!$B$16:$C$104,2,0)</f>
        <v>2</v>
      </c>
      <c r="BU24" s="8">
        <f>VLOOKUP($C24,Обработка!$B$16:$F$104,5,0)</f>
        <v>1</v>
      </c>
      <c r="BV24" s="8">
        <f>VLOOKUP($C24,Обработка!$B$16:$F$104,4,0)</f>
        <v>1</v>
      </c>
      <c r="BW24" s="8">
        <f>VLOOKUP($C24,Утилизация!$B$16:$F$104,5,0)</f>
        <v>2</v>
      </c>
      <c r="BX24" s="8">
        <f>VLOOKUP($C24,Утилизация!$B$16:$F$104,4,0)</f>
        <v>2</v>
      </c>
      <c r="BY24" s="8">
        <f>VLOOKUP($C24,Захоронение!$B$16:$C$104,2,0)</f>
        <v>0</v>
      </c>
      <c r="BZ24" s="8">
        <f>VLOOKUP($C24,'ДК ИП'!$B$16:$C$104,2,0)</f>
        <v>0</v>
      </c>
      <c r="CA24" s="8">
        <f t="shared" si="9"/>
        <v>0.30000000000000004</v>
      </c>
    </row>
    <row r="25" spans="1:79" ht="30" customHeight="1">
      <c r="A25" s="9" t="s">
        <v>656</v>
      </c>
      <c r="B25" s="261">
        <f t="shared" si="3"/>
        <v>15</v>
      </c>
      <c r="C25" s="258" t="s">
        <v>14</v>
      </c>
      <c r="D25" s="227" t="str">
        <f>VLOOKUP($C25,Штаб!$B$16:$J$104,6,0)</f>
        <v/>
      </c>
      <c r="E25" s="228" t="str">
        <f>VLOOKUP($C25,Штаб!$B$16:$J$104,7,0)</f>
        <v/>
      </c>
      <c r="F25" s="228" t="str">
        <f>VLOOKUP($C25,Штаб!$B$16:$J$104,8,0)</f>
        <v>✔️</v>
      </c>
      <c r="G25" s="229" t="str">
        <f>VLOOKUP($C25,Штаб!$B$16:$J$104,9,0)</f>
        <v/>
      </c>
      <c r="H25" s="161" t="str">
        <f>VLOOKUP(C25,'РО - регионы'!$B$16:$I$104,8,0)</f>
        <v>0 / 0 / 1 из 1</v>
      </c>
      <c r="I25" s="237"/>
      <c r="J25" s="122"/>
      <c r="K25" s="94"/>
      <c r="L25" s="94"/>
      <c r="M25" s="98"/>
      <c r="N25" s="163">
        <f>VLOOKUP(C25,Спецтехника!$B$16:$J$104,4,0)</f>
        <v>244</v>
      </c>
      <c r="O25" s="166">
        <f>VLOOKUP(C25,Спецтехника!$B$16:$J$104,5,0)</f>
        <v>231</v>
      </c>
      <c r="P25" s="166">
        <f>VLOOKUP(C25,Спецтехника!$B$16:$J$104,6,0)</f>
        <v>13</v>
      </c>
      <c r="Q25" s="169">
        <f>VLOOKUP(C25,Спецтехника!$B$16:$J$104,7,0)</f>
        <v>5.3278688524590161E-2</v>
      </c>
      <c r="R25" s="242"/>
      <c r="S25" s="122"/>
      <c r="T25" s="94"/>
      <c r="U25" s="94"/>
      <c r="V25" s="98"/>
      <c r="W25" s="165">
        <f>VLOOKUP($C25,МНО!$B$16:$AB$104,16,0)</f>
        <v>26057</v>
      </c>
      <c r="X25" s="168">
        <f>VLOOKUP($C25,МНО!$B$16:$AB$104,8,0)</f>
        <v>20660</v>
      </c>
      <c r="Y25" s="168">
        <f>VLOOKUP($C25,МНО!$B$16:$AB$104,11,0)</f>
        <v>5397</v>
      </c>
      <c r="Z25" s="174">
        <f>VLOOKUP($C25,МНО!$B$16:$AB$104,17,0)</f>
        <v>0.20712284606823503</v>
      </c>
      <c r="AA25" s="245"/>
      <c r="AB25" s="95">
        <f>VLOOKUP($C25,МНО!$B$16:$AB$104,13,0)</f>
        <v>8.1409251729289469</v>
      </c>
      <c r="AC25" s="154">
        <f>VLOOKUP($C25,МНО!$B$16:$AB$104,18,0)</f>
        <v>1</v>
      </c>
      <c r="AD25" s="165">
        <f>VLOOKUP($C25,Контейнеры!$B$16:$AB$104,16,0)</f>
        <v>49272</v>
      </c>
      <c r="AE25" s="168">
        <f>VLOOKUP($C25,Контейнеры!$B$16:$AB$104,8,0)</f>
        <v>32010</v>
      </c>
      <c r="AF25" s="168">
        <f>VLOOKUP($C25,Контейнеры!$B$16:$AB$104,11,0)</f>
        <v>17262</v>
      </c>
      <c r="AG25" s="174">
        <f>VLOOKUP($C25,Контейнеры!$B$16:$AB$104,17,0)</f>
        <v>0.35034096444227958</v>
      </c>
      <c r="AH25" s="245"/>
      <c r="AI25" s="95">
        <f>VLOOKUP($C25,Контейнеры!$B$16:$AB$104,13,0)</f>
        <v>13.044551974042932</v>
      </c>
      <c r="AJ25" s="154">
        <f>VLOOKUP($C25,Контейнеры!$B$16:$AB$104,18,0)</f>
        <v>1</v>
      </c>
      <c r="AK25" s="135"/>
      <c r="AL25" s="94"/>
      <c r="AM25" s="94"/>
      <c r="AN25" s="116"/>
      <c r="AO25" s="78">
        <f>VLOOKUP($C25,Обработка!$B$16:$L$104,6,0)</f>
        <v>0.80200000000000005</v>
      </c>
      <c r="AP25" s="75">
        <f t="shared" si="4"/>
        <v>0.25900000000000001</v>
      </c>
      <c r="AQ25" s="74">
        <f>VLOOKUP($C25,Обработка!$B$16:$L$104,7,0)</f>
        <v>0.8</v>
      </c>
      <c r="AR25" s="179">
        <f t="shared" si="5"/>
        <v>-7.0000000000000062E-3</v>
      </c>
      <c r="AS25" s="180">
        <f>VLOOKUP($C25,Утилизация!$B$16:$L$104,6,0)</f>
        <v>4.8000000000000001E-2</v>
      </c>
      <c r="AT25" s="76">
        <f t="shared" si="6"/>
        <v>-9.1000000000000011E-2</v>
      </c>
      <c r="AU25" s="76">
        <f>VLOOKUP($C25,Утилизация!$B$16:$L$104,7,0)</f>
        <v>4.7E-2</v>
      </c>
      <c r="AV25" s="184">
        <f t="shared" si="7"/>
        <v>-0.23899999999999999</v>
      </c>
      <c r="AW25" s="161" t="str">
        <f>VLOOKUP(C25,Захоронение!$B$16:$Q$104,16,0)</f>
        <v/>
      </c>
      <c r="AX25" s="135"/>
      <c r="AY25" s="94"/>
      <c r="AZ25" s="94"/>
      <c r="BA25" s="98"/>
      <c r="BB25" s="127" t="str">
        <f>VLOOKUP(C25,'ДК ИП'!$B$16:$S$104,5,0)</f>
        <v>не подписана</v>
      </c>
      <c r="BC25" s="224">
        <f>VLOOKUP(C25,'Радар олд'!$B$3:$E$87,4,0)</f>
        <v>7.2130137438475433E-2</v>
      </c>
      <c r="BD25" s="98"/>
      <c r="BI25" s="8">
        <f t="shared" si="8"/>
        <v>0</v>
      </c>
      <c r="BJ25" s="8">
        <f>VLOOKUP(C25,Штаб!$B$16:$C$104,2)</f>
        <v>1</v>
      </c>
      <c r="BK25" s="8">
        <f>VLOOKUP(C25,'РО - регионы'!$B$16:$C$104,2)</f>
        <v>0</v>
      </c>
      <c r="BL25" s="8">
        <f>VLOOKUP(C25,'РО - регионы'!$B$16:$L$104,11)</f>
        <v>0</v>
      </c>
      <c r="BM25" s="8">
        <f>VLOOKUP(C25,Спецтехника!$B$16:$C$104,2)</f>
        <v>0</v>
      </c>
      <c r="BN25" s="8">
        <f>VLOOKUP($C25,МНО!$B$16:$AB$104,6,0)</f>
        <v>1</v>
      </c>
      <c r="BO25" s="8">
        <f>VLOOKUP($C25,МНО!$B$16:$AB$104,4,0)</f>
        <v>0</v>
      </c>
      <c r="BP25" s="8">
        <f>VLOOKUP($C25,МНО!$B$16:$AB$104,5,0)</f>
        <v>0</v>
      </c>
      <c r="BQ25" s="8">
        <f>VLOOKUP($C25,Контейнеры!$B$16:$G$104,6,0)</f>
        <v>2</v>
      </c>
      <c r="BR25" s="8">
        <f>VLOOKUP($C25,Контейнеры!$B$16:$G$104,4,0)</f>
        <v>0</v>
      </c>
      <c r="BS25" s="8">
        <f>VLOOKUP($C25,Контейнеры!$B$16:$G$104,5,0)</f>
        <v>0</v>
      </c>
      <c r="BT25" s="8">
        <f>VLOOKUP($C25,'ДК МНО'!$B$16:$C$104,2,0)</f>
        <v>2</v>
      </c>
      <c r="BU25" s="8">
        <f>VLOOKUP($C25,Обработка!$B$16:$F$104,5,0)</f>
        <v>1</v>
      </c>
      <c r="BV25" s="8">
        <f>VLOOKUP($C25,Обработка!$B$16:$F$104,4,0)</f>
        <v>0</v>
      </c>
      <c r="BW25" s="8">
        <f>VLOOKUP($C25,Утилизация!$B$16:$F$104,5,0)</f>
        <v>2</v>
      </c>
      <c r="BX25" s="8">
        <f>VLOOKUP($C25,Утилизация!$B$16:$F$104,4,0)</f>
        <v>2</v>
      </c>
      <c r="BY25" s="8">
        <f>VLOOKUP($C25,Захоронение!$B$16:$C$104,2,0)</f>
        <v>0</v>
      </c>
      <c r="BZ25" s="8">
        <f>VLOOKUP($C25,'ДК ИП'!$B$16:$C$104,2,0)</f>
        <v>0</v>
      </c>
      <c r="CA25" s="8">
        <f t="shared" si="9"/>
        <v>0.4</v>
      </c>
    </row>
    <row r="26" spans="1:79" ht="30" customHeight="1">
      <c r="A26" s="9" t="s">
        <v>657</v>
      </c>
      <c r="B26" s="261">
        <f t="shared" si="3"/>
        <v>16</v>
      </c>
      <c r="C26" s="258" t="s">
        <v>26</v>
      </c>
      <c r="D26" s="227" t="str">
        <f>VLOOKUP($C26,Штаб!$B$16:$J$104,6,0)</f>
        <v>✔️</v>
      </c>
      <c r="E26" s="228" t="str">
        <f>VLOOKUP($C26,Штаб!$B$16:$J$104,7,0)</f>
        <v/>
      </c>
      <c r="F26" s="228" t="str">
        <f>VLOOKUP($C26,Штаб!$B$16:$J$104,8,0)</f>
        <v/>
      </c>
      <c r="G26" s="229" t="str">
        <f>VLOOKUP($C26,Штаб!$B$16:$J$104,9,0)</f>
        <v/>
      </c>
      <c r="H26" s="161" t="str">
        <f>VLOOKUP(C26,'РО - регионы'!$B$16:$I$104,8,0)</f>
        <v>0 / 0 / 1 из 1</v>
      </c>
      <c r="I26" s="237"/>
      <c r="J26" s="122"/>
      <c r="K26" s="94"/>
      <c r="L26" s="94"/>
      <c r="M26" s="98"/>
      <c r="N26" s="164">
        <f>VLOOKUP(C26,Спецтехника!$B$16:$J$104,4,0)</f>
        <v>164</v>
      </c>
      <c r="O26" s="167">
        <f>VLOOKUP(C26,Спецтехника!$B$16:$J$104,5,0)</f>
        <v>142</v>
      </c>
      <c r="P26" s="167">
        <f>VLOOKUP(C26,Спецтехника!$B$16:$J$104,6,0)</f>
        <v>22</v>
      </c>
      <c r="Q26" s="170">
        <f>VLOOKUP(C26,Спецтехника!$B$16:$J$104,7,0)</f>
        <v>0.13414634146341464</v>
      </c>
      <c r="R26" s="242"/>
      <c r="S26" s="122"/>
      <c r="T26" s="94"/>
      <c r="U26" s="94"/>
      <c r="V26" s="98"/>
      <c r="W26" s="165">
        <f>VLOOKUP($C26,МНО!$B$16:$AB$104,16,0)</f>
        <v>8572</v>
      </c>
      <c r="X26" s="168">
        <f>VLOOKUP($C26,МНО!$B$16:$AB$104,8,0)</f>
        <v>7982</v>
      </c>
      <c r="Y26" s="168">
        <f>VLOOKUP($C26,МНО!$B$16:$AB$104,11,0)</f>
        <v>590</v>
      </c>
      <c r="Z26" s="174">
        <f>VLOOKUP($C26,МНО!$B$16:$AB$104,17,0)</f>
        <v>6.8828744750349974E-2</v>
      </c>
      <c r="AA26" s="245"/>
      <c r="AB26" s="95">
        <f>VLOOKUP($C26,МНО!$B$16:$AB$104,13,0)</f>
        <v>7.4334759128050099</v>
      </c>
      <c r="AC26" s="154">
        <f>VLOOKUP($C26,МНО!$B$16:$AB$104,18,0)</f>
        <v>0.98215823797219148</v>
      </c>
      <c r="AD26" s="165">
        <f>VLOOKUP($C26,Контейнеры!$B$16:$AB$104,16,0)</f>
        <v>21704</v>
      </c>
      <c r="AE26" s="168">
        <f>VLOOKUP($C26,Контейнеры!$B$16:$AB$104,8,0)</f>
        <v>20456</v>
      </c>
      <c r="AF26" s="168">
        <f>VLOOKUP($C26,Контейнеры!$B$16:$AB$104,11,0)</f>
        <v>1248</v>
      </c>
      <c r="AG26" s="174">
        <f>VLOOKUP($C26,Контейнеры!$B$16:$AB$104,17,0)</f>
        <v>5.750092148912643E-2</v>
      </c>
      <c r="AH26" s="245"/>
      <c r="AI26" s="95">
        <f>VLOOKUP($C26,Контейнеры!$B$16:$AB$104,13,0)</f>
        <v>19.146207916436573</v>
      </c>
      <c r="AJ26" s="154">
        <f>VLOOKUP($C26,Контейнеры!$B$16:$AB$104,18,0)</f>
        <v>1</v>
      </c>
      <c r="AK26" s="135"/>
      <c r="AL26" s="94"/>
      <c r="AM26" s="94"/>
      <c r="AN26" s="116"/>
      <c r="AO26" s="78">
        <f>VLOOKUP($C26,Обработка!$B$16:$L$104,6,0)</f>
        <v>0.996</v>
      </c>
      <c r="AP26" s="75">
        <f t="shared" si="4"/>
        <v>0.45299999999999996</v>
      </c>
      <c r="AQ26" s="75">
        <f>VLOOKUP($C26,Обработка!$B$16:$L$104,7,0)</f>
        <v>1</v>
      </c>
      <c r="AR26" s="178">
        <f t="shared" si="5"/>
        <v>0.19299999999999995</v>
      </c>
      <c r="AS26" s="181">
        <f>VLOOKUP($C26,Утилизация!$B$16:$L$104,6,0)</f>
        <v>0.121</v>
      </c>
      <c r="AT26" s="74">
        <f t="shared" si="6"/>
        <v>-1.8000000000000016E-2</v>
      </c>
      <c r="AU26" s="74">
        <f>VLOOKUP($C26,Утилизация!$B$16:$L$104,7,0)</f>
        <v>0.248</v>
      </c>
      <c r="AV26" s="186">
        <f t="shared" si="7"/>
        <v>-3.7999999999999978E-2</v>
      </c>
      <c r="AW26" s="161" t="str">
        <f>VLOOKUP(C26,Захоронение!$B$16:$Q$104,16,0)</f>
        <v/>
      </c>
      <c r="AX26" s="135"/>
      <c r="AY26" s="94"/>
      <c r="AZ26" s="94"/>
      <c r="BA26" s="98"/>
      <c r="BB26" s="127" t="str">
        <f>VLOOKUP(C26,'ДК ИП'!$B$16:$S$104,5,0)</f>
        <v>среднее</v>
      </c>
      <c r="BC26" s="224">
        <f>VLOOKUP(C26,'Радар олд'!$B$3:$E$87,4,0)</f>
        <v>0.15817897623571475</v>
      </c>
      <c r="BD26" s="98"/>
      <c r="BI26" s="8">
        <f t="shared" si="8"/>
        <v>0</v>
      </c>
      <c r="BJ26" s="8">
        <f>VLOOKUP(C26,Штаб!$B$16:$C$104,2)</f>
        <v>0</v>
      </c>
      <c r="BK26" s="8">
        <f>VLOOKUP(C26,'РО - регионы'!$B$16:$C$104,2)</f>
        <v>0</v>
      </c>
      <c r="BL26" s="8">
        <f>VLOOKUP(C26,'РО - регионы'!$B$16:$L$104,11)</f>
        <v>0</v>
      </c>
      <c r="BM26" s="8">
        <f>VLOOKUP(C26,Спецтехника!$B$16:$C$104,2)</f>
        <v>1</v>
      </c>
      <c r="BN26" s="8">
        <f>VLOOKUP($C26,МНО!$B$16:$AB$104,6,0)</f>
        <v>0</v>
      </c>
      <c r="BO26" s="8">
        <f>VLOOKUP($C26,МНО!$B$16:$AB$104,4,0)</f>
        <v>0</v>
      </c>
      <c r="BP26" s="8">
        <f>VLOOKUP($C26,МНО!$B$16:$AB$104,5,0)</f>
        <v>0</v>
      </c>
      <c r="BQ26" s="8">
        <f>VLOOKUP($C26,Контейнеры!$B$16:$G$104,6,0)</f>
        <v>0</v>
      </c>
      <c r="BR26" s="8">
        <f>VLOOKUP($C26,Контейнеры!$B$16:$G$104,4,0)</f>
        <v>0</v>
      </c>
      <c r="BS26" s="8">
        <f>VLOOKUP($C26,Контейнеры!$B$16:$G$104,5,0)</f>
        <v>0</v>
      </c>
      <c r="BT26" s="8">
        <f>VLOOKUP($C26,'ДК МНО'!$B$16:$C$104,2,0)</f>
        <v>2</v>
      </c>
      <c r="BU26" s="8">
        <f>VLOOKUP($C26,Обработка!$B$16:$F$104,5,0)</f>
        <v>0</v>
      </c>
      <c r="BV26" s="8">
        <f>VLOOKUP($C26,Обработка!$B$16:$F$104,4,0)</f>
        <v>0</v>
      </c>
      <c r="BW26" s="8">
        <f>VLOOKUP($C26,Утилизация!$B$16:$F$104,5,0)</f>
        <v>1</v>
      </c>
      <c r="BX26" s="8">
        <f>VLOOKUP($C26,Утилизация!$B$16:$F$104,4,0)</f>
        <v>1</v>
      </c>
      <c r="BY26" s="8">
        <f>VLOOKUP($C26,Захоронение!$B$16:$C$104,2,0)</f>
        <v>0</v>
      </c>
      <c r="BZ26" s="8">
        <f>VLOOKUP($C26,'ДК ИП'!$B$16:$C$104,2,0)</f>
        <v>1</v>
      </c>
      <c r="CA26" s="8">
        <f t="shared" si="9"/>
        <v>0.25</v>
      </c>
    </row>
    <row r="27" spans="1:79" ht="30" customHeight="1">
      <c r="A27" s="9" t="s">
        <v>659</v>
      </c>
      <c r="B27" s="261">
        <f t="shared" si="3"/>
        <v>17</v>
      </c>
      <c r="C27" s="258" t="s">
        <v>3</v>
      </c>
      <c r="D27" s="227" t="str">
        <f>VLOOKUP($C27,Штаб!$B$16:$J$104,6,0)</f>
        <v/>
      </c>
      <c r="E27" s="228" t="str">
        <f>VLOOKUP($C27,Штаб!$B$16:$J$104,7,0)</f>
        <v/>
      </c>
      <c r="F27" s="228" t="str">
        <f>VLOOKUP($C27,Штаб!$B$16:$J$104,8,0)</f>
        <v>✔️</v>
      </c>
      <c r="G27" s="229" t="str">
        <f>VLOOKUP($C27,Штаб!$B$16:$J$104,9,0)</f>
        <v/>
      </c>
      <c r="H27" s="160" t="str">
        <f>VLOOKUP(C27,'РО - регионы'!$B$16:$I$104,8,0)</f>
        <v>0 / 2 / 3 из 5</v>
      </c>
      <c r="I27" s="237"/>
      <c r="J27" s="122"/>
      <c r="K27" s="94"/>
      <c r="L27" s="94"/>
      <c r="M27" s="98"/>
      <c r="N27" s="164">
        <f>VLOOKUP(C27,Спецтехника!$B$16:$J$104,4,0)</f>
        <v>580</v>
      </c>
      <c r="O27" s="167">
        <f>VLOOKUP(C27,Спецтехника!$B$16:$J$104,5,0)</f>
        <v>526</v>
      </c>
      <c r="P27" s="167">
        <f>VLOOKUP(C27,Спецтехника!$B$16:$J$104,6,0)</f>
        <v>54</v>
      </c>
      <c r="Q27" s="170">
        <f>VLOOKUP(C27,Спецтехника!$B$16:$J$104,7,0)</f>
        <v>9.3103448275862075E-2</v>
      </c>
      <c r="R27" s="242"/>
      <c r="S27" s="122"/>
      <c r="T27" s="94"/>
      <c r="U27" s="94"/>
      <c r="V27" s="98"/>
      <c r="W27" s="163">
        <f>VLOOKUP($C27,МНО!$B$16:$AB$104,16,0)</f>
        <v>46019</v>
      </c>
      <c r="X27" s="166">
        <f>VLOOKUP($C27,МНО!$B$16:$AB$104,8,0)</f>
        <v>43337</v>
      </c>
      <c r="Y27" s="166">
        <f>VLOOKUP($C27,МНО!$B$16:$AB$104,11,0)</f>
        <v>2682</v>
      </c>
      <c r="Z27" s="173">
        <f>VLOOKUP($C27,МНО!$B$16:$AB$104,17,0)</f>
        <v>5.8280275538364588E-2</v>
      </c>
      <c r="AA27" s="245"/>
      <c r="AB27" s="95">
        <f>VLOOKUP($C27,МНО!$B$16:$AB$104,13,0)</f>
        <v>9.380318332943359</v>
      </c>
      <c r="AC27" s="154">
        <f>VLOOKUP($C27,МНО!$B$16:$AB$104,18,0)</f>
        <v>1</v>
      </c>
      <c r="AD27" s="163">
        <f>VLOOKUP($C27,Контейнеры!$B$16:$AB$104,16,0)</f>
        <v>113717</v>
      </c>
      <c r="AE27" s="166">
        <f>VLOOKUP($C27,Контейнеры!$B$16:$AB$104,8,0)</f>
        <v>103522</v>
      </c>
      <c r="AF27" s="166">
        <f>VLOOKUP($C27,Контейнеры!$B$16:$AB$104,11,0)</f>
        <v>10195</v>
      </c>
      <c r="AG27" s="173">
        <f>VLOOKUP($C27,Контейнеры!$B$16:$AB$104,17,0)</f>
        <v>8.9652382669257888E-2</v>
      </c>
      <c r="AH27" s="245"/>
      <c r="AI27" s="95">
        <f>VLOOKUP($C27,Контейнеры!$B$16:$AB$104,13,0)</f>
        <v>25.470670543290815</v>
      </c>
      <c r="AJ27" s="154">
        <f>VLOOKUP($C27,Контейнеры!$B$16:$AB$104,18,0)</f>
        <v>1</v>
      </c>
      <c r="AK27" s="135"/>
      <c r="AL27" s="94"/>
      <c r="AM27" s="94"/>
      <c r="AN27" s="116"/>
      <c r="AO27" s="80">
        <f>VLOOKUP($C27,Обработка!$B$16:$L$104,6,0)</f>
        <v>0.436</v>
      </c>
      <c r="AP27" s="74">
        <f t="shared" si="4"/>
        <v>-0.10700000000000004</v>
      </c>
      <c r="AQ27" s="74">
        <f>VLOOKUP($C27,Обработка!$B$16:$L$104,7,0)</f>
        <v>0.8</v>
      </c>
      <c r="AR27" s="179">
        <f t="shared" si="5"/>
        <v>-7.0000000000000062E-3</v>
      </c>
      <c r="AS27" s="180">
        <f>VLOOKUP($C27,Утилизация!$B$16:$L$104,6,0)</f>
        <v>5.7999999999999996E-2</v>
      </c>
      <c r="AT27" s="76">
        <f t="shared" si="6"/>
        <v>-8.1000000000000016E-2</v>
      </c>
      <c r="AU27" s="75">
        <f>VLOOKUP($C27,Утилизация!$B$16:$L$104,7,0)</f>
        <v>0.34899999999999998</v>
      </c>
      <c r="AV27" s="185">
        <f t="shared" si="7"/>
        <v>6.3E-2</v>
      </c>
      <c r="AW27" s="161" t="str">
        <f>VLOOKUP(C27,Захоронение!$B$16:$Q$104,16,0)</f>
        <v/>
      </c>
      <c r="AX27" s="135"/>
      <c r="AY27" s="94"/>
      <c r="AZ27" s="94"/>
      <c r="BA27" s="98"/>
      <c r="BB27" s="127" t="str">
        <f>VLOOKUP(C27,'ДК ИП'!$B$16:$S$104,5,0)</f>
        <v>небольшое</v>
      </c>
      <c r="BC27" s="224">
        <f>VLOOKUP(C27,'Радар олд'!$B$3:$E$87,4,0)</f>
        <v>4.6747815954340674E-2</v>
      </c>
      <c r="BD27" s="98"/>
      <c r="BI27" s="8">
        <f t="shared" si="8"/>
        <v>0</v>
      </c>
      <c r="BJ27" s="8">
        <f>VLOOKUP(C27,Штаб!$B$16:$C$104,2)</f>
        <v>1</v>
      </c>
      <c r="BK27" s="8">
        <f>VLOOKUP(C27,'РО - регионы'!$B$16:$C$104,2)</f>
        <v>1</v>
      </c>
      <c r="BL27" s="8">
        <f>VLOOKUP(C27,'РО - регионы'!$B$16:$L$104,11)</f>
        <v>2</v>
      </c>
      <c r="BM27" s="8">
        <f>VLOOKUP(C27,Спецтехника!$B$16:$C$104,2)</f>
        <v>1</v>
      </c>
      <c r="BN27" s="8">
        <f>VLOOKUP($C27,МНО!$B$16:$AB$104,6,0)</f>
        <v>0</v>
      </c>
      <c r="BO27" s="8">
        <f>VLOOKUP($C27,МНО!$B$16:$AB$104,4,0)</f>
        <v>0</v>
      </c>
      <c r="BP27" s="8">
        <f>VLOOKUP($C27,МНО!$B$16:$AB$104,5,0)</f>
        <v>0</v>
      </c>
      <c r="BQ27" s="8">
        <f>VLOOKUP($C27,Контейнеры!$B$16:$G$104,6,0)</f>
        <v>0</v>
      </c>
      <c r="BR27" s="8">
        <f>VLOOKUP($C27,Контейнеры!$B$16:$G$104,4,0)</f>
        <v>0</v>
      </c>
      <c r="BS27" s="8">
        <f>VLOOKUP($C27,Контейнеры!$B$16:$G$104,5,0)</f>
        <v>0</v>
      </c>
      <c r="BT27" s="8">
        <f>VLOOKUP($C27,'ДК МНО'!$B$16:$C$104,2,0)</f>
        <v>2</v>
      </c>
      <c r="BU27" s="8">
        <f>VLOOKUP($C27,Обработка!$B$16:$F$104,5,0)</f>
        <v>1</v>
      </c>
      <c r="BV27" s="8">
        <f>VLOOKUP($C27,Обработка!$B$16:$F$104,4,0)</f>
        <v>1</v>
      </c>
      <c r="BW27" s="8">
        <f>VLOOKUP($C27,Утилизация!$B$16:$F$104,5,0)</f>
        <v>0</v>
      </c>
      <c r="BX27" s="8">
        <f>VLOOKUP($C27,Утилизация!$B$16:$F$104,4,0)</f>
        <v>2</v>
      </c>
      <c r="BY27" s="8">
        <f>VLOOKUP($C27,Захоронение!$B$16:$C$104,2,0)</f>
        <v>0</v>
      </c>
      <c r="BZ27" s="8">
        <f>VLOOKUP($C27,'ДК ИП'!$B$16:$C$104,2,0)</f>
        <v>0</v>
      </c>
      <c r="CA27" s="8">
        <f t="shared" si="9"/>
        <v>0.44999999999999996</v>
      </c>
    </row>
    <row r="28" spans="1:79" ht="30" customHeight="1">
      <c r="A28" s="9" t="s">
        <v>657</v>
      </c>
      <c r="B28" s="261">
        <f t="shared" si="3"/>
        <v>18</v>
      </c>
      <c r="C28" s="258" t="s">
        <v>31</v>
      </c>
      <c r="D28" s="227" t="str">
        <f>VLOOKUP($C28,Штаб!$B$16:$J$104,6,0)</f>
        <v>✔️</v>
      </c>
      <c r="E28" s="228" t="str">
        <f>VLOOKUP($C28,Штаб!$B$16:$J$104,7,0)</f>
        <v/>
      </c>
      <c r="F28" s="228" t="str">
        <f>VLOOKUP($C28,Штаб!$B$16:$J$104,8,0)</f>
        <v/>
      </c>
      <c r="G28" s="229" t="str">
        <f>VLOOKUP($C28,Штаб!$B$16:$J$104,9,0)</f>
        <v/>
      </c>
      <c r="H28" s="161" t="str">
        <f>VLOOKUP(C28,'РО - регионы'!$B$16:$I$104,8,0)</f>
        <v>0 / 0 / 3 из 3</v>
      </c>
      <c r="I28" s="237"/>
      <c r="J28" s="122"/>
      <c r="K28" s="94"/>
      <c r="L28" s="94"/>
      <c r="M28" s="98"/>
      <c r="N28" s="163">
        <f>VLOOKUP(C28,Спецтехника!$B$16:$J$104,4,0)</f>
        <v>141</v>
      </c>
      <c r="O28" s="166">
        <f>VLOOKUP(C28,Спецтехника!$B$16:$J$104,5,0)</f>
        <v>136</v>
      </c>
      <c r="P28" s="166">
        <f>VLOOKUP(C28,Спецтехника!$B$16:$J$104,6,0)</f>
        <v>5</v>
      </c>
      <c r="Q28" s="169">
        <f>VLOOKUP(C28,Спецтехника!$B$16:$J$104,7,0)</f>
        <v>3.5460992907801421E-2</v>
      </c>
      <c r="R28" s="242"/>
      <c r="S28" s="122"/>
      <c r="T28" s="94"/>
      <c r="U28" s="94"/>
      <c r="V28" s="98"/>
      <c r="W28" s="163">
        <f>VLOOKUP($C28,МНО!$B$16:$AB$104,16,0)</f>
        <v>5093</v>
      </c>
      <c r="X28" s="166">
        <f>VLOOKUP($C28,МНО!$B$16:$AB$104,8,0)</f>
        <v>4920</v>
      </c>
      <c r="Y28" s="166">
        <f>VLOOKUP($C28,МНО!$B$16:$AB$104,11,0)</f>
        <v>173</v>
      </c>
      <c r="Z28" s="173">
        <f>VLOOKUP($C28,МНО!$B$16:$AB$104,17,0)</f>
        <v>3.3968191635578245E-2</v>
      </c>
      <c r="AA28" s="245"/>
      <c r="AB28" s="95">
        <f>VLOOKUP($C28,МНО!$B$16:$AB$104,13,0)</f>
        <v>8.42713495071221</v>
      </c>
      <c r="AC28" s="154">
        <f>VLOOKUP($C28,МНО!$B$16:$AB$104,18,0)</f>
        <v>0.74118710454956316</v>
      </c>
      <c r="AD28" s="163">
        <f>VLOOKUP($C28,Контейнеры!$B$16:$AB$104,16,0)</f>
        <v>11667</v>
      </c>
      <c r="AE28" s="166">
        <f>VLOOKUP($C28,Контейнеры!$B$16:$AB$104,8,0)</f>
        <v>11159</v>
      </c>
      <c r="AF28" s="166">
        <f>VLOOKUP($C28,Контейнеры!$B$16:$AB$104,11,0)</f>
        <v>508</v>
      </c>
      <c r="AG28" s="173">
        <f>VLOOKUP($C28,Контейнеры!$B$16:$AB$104,17,0)</f>
        <v>4.3541613096768662E-2</v>
      </c>
      <c r="AH28" s="245"/>
      <c r="AI28" s="95">
        <f>VLOOKUP($C28,Контейнеры!$B$16:$AB$104,13,0)</f>
        <v>19.706286444886327</v>
      </c>
      <c r="AJ28" s="154">
        <f>VLOOKUP($C28,Контейнеры!$B$16:$AB$104,18,0)</f>
        <v>0.82689885142645425</v>
      </c>
      <c r="AK28" s="135"/>
      <c r="AL28" s="94"/>
      <c r="AM28" s="94"/>
      <c r="AN28" s="116"/>
      <c r="AO28" s="78">
        <f>VLOOKUP($C28,Обработка!$B$16:$L$104,6,0)</f>
        <v>0.94200000000000006</v>
      </c>
      <c r="AP28" s="75">
        <f t="shared" si="4"/>
        <v>0.39900000000000002</v>
      </c>
      <c r="AQ28" s="75">
        <f>VLOOKUP($C28,Обработка!$B$16:$L$104,7,0)</f>
        <v>0.85</v>
      </c>
      <c r="AR28" s="178">
        <f t="shared" si="5"/>
        <v>4.2999999999999927E-2</v>
      </c>
      <c r="AS28" s="180">
        <f>VLOOKUP($C28,Утилизация!$B$16:$L$104,6,0)</f>
        <v>0.77400000000000002</v>
      </c>
      <c r="AT28" s="76">
        <f t="shared" si="6"/>
        <v>0.63500000000000001</v>
      </c>
      <c r="AU28" s="76">
        <f>VLOOKUP($C28,Утилизация!$B$16:$L$104,7,0)</f>
        <v>7.0000000000000007E-2</v>
      </c>
      <c r="AV28" s="184">
        <f t="shared" si="7"/>
        <v>-0.21599999999999997</v>
      </c>
      <c r="AW28" s="160" t="str">
        <f>VLOOKUP(C28,Захоронение!$B$16:$Q$104,16,0)</f>
        <v>перегруз</v>
      </c>
      <c r="AX28" s="135"/>
      <c r="AY28" s="94"/>
      <c r="AZ28" s="94"/>
      <c r="BA28" s="98"/>
      <c r="BB28" s="127" t="str">
        <f>VLOOKUP(C28,'ДК ИП'!$B$16:$S$104,5,0)</f>
        <v>небольшое</v>
      </c>
      <c r="BC28" s="224">
        <f>VLOOKUP(C28,'Радар олд'!$B$3:$E$87,4,0)</f>
        <v>5.8276499030490973E-2</v>
      </c>
      <c r="BD28" s="98"/>
      <c r="BI28" s="8">
        <f t="shared" si="8"/>
        <v>0</v>
      </c>
      <c r="BJ28" s="8">
        <f>VLOOKUP(C28,Штаб!$B$16:$C$104,2)</f>
        <v>0</v>
      </c>
      <c r="BK28" s="8">
        <f>VLOOKUP(C28,'РО - регионы'!$B$16:$C$104,2)</f>
        <v>0</v>
      </c>
      <c r="BL28" s="8">
        <f>VLOOKUP(C28,'РО - регионы'!$B$16:$L$104,11)</f>
        <v>0</v>
      </c>
      <c r="BM28" s="8">
        <f>VLOOKUP(C28,Спецтехника!$B$16:$C$104,2)</f>
        <v>0</v>
      </c>
      <c r="BN28" s="8">
        <f>VLOOKUP($C28,МНО!$B$16:$AB$104,6,0)</f>
        <v>0</v>
      </c>
      <c r="BO28" s="8">
        <f>VLOOKUP($C28,МНО!$B$16:$AB$104,4,0)</f>
        <v>0</v>
      </c>
      <c r="BP28" s="8">
        <f>VLOOKUP($C28,МНО!$B$16:$AB$104,5,0)</f>
        <v>1</v>
      </c>
      <c r="BQ28" s="8">
        <f>VLOOKUP($C28,Контейнеры!$B$16:$G$104,6,0)</f>
        <v>0</v>
      </c>
      <c r="BR28" s="8">
        <f>VLOOKUP($C28,Контейнеры!$B$16:$G$104,4,0)</f>
        <v>0</v>
      </c>
      <c r="BS28" s="8">
        <f>VLOOKUP($C28,Контейнеры!$B$16:$G$104,5,0)</f>
        <v>1</v>
      </c>
      <c r="BT28" s="8">
        <f>VLOOKUP($C28,'ДК МНО'!$B$16:$C$104,2,0)</f>
        <v>2</v>
      </c>
      <c r="BU28" s="8">
        <f>VLOOKUP($C28,Обработка!$B$16:$F$104,5,0)</f>
        <v>0</v>
      </c>
      <c r="BV28" s="8">
        <f>VLOOKUP($C28,Обработка!$B$16:$F$104,4,0)</f>
        <v>0</v>
      </c>
      <c r="BW28" s="8">
        <f>VLOOKUP($C28,Утилизация!$B$16:$F$104,5,0)</f>
        <v>2</v>
      </c>
      <c r="BX28" s="8">
        <f>VLOOKUP($C28,Утилизация!$B$16:$F$104,4,0)</f>
        <v>2</v>
      </c>
      <c r="BY28" s="8">
        <f>VLOOKUP($C28,Захоронение!$B$16:$C$104,2,0)</f>
        <v>1</v>
      </c>
      <c r="BZ28" s="8">
        <f>VLOOKUP($C28,'ДК ИП'!$B$16:$C$104,2,0)</f>
        <v>0</v>
      </c>
      <c r="CA28" s="8">
        <f t="shared" si="9"/>
        <v>0.45</v>
      </c>
    </row>
    <row r="29" spans="1:79" ht="30" customHeight="1">
      <c r="A29" s="9" t="s">
        <v>655</v>
      </c>
      <c r="B29" s="261">
        <f t="shared" si="3"/>
        <v>19</v>
      </c>
      <c r="C29" s="258" t="s">
        <v>43</v>
      </c>
      <c r="D29" s="227" t="str">
        <f>VLOOKUP($C29,Штаб!$B$16:$J$104,6,0)</f>
        <v>✔️</v>
      </c>
      <c r="E29" s="228" t="str">
        <f>VLOOKUP($C29,Штаб!$B$16:$J$104,7,0)</f>
        <v/>
      </c>
      <c r="F29" s="228" t="str">
        <f>VLOOKUP($C29,Штаб!$B$16:$J$104,8,0)</f>
        <v/>
      </c>
      <c r="G29" s="229" t="str">
        <f>VLOOKUP($C29,Штаб!$B$16:$J$104,9,0)</f>
        <v/>
      </c>
      <c r="H29" s="160" t="str">
        <f>VLOOKUP(C29,'РО - регионы'!$B$16:$I$104,8,0)</f>
        <v>1 / 2 / 1 из 4</v>
      </c>
      <c r="I29" s="237"/>
      <c r="J29" s="122"/>
      <c r="K29" s="94"/>
      <c r="L29" s="94"/>
      <c r="M29" s="98"/>
      <c r="N29" s="164">
        <f>VLOOKUP(C29,Спецтехника!$B$16:$J$104,4,0)</f>
        <v>79</v>
      </c>
      <c r="O29" s="167">
        <f>VLOOKUP(C29,Спецтехника!$B$16:$J$104,5,0)</f>
        <v>65</v>
      </c>
      <c r="P29" s="167">
        <f>VLOOKUP(C29,Спецтехника!$B$16:$J$104,6,0)</f>
        <v>14</v>
      </c>
      <c r="Q29" s="170">
        <f>VLOOKUP(C29,Спецтехника!$B$16:$J$104,7,0)</f>
        <v>0.17721518987341772</v>
      </c>
      <c r="R29" s="242"/>
      <c r="S29" s="122"/>
      <c r="T29" s="94"/>
      <c r="U29" s="94"/>
      <c r="V29" s="98"/>
      <c r="W29" s="163">
        <f>VLOOKUP($C29,МНО!$B$16:$AB$104,16,0)</f>
        <v>4953</v>
      </c>
      <c r="X29" s="166">
        <f>VLOOKUP($C29,МНО!$B$16:$AB$104,8,0)</f>
        <v>4932</v>
      </c>
      <c r="Y29" s="166">
        <f>VLOOKUP($C29,МНО!$B$16:$AB$104,11,0)</f>
        <v>21</v>
      </c>
      <c r="Z29" s="173">
        <f>VLOOKUP($C29,МНО!$B$16:$AB$104,17,0)</f>
        <v>4.2398546335554212E-3</v>
      </c>
      <c r="AA29" s="245"/>
      <c r="AB29" s="95">
        <f>VLOOKUP($C29,МНО!$B$16:$AB$104,13,0)</f>
        <v>8.2492339622047179</v>
      </c>
      <c r="AC29" s="154">
        <f>VLOOKUP($C29,МНО!$B$16:$AB$104,18,0)</f>
        <v>1</v>
      </c>
      <c r="AD29" s="163">
        <f>VLOOKUP($C29,Контейнеры!$B$16:$AB$104,16,0)</f>
        <v>9764</v>
      </c>
      <c r="AE29" s="166">
        <f>VLOOKUP($C29,Контейнеры!$B$16:$AB$104,8,0)</f>
        <v>9744</v>
      </c>
      <c r="AF29" s="166">
        <f>VLOOKUP($C29,Контейнеры!$B$16:$AB$104,11,0)</f>
        <v>20</v>
      </c>
      <c r="AG29" s="173">
        <f>VLOOKUP($C29,Контейнеры!$B$16:$AB$104,17,0)</f>
        <v>2.0483408439164277E-3</v>
      </c>
      <c r="AH29" s="245"/>
      <c r="AI29" s="95">
        <f>VLOOKUP($C29,Контейнеры!$B$16:$AB$104,13,0)</f>
        <v>17.051450090734576</v>
      </c>
      <c r="AJ29" s="154">
        <f>VLOOKUP($C29,Контейнеры!$B$16:$AB$104,18,0)</f>
        <v>1</v>
      </c>
      <c r="AK29" s="135"/>
      <c r="AL29" s="94"/>
      <c r="AM29" s="94"/>
      <c r="AN29" s="116"/>
      <c r="AO29" s="78">
        <f>VLOOKUP($C29,Обработка!$B$16:$L$104,6,0)</f>
        <v>0.81400000000000006</v>
      </c>
      <c r="AP29" s="75">
        <f t="shared" si="4"/>
        <v>0.27100000000000002</v>
      </c>
      <c r="AQ29" s="74">
        <f>VLOOKUP($C29,Обработка!$B$16:$L$104,7,0)</f>
        <v>0.6</v>
      </c>
      <c r="AR29" s="179">
        <f t="shared" si="5"/>
        <v>-0.20700000000000007</v>
      </c>
      <c r="AS29" s="181">
        <f>VLOOKUP($C29,Утилизация!$B$16:$L$104,6,0)</f>
        <v>0.129</v>
      </c>
      <c r="AT29" s="74">
        <f t="shared" si="6"/>
        <v>-1.0000000000000009E-2</v>
      </c>
      <c r="AU29" s="76">
        <f>VLOOKUP($C29,Утилизация!$B$16:$L$104,7,0)</f>
        <v>7.8E-2</v>
      </c>
      <c r="AV29" s="184">
        <f t="shared" si="7"/>
        <v>-0.20799999999999996</v>
      </c>
      <c r="AW29" s="161" t="str">
        <f>VLOOKUP(C29,Захоронение!$B$16:$Q$104,16,0)</f>
        <v/>
      </c>
      <c r="AX29" s="135"/>
      <c r="AY29" s="94"/>
      <c r="AZ29" s="94"/>
      <c r="BA29" s="98"/>
      <c r="BB29" s="127" t="str">
        <f>VLOOKUP(C29,'ДК ИП'!$B$16:$S$104,5,0)</f>
        <v>небольшое</v>
      </c>
      <c r="BC29" s="224">
        <f>VLOOKUP(C29,'Радар олд'!$B$3:$E$87,4,0)</f>
        <v>4.5498532672321318E-2</v>
      </c>
      <c r="BD29" s="98"/>
      <c r="BI29" s="8">
        <f t="shared" si="8"/>
        <v>0</v>
      </c>
      <c r="BJ29" s="8">
        <f>VLOOKUP(C29,Штаб!$B$16:$C$104,2)</f>
        <v>0</v>
      </c>
      <c r="BK29" s="8">
        <f>VLOOKUP(C29,'РО - регионы'!$B$16:$C$104,2)</f>
        <v>2</v>
      </c>
      <c r="BL29" s="8">
        <f>VLOOKUP(C29,'РО - регионы'!$B$16:$L$104,11)</f>
        <v>2</v>
      </c>
      <c r="BM29" s="8">
        <f>VLOOKUP(C29,Спецтехника!$B$16:$C$104,2)</f>
        <v>1</v>
      </c>
      <c r="BN29" s="8">
        <f>VLOOKUP($C29,МНО!$B$16:$AB$104,6,0)</f>
        <v>0</v>
      </c>
      <c r="BO29" s="8">
        <f>VLOOKUP($C29,МНО!$B$16:$AB$104,4,0)</f>
        <v>0</v>
      </c>
      <c r="BP29" s="8">
        <f>VLOOKUP($C29,МНО!$B$16:$AB$104,5,0)</f>
        <v>0</v>
      </c>
      <c r="BQ29" s="8">
        <f>VLOOKUP($C29,Контейнеры!$B$16:$G$104,6,0)</f>
        <v>0</v>
      </c>
      <c r="BR29" s="8">
        <f>VLOOKUP($C29,Контейнеры!$B$16:$G$104,4,0)</f>
        <v>0</v>
      </c>
      <c r="BS29" s="8">
        <f>VLOOKUP($C29,Контейнеры!$B$16:$G$104,5,0)</f>
        <v>0</v>
      </c>
      <c r="BT29" s="8">
        <f>VLOOKUP($C29,'ДК МНО'!$B$16:$C$104,2,0)</f>
        <v>2</v>
      </c>
      <c r="BU29" s="8">
        <f>VLOOKUP($C29,Обработка!$B$16:$F$104,5,0)</f>
        <v>1</v>
      </c>
      <c r="BV29" s="8">
        <f>VLOOKUP($C29,Обработка!$B$16:$F$104,4,0)</f>
        <v>0</v>
      </c>
      <c r="BW29" s="8">
        <f>VLOOKUP($C29,Утилизация!$B$16:$F$104,5,0)</f>
        <v>2</v>
      </c>
      <c r="BX29" s="8">
        <f>VLOOKUP($C29,Утилизация!$B$16:$F$104,4,0)</f>
        <v>1</v>
      </c>
      <c r="BY29" s="8">
        <f>VLOOKUP($C29,Захоронение!$B$16:$C$104,2,0)</f>
        <v>0</v>
      </c>
      <c r="BZ29" s="8">
        <f>VLOOKUP($C29,'ДК ИП'!$B$16:$C$104,2,0)</f>
        <v>0</v>
      </c>
      <c r="CA29" s="8">
        <f t="shared" si="9"/>
        <v>0.65</v>
      </c>
    </row>
    <row r="30" spans="1:79" ht="30" customHeight="1">
      <c r="A30" s="9" t="s">
        <v>657</v>
      </c>
      <c r="B30" s="261">
        <f t="shared" si="3"/>
        <v>20</v>
      </c>
      <c r="C30" s="258" t="s">
        <v>12</v>
      </c>
      <c r="D30" s="227" t="str">
        <f>VLOOKUP($C30,Штаб!$B$16:$J$104,6,0)</f>
        <v>✔️</v>
      </c>
      <c r="E30" s="228" t="str">
        <f>VLOOKUP($C30,Штаб!$B$16:$J$104,7,0)</f>
        <v/>
      </c>
      <c r="F30" s="228" t="str">
        <f>VLOOKUP($C30,Штаб!$B$16:$J$104,8,0)</f>
        <v/>
      </c>
      <c r="G30" s="229" t="str">
        <f>VLOOKUP($C30,Штаб!$B$16:$J$104,9,0)</f>
        <v/>
      </c>
      <c r="H30" s="161" t="str">
        <f>VLOOKUP(C30,'РО - регионы'!$B$16:$I$104,8,0)</f>
        <v>0 / 0 / 2 из 2</v>
      </c>
      <c r="I30" s="237"/>
      <c r="J30" s="122"/>
      <c r="K30" s="94"/>
      <c r="L30" s="94"/>
      <c r="M30" s="98"/>
      <c r="N30" s="163">
        <f>VLOOKUP(C30,Спецтехника!$B$16:$J$104,4,0)</f>
        <v>234</v>
      </c>
      <c r="O30" s="166">
        <f>VLOOKUP(C30,Спецтехника!$B$16:$J$104,5,0)</f>
        <v>227</v>
      </c>
      <c r="P30" s="166">
        <f>VLOOKUP(C30,Спецтехника!$B$16:$J$104,6,0)</f>
        <v>7</v>
      </c>
      <c r="Q30" s="169">
        <f>VLOOKUP(C30,Спецтехника!$B$16:$J$104,7,0)</f>
        <v>2.9914529914529916E-2</v>
      </c>
      <c r="R30" s="242"/>
      <c r="S30" s="122"/>
      <c r="T30" s="94"/>
      <c r="U30" s="94"/>
      <c r="V30" s="98"/>
      <c r="W30" s="165">
        <f>VLOOKUP($C30,МНО!$B$16:$AB$104,16,0)</f>
        <v>9792</v>
      </c>
      <c r="X30" s="168">
        <f>VLOOKUP($C30,МНО!$B$16:$AB$104,8,0)</f>
        <v>6622</v>
      </c>
      <c r="Y30" s="168">
        <f>VLOOKUP($C30,МНО!$B$16:$AB$104,11,0)</f>
        <v>3170</v>
      </c>
      <c r="Z30" s="174">
        <f>VLOOKUP($C30,МНО!$B$16:$AB$104,17,0)</f>
        <v>0.32373366013071897</v>
      </c>
      <c r="AA30" s="245"/>
      <c r="AB30" s="95">
        <f>VLOOKUP($C30,МНО!$B$16:$AB$104,13,0)</f>
        <v>3.9933333566759224</v>
      </c>
      <c r="AC30" s="154">
        <f>VLOOKUP($C30,МНО!$B$16:$AB$104,18,0)</f>
        <v>1</v>
      </c>
      <c r="AD30" s="163">
        <f>VLOOKUP($C30,Контейнеры!$B$16:$AB$104,16,0)</f>
        <v>12742</v>
      </c>
      <c r="AE30" s="166">
        <f>VLOOKUP($C30,Контейнеры!$B$16:$AB$104,8,0)</f>
        <v>11721</v>
      </c>
      <c r="AF30" s="166">
        <f>VLOOKUP($C30,Контейнеры!$B$16:$AB$104,11,0)</f>
        <v>1021</v>
      </c>
      <c r="AG30" s="173">
        <f>VLOOKUP($C30,Контейнеры!$B$16:$AB$104,17,0)</f>
        <v>8.0128708209072363E-2</v>
      </c>
      <c r="AH30" s="245"/>
      <c r="AI30" s="95">
        <f>VLOOKUP($C30,Контейнеры!$B$16:$AB$104,13,0)</f>
        <v>10.259943067426235</v>
      </c>
      <c r="AJ30" s="154">
        <f>VLOOKUP($C30,Контейнеры!$B$16:$AB$104,18,0)</f>
        <v>0.91427457098283926</v>
      </c>
      <c r="AK30" s="135"/>
      <c r="AL30" s="94"/>
      <c r="AM30" s="94"/>
      <c r="AN30" s="116"/>
      <c r="AO30" s="78">
        <f>VLOOKUP($C30,Обработка!$B$16:$L$104,6,0)</f>
        <v>0.61299999999999999</v>
      </c>
      <c r="AP30" s="75">
        <f t="shared" si="4"/>
        <v>6.9999999999999951E-2</v>
      </c>
      <c r="AQ30" s="75">
        <f>VLOOKUP($C30,Обработка!$B$16:$L$104,7,0)</f>
        <v>0.85</v>
      </c>
      <c r="AR30" s="178">
        <f t="shared" si="5"/>
        <v>4.2999999999999927E-2</v>
      </c>
      <c r="AS30" s="180">
        <f>VLOOKUP($C30,Утилизация!$B$16:$L$104,6,0)</f>
        <v>3.7000000000000005E-2</v>
      </c>
      <c r="AT30" s="76">
        <f t="shared" si="6"/>
        <v>-0.10200000000000001</v>
      </c>
      <c r="AU30" s="75">
        <f>VLOOKUP($C30,Утилизация!$B$16:$L$104,7,0)</f>
        <v>0.34399999999999997</v>
      </c>
      <c r="AV30" s="185">
        <f t="shared" si="7"/>
        <v>5.7999999999999996E-2</v>
      </c>
      <c r="AW30" s="160" t="str">
        <f>VLOOKUP(C30,Захоронение!$B$16:$Q$104,16,0)</f>
        <v>765 приказ</v>
      </c>
      <c r="AX30" s="135"/>
      <c r="AY30" s="94"/>
      <c r="AZ30" s="94"/>
      <c r="BA30" s="98"/>
      <c r="BB30" s="127" t="str">
        <f>VLOOKUP(C30,'ДК ИП'!$B$16:$S$104,5,0)</f>
        <v>небольшое</v>
      </c>
      <c r="BC30" s="224">
        <f>VLOOKUP(C30,'Радар олд'!$B$3:$E$87,4,0)</f>
        <v>9.6288178262681157E-2</v>
      </c>
      <c r="BD30" s="98"/>
      <c r="BI30" s="8">
        <f t="shared" si="8"/>
        <v>0</v>
      </c>
      <c r="BJ30" s="8">
        <f>VLOOKUP(C30,Штаб!$B$16:$C$104,2)</f>
        <v>0</v>
      </c>
      <c r="BK30" s="8">
        <f>VLOOKUP(C30,'РО - регионы'!$B$16:$C$104,2)</f>
        <v>0</v>
      </c>
      <c r="BL30" s="8">
        <f>VLOOKUP(C30,'РО - регионы'!$B$16:$L$104,11)</f>
        <v>0</v>
      </c>
      <c r="BM30" s="8">
        <f>VLOOKUP(C30,Спецтехника!$B$16:$C$104,2)</f>
        <v>0</v>
      </c>
      <c r="BN30" s="8">
        <f>VLOOKUP($C30,МНО!$B$16:$AB$104,6,0)</f>
        <v>1</v>
      </c>
      <c r="BO30" s="8">
        <f>VLOOKUP($C30,МНО!$B$16:$AB$104,4,0)</f>
        <v>1</v>
      </c>
      <c r="BP30" s="8">
        <f>VLOOKUP($C30,МНО!$B$16:$AB$104,5,0)</f>
        <v>0</v>
      </c>
      <c r="BQ30" s="8">
        <f>VLOOKUP($C30,Контейнеры!$B$16:$G$104,6,0)</f>
        <v>0</v>
      </c>
      <c r="BR30" s="8">
        <f>VLOOKUP($C30,Контейнеры!$B$16:$G$104,4,0)</f>
        <v>0</v>
      </c>
      <c r="BS30" s="8">
        <f>VLOOKUP($C30,Контейнеры!$B$16:$G$104,5,0)</f>
        <v>0</v>
      </c>
      <c r="BT30" s="8">
        <f>VLOOKUP($C30,'ДК МНО'!$B$16:$C$104,2,0)</f>
        <v>2</v>
      </c>
      <c r="BU30" s="8">
        <f>VLOOKUP($C30,Обработка!$B$16:$F$104,5,0)</f>
        <v>0</v>
      </c>
      <c r="BV30" s="8">
        <f>VLOOKUP($C30,Обработка!$B$16:$F$104,4,0)</f>
        <v>0</v>
      </c>
      <c r="BW30" s="8">
        <f>VLOOKUP($C30,Утилизация!$B$16:$F$104,5,0)</f>
        <v>0</v>
      </c>
      <c r="BX30" s="8">
        <f>VLOOKUP($C30,Утилизация!$B$16:$F$104,4,0)</f>
        <v>2</v>
      </c>
      <c r="BY30" s="8">
        <f>VLOOKUP($C30,Захоронение!$B$16:$C$104,2,0)</f>
        <v>1</v>
      </c>
      <c r="BZ30" s="8">
        <f>VLOOKUP($C30,'ДК ИП'!$B$16:$C$104,2,0)</f>
        <v>0</v>
      </c>
      <c r="CA30" s="8">
        <f t="shared" si="9"/>
        <v>0.45</v>
      </c>
    </row>
    <row r="31" spans="1:79" ht="30" customHeight="1">
      <c r="A31" s="9" t="s">
        <v>655</v>
      </c>
      <c r="B31" s="261">
        <f t="shared" si="3"/>
        <v>21</v>
      </c>
      <c r="C31" s="258" t="s">
        <v>36</v>
      </c>
      <c r="D31" s="227" t="str">
        <f>VLOOKUP($C31,Штаб!$B$16:$J$104,6,0)</f>
        <v/>
      </c>
      <c r="E31" s="228" t="str">
        <f>VLOOKUP($C31,Штаб!$B$16:$J$104,7,0)</f>
        <v/>
      </c>
      <c r="F31" s="228" t="str">
        <f>VLOOKUP($C31,Штаб!$B$16:$J$104,8,0)</f>
        <v/>
      </c>
      <c r="G31" s="229" t="str">
        <f>VLOOKUP($C31,Штаб!$B$16:$J$104,9,0)</f>
        <v>✔️</v>
      </c>
      <c r="H31" s="161" t="str">
        <f>VLOOKUP(C31,'РО - регионы'!$B$16:$I$104,8,0)</f>
        <v>0 / 0 / 1 из 1</v>
      </c>
      <c r="I31" s="237"/>
      <c r="J31" s="122"/>
      <c r="K31" s="94"/>
      <c r="L31" s="94"/>
      <c r="M31" s="98"/>
      <c r="N31" s="164">
        <f>VLOOKUP(C31,Спецтехника!$B$16:$J$104,4,0)</f>
        <v>341</v>
      </c>
      <c r="O31" s="167">
        <f>VLOOKUP(C31,Спецтехника!$B$16:$J$104,5,0)</f>
        <v>290</v>
      </c>
      <c r="P31" s="167">
        <f>VLOOKUP(C31,Спецтехника!$B$16:$J$104,6,0)</f>
        <v>51</v>
      </c>
      <c r="Q31" s="170">
        <f>VLOOKUP(C31,Спецтехника!$B$16:$J$104,7,0)</f>
        <v>0.14956011730205279</v>
      </c>
      <c r="R31" s="242"/>
      <c r="S31" s="122"/>
      <c r="T31" s="94"/>
      <c r="U31" s="94"/>
      <c r="V31" s="98"/>
      <c r="W31" s="165">
        <f>VLOOKUP($C31,МНО!$B$16:$AB$104,16,0)</f>
        <v>10785</v>
      </c>
      <c r="X31" s="168">
        <f>VLOOKUP($C31,МНО!$B$16:$AB$104,8,0)</f>
        <v>10166</v>
      </c>
      <c r="Y31" s="168">
        <f>VLOOKUP($C31,МНО!$B$16:$AB$104,11,0)</f>
        <v>619</v>
      </c>
      <c r="Z31" s="174">
        <f>VLOOKUP($C31,МНО!$B$16:$AB$104,17,0)</f>
        <v>5.7394529439035696E-2</v>
      </c>
      <c r="AA31" s="245"/>
      <c r="AB31" s="95">
        <f>VLOOKUP($C31,МНО!$B$16:$AB$104,13,0)</f>
        <v>4.8232553707162236</v>
      </c>
      <c r="AC31" s="154">
        <f>VLOOKUP($C31,МНО!$B$16:$AB$104,18,0)</f>
        <v>0.46270083291611669</v>
      </c>
      <c r="AD31" s="163">
        <f>VLOOKUP($C31,Контейнеры!$B$16:$AB$104,16,0)</f>
        <v>27626</v>
      </c>
      <c r="AE31" s="166">
        <f>VLOOKUP($C31,Контейнеры!$B$16:$AB$104,8,0)</f>
        <v>25688</v>
      </c>
      <c r="AF31" s="166">
        <f>VLOOKUP($C31,Контейнеры!$B$16:$AB$104,11,0)</f>
        <v>1938</v>
      </c>
      <c r="AG31" s="173">
        <f>VLOOKUP($C31,Контейнеры!$B$16:$AB$104,17,0)</f>
        <v>7.0151306740027508E-2</v>
      </c>
      <c r="AH31" s="245"/>
      <c r="AI31" s="95">
        <f>VLOOKUP($C31,Контейнеры!$B$16:$AB$104,13,0)</f>
        <v>12.618370909762536</v>
      </c>
      <c r="AJ31" s="154">
        <f>VLOOKUP($C31,Контейнеры!$B$16:$AB$104,18,0)</f>
        <v>0.54886543310114955</v>
      </c>
      <c r="AK31" s="135"/>
      <c r="AL31" s="94"/>
      <c r="AM31" s="94"/>
      <c r="AN31" s="116"/>
      <c r="AO31" s="78">
        <f>VLOOKUP($C31,Обработка!$B$16:$L$104,6,0)</f>
        <v>0.61499999999999999</v>
      </c>
      <c r="AP31" s="75">
        <f t="shared" si="4"/>
        <v>7.1999999999999953E-2</v>
      </c>
      <c r="AQ31" s="75">
        <f>VLOOKUP($C31,Обработка!$B$16:$L$104,7,0)</f>
        <v>1</v>
      </c>
      <c r="AR31" s="178">
        <f t="shared" si="5"/>
        <v>0.19299999999999995</v>
      </c>
      <c r="AS31" s="181">
        <f>VLOOKUP($C31,Утилизация!$B$16:$L$104,6,0)</f>
        <v>0.08</v>
      </c>
      <c r="AT31" s="74">
        <f t="shared" si="6"/>
        <v>-5.9000000000000011E-2</v>
      </c>
      <c r="AU31" s="75">
        <f>VLOOKUP($C31,Утилизация!$B$16:$L$104,7,0)</f>
        <v>0.5</v>
      </c>
      <c r="AV31" s="185">
        <f t="shared" si="7"/>
        <v>0.21400000000000002</v>
      </c>
      <c r="AW31" s="160" t="str">
        <f>VLOOKUP(C31,Захоронение!$B$16:$Q$104,16,0)</f>
        <v>765 приказ</v>
      </c>
      <c r="AX31" s="135"/>
      <c r="AY31" s="94"/>
      <c r="AZ31" s="94"/>
      <c r="BA31" s="98"/>
      <c r="BB31" s="127" t="str">
        <f>VLOOKUP(C31,'ДК ИП'!$B$16:$S$104,5,0)</f>
        <v>не подписана</v>
      </c>
      <c r="BC31" s="224">
        <f>VLOOKUP(C31,'Радар олд'!$B$3:$E$87,4,0)</f>
        <v>0.20090757171024903</v>
      </c>
      <c r="BD31" s="98"/>
      <c r="BI31" s="8">
        <f t="shared" si="8"/>
        <v>0</v>
      </c>
      <c r="BJ31" s="8">
        <f>VLOOKUP(C31,Штаб!$B$16:$C$104,2)</f>
        <v>2</v>
      </c>
      <c r="BK31" s="8">
        <f>VLOOKUP(C31,'РО - регионы'!$B$16:$C$104,2)</f>
        <v>0</v>
      </c>
      <c r="BL31" s="8">
        <f>VLOOKUP(C31,'РО - регионы'!$B$16:$L$104,11)</f>
        <v>0</v>
      </c>
      <c r="BM31" s="8">
        <f>VLOOKUP(C31,Спецтехника!$B$16:$C$104,2)</f>
        <v>1</v>
      </c>
      <c r="BN31" s="8">
        <f>VLOOKUP($C31,МНО!$B$16:$AB$104,6,0)</f>
        <v>0</v>
      </c>
      <c r="BO31" s="8">
        <f>VLOOKUP($C31,МНО!$B$16:$AB$104,4,0)</f>
        <v>1</v>
      </c>
      <c r="BP31" s="8">
        <f>VLOOKUP($C31,МНО!$B$16:$AB$104,5,0)</f>
        <v>2</v>
      </c>
      <c r="BQ31" s="8">
        <f>VLOOKUP($C31,Контейнеры!$B$16:$G$104,6,0)</f>
        <v>0</v>
      </c>
      <c r="BR31" s="8">
        <f>VLOOKUP($C31,Контейнеры!$B$16:$G$104,4,0)</f>
        <v>0</v>
      </c>
      <c r="BS31" s="8">
        <f>VLOOKUP($C31,Контейнеры!$B$16:$G$104,5,0)</f>
        <v>2</v>
      </c>
      <c r="BT31" s="8">
        <f>VLOOKUP($C31,'ДК МНО'!$B$16:$C$104,2,0)</f>
        <v>2</v>
      </c>
      <c r="BU31" s="8">
        <f>VLOOKUP($C31,Обработка!$B$16:$F$104,5,0)</f>
        <v>0</v>
      </c>
      <c r="BV31" s="8">
        <f>VLOOKUP($C31,Обработка!$B$16:$F$104,4,0)</f>
        <v>0</v>
      </c>
      <c r="BW31" s="8">
        <f>VLOOKUP($C31,Утилизация!$B$16:$F$104,5,0)</f>
        <v>0</v>
      </c>
      <c r="BX31" s="8">
        <f>VLOOKUP($C31,Утилизация!$B$16:$F$104,4,0)</f>
        <v>1</v>
      </c>
      <c r="BY31" s="8">
        <f>VLOOKUP($C31,Захоронение!$B$16:$C$104,2,0)</f>
        <v>1</v>
      </c>
      <c r="BZ31" s="8">
        <f>VLOOKUP($C31,'ДК ИП'!$B$16:$C$104,2,0)</f>
        <v>0</v>
      </c>
      <c r="CA31" s="8">
        <f t="shared" si="9"/>
        <v>0.4</v>
      </c>
    </row>
    <row r="32" spans="1:79" ht="30" customHeight="1">
      <c r="A32" s="9" t="s">
        <v>659</v>
      </c>
      <c r="B32" s="261">
        <f t="shared" si="3"/>
        <v>22</v>
      </c>
      <c r="C32" s="258" t="s">
        <v>42</v>
      </c>
      <c r="D32" s="227" t="str">
        <f>VLOOKUP($C32,Штаб!$B$16:$J$104,6,0)</f>
        <v>✔️</v>
      </c>
      <c r="E32" s="228" t="str">
        <f>VLOOKUP($C32,Штаб!$B$16:$J$104,7,0)</f>
        <v/>
      </c>
      <c r="F32" s="228" t="str">
        <f>VLOOKUP($C32,Штаб!$B$16:$J$104,8,0)</f>
        <v/>
      </c>
      <c r="G32" s="229" t="str">
        <f>VLOOKUP($C32,Штаб!$B$16:$J$104,9,0)</f>
        <v/>
      </c>
      <c r="H32" s="160" t="str">
        <f>VLOOKUP(C32,'РО - регионы'!$B$16:$I$104,8,0)</f>
        <v>0 / 2 / 7 из 9</v>
      </c>
      <c r="I32" s="237"/>
      <c r="J32" s="122"/>
      <c r="K32" s="94"/>
      <c r="L32" s="94"/>
      <c r="M32" s="98"/>
      <c r="N32" s="164">
        <f>VLOOKUP(C32,Спецтехника!$B$16:$J$104,4,0)</f>
        <v>534</v>
      </c>
      <c r="O32" s="167">
        <f>VLOOKUP(C32,Спецтехника!$B$16:$J$104,5,0)</f>
        <v>482</v>
      </c>
      <c r="P32" s="167">
        <f>VLOOKUP(C32,Спецтехника!$B$16:$J$104,6,0)</f>
        <v>52</v>
      </c>
      <c r="Q32" s="170">
        <f>VLOOKUP(C32,Спецтехника!$B$16:$J$104,7,0)</f>
        <v>9.7378277153558054E-2</v>
      </c>
      <c r="R32" s="242"/>
      <c r="S32" s="122"/>
      <c r="T32" s="94"/>
      <c r="U32" s="94"/>
      <c r="V32" s="98"/>
      <c r="W32" s="164">
        <f>VLOOKUP($C32,МНО!$B$16:$AB$104,16,0)</f>
        <v>37162</v>
      </c>
      <c r="X32" s="167">
        <f>VLOOKUP($C32,МНО!$B$16:$AB$104,8,0)</f>
        <v>28895</v>
      </c>
      <c r="Y32" s="167">
        <f>VLOOKUP($C32,МНО!$B$16:$AB$104,11,0)</f>
        <v>8267</v>
      </c>
      <c r="Z32" s="172">
        <f>VLOOKUP($C32,МНО!$B$16:$AB$104,17,0)</f>
        <v>0.22245842527312845</v>
      </c>
      <c r="AA32" s="245"/>
      <c r="AB32" s="95">
        <f>VLOOKUP($C32,МНО!$B$16:$AB$104,13,0)</f>
        <v>8.6500334113748991</v>
      </c>
      <c r="AC32" s="154">
        <f>VLOOKUP($C32,МНО!$B$16:$AB$104,18,0)</f>
        <v>0.93224713663494108</v>
      </c>
      <c r="AD32" s="165">
        <f>VLOOKUP($C32,Контейнеры!$B$16:$AB$104,16,0)</f>
        <v>59725</v>
      </c>
      <c r="AE32" s="168">
        <f>VLOOKUP($C32,Контейнеры!$B$16:$AB$104,8,0)</f>
        <v>59725</v>
      </c>
      <c r="AF32" s="168">
        <f>VLOOKUP($C32,Контейнеры!$B$16:$AB$104,11,0)</f>
        <v>0</v>
      </c>
      <c r="AG32" s="174">
        <f>VLOOKUP($C32,Контейнеры!$B$16:$AB$104,17,0)</f>
        <v>0</v>
      </c>
      <c r="AH32" s="245"/>
      <c r="AI32" s="95">
        <f>VLOOKUP($C32,Контейнеры!$B$16:$AB$104,13,0)</f>
        <v>19.515837318463504</v>
      </c>
      <c r="AJ32" s="154">
        <f>VLOOKUP($C32,Контейнеры!$B$16:$AB$104,18,0)</f>
        <v>0.88336217479404244</v>
      </c>
      <c r="AK32" s="135"/>
      <c r="AL32" s="94"/>
      <c r="AM32" s="94"/>
      <c r="AN32" s="116"/>
      <c r="AO32" s="78">
        <f>VLOOKUP($C32,Обработка!$B$16:$L$104,6,0)</f>
        <v>0.80500000000000005</v>
      </c>
      <c r="AP32" s="75">
        <f t="shared" si="4"/>
        <v>0.26200000000000001</v>
      </c>
      <c r="AQ32" s="75">
        <f>VLOOKUP($C32,Обработка!$B$16:$L$104,7,0)</f>
        <v>0.96</v>
      </c>
      <c r="AR32" s="178">
        <f t="shared" si="5"/>
        <v>0.15299999999999991</v>
      </c>
      <c r="AS32" s="181">
        <f>VLOOKUP($C32,Утилизация!$B$16:$L$104,6,0)</f>
        <v>0.125</v>
      </c>
      <c r="AT32" s="74">
        <f t="shared" si="6"/>
        <v>-1.4000000000000012E-2</v>
      </c>
      <c r="AU32" s="74">
        <f>VLOOKUP($C32,Утилизация!$B$16:$L$104,7,0)</f>
        <v>0.182</v>
      </c>
      <c r="AV32" s="186">
        <f t="shared" si="7"/>
        <v>-0.10399999999999998</v>
      </c>
      <c r="AW32" s="161" t="str">
        <f>VLOOKUP(C32,Захоронение!$B$16:$Q$104,16,0)</f>
        <v/>
      </c>
      <c r="AX32" s="135"/>
      <c r="AY32" s="94"/>
      <c r="AZ32" s="94"/>
      <c r="BA32" s="98"/>
      <c r="BB32" s="127" t="str">
        <f>VLOOKUP(C32,'ДК ИП'!$B$16:$S$104,5,0)</f>
        <v>небольшое</v>
      </c>
      <c r="BC32" s="224">
        <f>VLOOKUP(C32,'Радар олд'!$B$3:$E$87,4,0)</f>
        <v>9.9989053485974574E-2</v>
      </c>
      <c r="BD32" s="98"/>
      <c r="BI32" s="8">
        <f t="shared" si="8"/>
        <v>0</v>
      </c>
      <c r="BJ32" s="8">
        <f>VLOOKUP(C32,Штаб!$B$16:$C$104,2)</f>
        <v>0</v>
      </c>
      <c r="BK32" s="8">
        <f>VLOOKUP(C32,'РО - регионы'!$B$16:$C$104,2)</f>
        <v>1</v>
      </c>
      <c r="BL32" s="8">
        <f>VLOOKUP(C32,'РО - регионы'!$B$16:$L$104,11)</f>
        <v>2</v>
      </c>
      <c r="BM32" s="8">
        <f>VLOOKUP(C32,Спецтехника!$B$16:$C$104,2)</f>
        <v>1</v>
      </c>
      <c r="BN32" s="8">
        <f>VLOOKUP($C32,МНО!$B$16:$AB$104,6,0)</f>
        <v>1</v>
      </c>
      <c r="BO32" s="8">
        <f>VLOOKUP($C32,МНО!$B$16:$AB$104,4,0)</f>
        <v>0</v>
      </c>
      <c r="BP32" s="8">
        <f>VLOOKUP($C32,МНО!$B$16:$AB$104,5,0)</f>
        <v>0</v>
      </c>
      <c r="BQ32" s="8">
        <f>VLOOKUP($C32,Контейнеры!$B$16:$G$104,6,0)</f>
        <v>2</v>
      </c>
      <c r="BR32" s="8">
        <f>VLOOKUP($C32,Контейнеры!$B$16:$G$104,4,0)</f>
        <v>0</v>
      </c>
      <c r="BS32" s="8">
        <f>VLOOKUP($C32,Контейнеры!$B$16:$G$104,5,0)</f>
        <v>1</v>
      </c>
      <c r="BT32" s="8">
        <f>VLOOKUP($C32,'ДК МНО'!$B$16:$C$104,2,0)</f>
        <v>2</v>
      </c>
      <c r="BU32" s="8">
        <f>VLOOKUP($C32,Обработка!$B$16:$F$104,5,0)</f>
        <v>0</v>
      </c>
      <c r="BV32" s="8">
        <f>VLOOKUP($C32,Обработка!$B$16:$F$104,4,0)</f>
        <v>0</v>
      </c>
      <c r="BW32" s="8">
        <f>VLOOKUP($C32,Утилизация!$B$16:$F$104,5,0)</f>
        <v>1</v>
      </c>
      <c r="BX32" s="8">
        <f>VLOOKUP($C32,Утилизация!$B$16:$F$104,4,0)</f>
        <v>1</v>
      </c>
      <c r="BY32" s="8">
        <f>VLOOKUP($C32,Захоронение!$B$16:$C$104,2,0)</f>
        <v>0</v>
      </c>
      <c r="BZ32" s="8">
        <f>VLOOKUP($C32,'ДК ИП'!$B$16:$C$104,2,0)</f>
        <v>0</v>
      </c>
      <c r="CA32" s="8">
        <f t="shared" si="9"/>
        <v>0.5</v>
      </c>
    </row>
    <row r="33" spans="1:79" ht="30" customHeight="1">
      <c r="A33" s="9" t="s">
        <v>659</v>
      </c>
      <c r="B33" s="261">
        <f t="shared" si="3"/>
        <v>23</v>
      </c>
      <c r="C33" s="258" t="s">
        <v>46</v>
      </c>
      <c r="D33" s="227" t="str">
        <f>VLOOKUP($C33,Штаб!$B$16:$J$104,6,0)</f>
        <v/>
      </c>
      <c r="E33" s="228" t="str">
        <f>VLOOKUP($C33,Штаб!$B$16:$J$104,7,0)</f>
        <v/>
      </c>
      <c r="F33" s="228" t="str">
        <f>VLOOKUP($C33,Штаб!$B$16:$J$104,8,0)</f>
        <v>✔️</v>
      </c>
      <c r="G33" s="229" t="str">
        <f>VLOOKUP($C33,Штаб!$B$16:$J$104,9,0)</f>
        <v/>
      </c>
      <c r="H33" s="161" t="str">
        <f>VLOOKUP(C33,'РО - регионы'!$B$16:$I$104,8,0)</f>
        <v>0 / 0 / 1 из 1</v>
      </c>
      <c r="I33" s="237"/>
      <c r="J33" s="122"/>
      <c r="K33" s="94"/>
      <c r="L33" s="94"/>
      <c r="M33" s="98"/>
      <c r="N33" s="163">
        <f>VLOOKUP(C33,Спецтехника!$B$16:$J$104,4,0)</f>
        <v>202</v>
      </c>
      <c r="O33" s="166">
        <f>VLOOKUP(C33,Спецтехника!$B$16:$J$104,5,0)</f>
        <v>202</v>
      </c>
      <c r="P33" s="166">
        <f>VLOOKUP(C33,Спецтехника!$B$16:$J$104,6,0)</f>
        <v>0</v>
      </c>
      <c r="Q33" s="169">
        <f>VLOOKUP(C33,Спецтехника!$B$16:$J$104,7,0)</f>
        <v>0</v>
      </c>
      <c r="R33" s="242"/>
      <c r="S33" s="122"/>
      <c r="T33" s="94"/>
      <c r="U33" s="94"/>
      <c r="V33" s="98"/>
      <c r="W33" s="165">
        <f>VLOOKUP($C33,МНО!$B$16:$AB$104,16,0)</f>
        <v>16230</v>
      </c>
      <c r="X33" s="168">
        <f>VLOOKUP($C33,МНО!$B$16:$AB$104,8,0)</f>
        <v>12551</v>
      </c>
      <c r="Y33" s="168">
        <f>VLOOKUP($C33,МНО!$B$16:$AB$104,11,0)</f>
        <v>3679</v>
      </c>
      <c r="Z33" s="174">
        <f>VLOOKUP($C33,МНО!$B$16:$AB$104,17,0)</f>
        <v>0.22667898952556995</v>
      </c>
      <c r="AA33" s="245"/>
      <c r="AB33" s="95">
        <f>VLOOKUP($C33,МНО!$B$16:$AB$104,13,0)</f>
        <v>6.6589888967635247</v>
      </c>
      <c r="AC33" s="154">
        <f>VLOOKUP($C33,МНО!$B$16:$AB$104,18,0)</f>
        <v>1</v>
      </c>
      <c r="AD33" s="165">
        <f>VLOOKUP($C33,Контейнеры!$B$16:$AB$104,16,0)</f>
        <v>35675</v>
      </c>
      <c r="AE33" s="168">
        <f>VLOOKUP($C33,Контейнеры!$B$16:$AB$104,8,0)</f>
        <v>29484</v>
      </c>
      <c r="AF33" s="168">
        <f>VLOOKUP($C33,Контейнеры!$B$16:$AB$104,11,0)</f>
        <v>6191</v>
      </c>
      <c r="AG33" s="174">
        <f>VLOOKUP($C33,Контейнеры!$B$16:$AB$104,17,0)</f>
        <v>0.17353889278206028</v>
      </c>
      <c r="AH33" s="245"/>
      <c r="AI33" s="95">
        <f>VLOOKUP($C33,Контейнеры!$B$16:$AB$104,13,0)</f>
        <v>16.123316796598157</v>
      </c>
      <c r="AJ33" s="154">
        <f>VLOOKUP($C33,Контейнеры!$B$16:$AB$104,18,0)</f>
        <v>1</v>
      </c>
      <c r="AK33" s="135"/>
      <c r="AL33" s="94"/>
      <c r="AM33" s="94"/>
      <c r="AN33" s="116"/>
      <c r="AO33" s="78">
        <f>VLOOKUP($C33,Обработка!$B$16:$L$104,6,0)</f>
        <v>0.68500000000000005</v>
      </c>
      <c r="AP33" s="75">
        <f t="shared" si="4"/>
        <v>0.14200000000000002</v>
      </c>
      <c r="AQ33" s="74">
        <f>VLOOKUP($C33,Обработка!$B$16:$L$104,7,0)</f>
        <v>0.6</v>
      </c>
      <c r="AR33" s="179">
        <f t="shared" si="5"/>
        <v>-0.20700000000000007</v>
      </c>
      <c r="AS33" s="180">
        <f>VLOOKUP($C33,Утилизация!$B$16:$L$104,6,0)</f>
        <v>2.2000000000000002E-2</v>
      </c>
      <c r="AT33" s="76">
        <f t="shared" si="6"/>
        <v>-0.11700000000000001</v>
      </c>
      <c r="AU33" s="74">
        <f>VLOOKUP($C33,Утилизация!$B$16:$L$104,7,0)</f>
        <v>0.28000000000000003</v>
      </c>
      <c r="AV33" s="186">
        <f t="shared" si="7"/>
        <v>-5.9999999999999498E-3</v>
      </c>
      <c r="AW33" s="161" t="str">
        <f>VLOOKUP(C33,Захоронение!$B$16:$Q$104,16,0)</f>
        <v/>
      </c>
      <c r="AX33" s="135"/>
      <c r="AY33" s="94"/>
      <c r="AZ33" s="94"/>
      <c r="BA33" s="98"/>
      <c r="BB33" s="127" t="str">
        <f>VLOOKUP(C33,'ДК ИП'!$B$16:$S$104,5,0)</f>
        <v>среднее</v>
      </c>
      <c r="BC33" s="224">
        <f>VLOOKUP(C33,'Радар олд'!$B$3:$E$87,4,0)</f>
        <v>0.16514861187670071</v>
      </c>
      <c r="BD33" s="98"/>
      <c r="BI33" s="8">
        <f t="shared" si="8"/>
        <v>0</v>
      </c>
      <c r="BJ33" s="8">
        <f>VLOOKUP(C33,Штаб!$B$16:$C$104,2)</f>
        <v>1</v>
      </c>
      <c r="BK33" s="8">
        <f>VLOOKUP(C33,'РО - регионы'!$B$16:$C$104,2)</f>
        <v>0</v>
      </c>
      <c r="BL33" s="8">
        <f>VLOOKUP(C33,'РО - регионы'!$B$16:$L$104,11)</f>
        <v>0</v>
      </c>
      <c r="BM33" s="8">
        <f>VLOOKUP(C33,Спецтехника!$B$16:$C$104,2)</f>
        <v>0</v>
      </c>
      <c r="BN33" s="8">
        <f>VLOOKUP($C33,МНО!$B$16:$AB$104,6,0)</f>
        <v>1</v>
      </c>
      <c r="BO33" s="8">
        <f>VLOOKUP($C33,МНО!$B$16:$AB$104,4,0)</f>
        <v>0</v>
      </c>
      <c r="BP33" s="8">
        <f>VLOOKUP($C33,МНО!$B$16:$AB$104,5,0)</f>
        <v>0</v>
      </c>
      <c r="BQ33" s="8">
        <f>VLOOKUP($C33,Контейнеры!$B$16:$G$104,6,0)</f>
        <v>1</v>
      </c>
      <c r="BR33" s="8">
        <f>VLOOKUP($C33,Контейнеры!$B$16:$G$104,4,0)</f>
        <v>0</v>
      </c>
      <c r="BS33" s="8">
        <f>VLOOKUP($C33,Контейнеры!$B$16:$G$104,5,0)</f>
        <v>0</v>
      </c>
      <c r="BT33" s="8">
        <f>VLOOKUP($C33,'ДК МНО'!$B$16:$C$104,2,0)</f>
        <v>2</v>
      </c>
      <c r="BU33" s="8">
        <f>VLOOKUP($C33,Обработка!$B$16:$F$104,5,0)</f>
        <v>1</v>
      </c>
      <c r="BV33" s="8">
        <f>VLOOKUP($C33,Обработка!$B$16:$F$104,4,0)</f>
        <v>0</v>
      </c>
      <c r="BW33" s="8">
        <f>VLOOKUP($C33,Утилизация!$B$16:$F$104,5,0)</f>
        <v>1</v>
      </c>
      <c r="BX33" s="8">
        <f>VLOOKUP($C33,Утилизация!$B$16:$F$104,4,0)</f>
        <v>2</v>
      </c>
      <c r="BY33" s="8">
        <f>VLOOKUP($C33,Захоронение!$B$16:$C$104,2,0)</f>
        <v>0</v>
      </c>
      <c r="BZ33" s="8">
        <f>VLOOKUP($C33,'ДК ИП'!$B$16:$C$104,2,0)</f>
        <v>1</v>
      </c>
      <c r="CA33" s="8">
        <f t="shared" si="9"/>
        <v>0.4</v>
      </c>
    </row>
    <row r="34" spans="1:79" ht="30" customHeight="1">
      <c r="A34" s="9" t="s">
        <v>655</v>
      </c>
      <c r="B34" s="261">
        <f t="shared" si="3"/>
        <v>24</v>
      </c>
      <c r="C34" s="258" t="s">
        <v>51</v>
      </c>
      <c r="D34" s="227" t="str">
        <f>VLOOKUP($C34,Штаб!$B$16:$J$104,6,0)</f>
        <v/>
      </c>
      <c r="E34" s="228" t="str">
        <f>VLOOKUP($C34,Штаб!$B$16:$J$104,7,0)</f>
        <v/>
      </c>
      <c r="F34" s="228" t="str">
        <f>VLOOKUP($C34,Штаб!$B$16:$J$104,8,0)</f>
        <v/>
      </c>
      <c r="G34" s="229" t="str">
        <f>VLOOKUP($C34,Штаб!$B$16:$J$104,9,0)</f>
        <v>✔️</v>
      </c>
      <c r="H34" s="160" t="str">
        <f>VLOOKUP(C34,'РО - регионы'!$B$16:$I$104,8,0)</f>
        <v>0 / 2 / 0 из 2</v>
      </c>
      <c r="I34" s="237"/>
      <c r="J34" s="122"/>
      <c r="K34" s="94"/>
      <c r="L34" s="94"/>
      <c r="M34" s="98"/>
      <c r="N34" s="165">
        <f>VLOOKUP(C34,Спецтехника!$B$16:$J$104,4,0)</f>
        <v>104</v>
      </c>
      <c r="O34" s="168">
        <f>VLOOKUP(C34,Спецтехника!$B$16:$J$104,5,0)</f>
        <v>84</v>
      </c>
      <c r="P34" s="168">
        <f>VLOOKUP(C34,Спецтехника!$B$16:$J$104,6,0)</f>
        <v>20</v>
      </c>
      <c r="Q34" s="171">
        <f>VLOOKUP(C34,Спецтехника!$B$16:$J$104,7,0)</f>
        <v>0.19230769230769232</v>
      </c>
      <c r="R34" s="242"/>
      <c r="S34" s="122"/>
      <c r="T34" s="94"/>
      <c r="U34" s="94"/>
      <c r="V34" s="98"/>
      <c r="W34" s="164">
        <f>VLOOKUP($C34,МНО!$B$16:$AB$104,16,0)</f>
        <v>5731</v>
      </c>
      <c r="X34" s="167">
        <f>VLOOKUP($C34,МНО!$B$16:$AB$104,8,0)</f>
        <v>4417</v>
      </c>
      <c r="Y34" s="167">
        <f>VLOOKUP($C34,МНО!$B$16:$AB$104,11,0)</f>
        <v>1314</v>
      </c>
      <c r="Z34" s="172">
        <f>VLOOKUP($C34,МНО!$B$16:$AB$104,17,0)</f>
        <v>0.22927935787820625</v>
      </c>
      <c r="AA34" s="245"/>
      <c r="AB34" s="95">
        <f>VLOOKUP($C34,МНО!$B$16:$AB$104,13,0)</f>
        <v>5.9984823117042678</v>
      </c>
      <c r="AC34" s="154">
        <f>VLOOKUP($C34,МНО!$B$16:$AB$104,18,0)</f>
        <v>0.89612497463988638</v>
      </c>
      <c r="AD34" s="164">
        <f>VLOOKUP($C34,Контейнеры!$B$16:$AB$104,16,0)</f>
        <v>9547</v>
      </c>
      <c r="AE34" s="167">
        <f>VLOOKUP($C34,Контейнеры!$B$16:$AB$104,8,0)</f>
        <v>7218</v>
      </c>
      <c r="AF34" s="167">
        <f>VLOOKUP($C34,Контейнеры!$B$16:$AB$104,11,0)</f>
        <v>2329</v>
      </c>
      <c r="AG34" s="172">
        <f>VLOOKUP($C34,Контейнеры!$B$16:$AB$104,17,0)</f>
        <v>0.24395097936524562</v>
      </c>
      <c r="AH34" s="245"/>
      <c r="AI34" s="95">
        <f>VLOOKUP($C34,Контейнеры!$B$16:$AB$104,13,0)</f>
        <v>12.420265440585601</v>
      </c>
      <c r="AJ34" s="154">
        <f>VLOOKUP($C34,Контейнеры!$B$16:$AB$104,18,0)</f>
        <v>0.76227690358010347</v>
      </c>
      <c r="AK34" s="135"/>
      <c r="AL34" s="94"/>
      <c r="AM34" s="94"/>
      <c r="AN34" s="116"/>
      <c r="AO34" s="78">
        <f>VLOOKUP($C34,Обработка!$B$16:$L$104,6,0)</f>
        <v>0.59200000000000008</v>
      </c>
      <c r="AP34" s="75">
        <f t="shared" si="4"/>
        <v>4.9000000000000044E-2</v>
      </c>
      <c r="AQ34" s="75">
        <f>VLOOKUP($C34,Обработка!$B$16:$L$104,7,0)</f>
        <v>1</v>
      </c>
      <c r="AR34" s="178">
        <f t="shared" si="5"/>
        <v>0.19299999999999995</v>
      </c>
      <c r="AS34" s="181">
        <f>VLOOKUP($C34,Утилизация!$B$16:$L$104,6,0)</f>
        <v>8.3000000000000004E-2</v>
      </c>
      <c r="AT34" s="74">
        <f t="shared" si="6"/>
        <v>-5.6000000000000008E-2</v>
      </c>
      <c r="AU34" s="75">
        <f>VLOOKUP($C34,Утилизация!$B$16:$L$104,7,0)</f>
        <v>0.5</v>
      </c>
      <c r="AV34" s="185">
        <f t="shared" si="7"/>
        <v>0.21400000000000002</v>
      </c>
      <c r="AW34" s="161" t="str">
        <f>VLOOKUP(C34,Захоронение!$B$16:$Q$104,16,0)</f>
        <v/>
      </c>
      <c r="AX34" s="135"/>
      <c r="AY34" s="94"/>
      <c r="AZ34" s="94"/>
      <c r="BA34" s="98"/>
      <c r="BB34" s="127" t="str">
        <f>VLOOKUP(C34,'ДК ИП'!$B$16:$S$104,5,0)</f>
        <v>небольшое</v>
      </c>
      <c r="BC34" s="224">
        <f>VLOOKUP(C34,'Радар олд'!$B$3:$E$87,4,0)</f>
        <v>0.17035276788833117</v>
      </c>
      <c r="BD34" s="98"/>
      <c r="BI34" s="8">
        <f t="shared" si="8"/>
        <v>0</v>
      </c>
      <c r="BJ34" s="8">
        <f>VLOOKUP(C34,Штаб!$B$16:$C$104,2)</f>
        <v>2</v>
      </c>
      <c r="BK34" s="8">
        <f>VLOOKUP(C34,'РО - регионы'!$B$16:$C$104,2)</f>
        <v>1</v>
      </c>
      <c r="BL34" s="8">
        <f>VLOOKUP(C34,'РО - регионы'!$B$16:$L$104,11)</f>
        <v>2</v>
      </c>
      <c r="BM34" s="8">
        <f>VLOOKUP(C34,Спецтехника!$B$16:$C$104,2)</f>
        <v>2</v>
      </c>
      <c r="BN34" s="8">
        <f>VLOOKUP($C34,МНО!$B$16:$AB$104,6,0)</f>
        <v>1</v>
      </c>
      <c r="BO34" s="8">
        <f>VLOOKUP($C34,МНО!$B$16:$AB$104,4,0)</f>
        <v>0</v>
      </c>
      <c r="BP34" s="8">
        <f>VLOOKUP($C34,МНО!$B$16:$AB$104,5,0)</f>
        <v>0</v>
      </c>
      <c r="BQ34" s="8">
        <f>VLOOKUP($C34,Контейнеры!$B$16:$G$104,6,0)</f>
        <v>1</v>
      </c>
      <c r="BR34" s="8">
        <f>VLOOKUP($C34,Контейнеры!$B$16:$G$104,4,0)</f>
        <v>0</v>
      </c>
      <c r="BS34" s="8">
        <f>VLOOKUP($C34,Контейнеры!$B$16:$G$104,5,0)</f>
        <v>2</v>
      </c>
      <c r="BT34" s="8">
        <f>VLOOKUP($C34,'ДК МНО'!$B$16:$C$104,2,0)</f>
        <v>2</v>
      </c>
      <c r="BU34" s="8">
        <f>VLOOKUP($C34,Обработка!$B$16:$F$104,5,0)</f>
        <v>0</v>
      </c>
      <c r="BV34" s="8">
        <f>VLOOKUP($C34,Обработка!$B$16:$F$104,4,0)</f>
        <v>0</v>
      </c>
      <c r="BW34" s="8">
        <f>VLOOKUP($C34,Утилизация!$B$16:$F$104,5,0)</f>
        <v>0</v>
      </c>
      <c r="BX34" s="8">
        <f>VLOOKUP($C34,Утилизация!$B$16:$F$104,4,0)</f>
        <v>1</v>
      </c>
      <c r="BY34" s="8">
        <f>VLOOKUP($C34,Захоронение!$B$16:$C$104,2,0)</f>
        <v>0</v>
      </c>
      <c r="BZ34" s="8">
        <f>VLOOKUP($C34,'ДК ИП'!$B$16:$C$104,2,0)</f>
        <v>0</v>
      </c>
      <c r="CA34" s="8">
        <f t="shared" si="9"/>
        <v>0.45</v>
      </c>
    </row>
    <row r="35" spans="1:79" ht="30" customHeight="1">
      <c r="A35" s="9" t="s">
        <v>656</v>
      </c>
      <c r="B35" s="261">
        <f t="shared" si="3"/>
        <v>25</v>
      </c>
      <c r="C35" s="258" t="s">
        <v>52</v>
      </c>
      <c r="D35" s="227" t="str">
        <f>VLOOKUP($C35,Штаб!$B$16:$J$104,6,0)</f>
        <v/>
      </c>
      <c r="E35" s="228" t="str">
        <f>VLOOKUP($C35,Штаб!$B$16:$J$104,7,0)</f>
        <v>✔️</v>
      </c>
      <c r="F35" s="228" t="str">
        <f>VLOOKUP($C35,Штаб!$B$16:$J$104,8,0)</f>
        <v/>
      </c>
      <c r="G35" s="229" t="str">
        <f>VLOOKUP($C35,Штаб!$B$16:$J$104,9,0)</f>
        <v/>
      </c>
      <c r="H35" s="161" t="str">
        <f>VLOOKUP(C35,'РО - регионы'!$B$16:$I$104,8,0)</f>
        <v>0 / 0 / 1 из 1</v>
      </c>
      <c r="I35" s="237"/>
      <c r="J35" s="122"/>
      <c r="K35" s="94"/>
      <c r="L35" s="94"/>
      <c r="M35" s="98"/>
      <c r="N35" s="163">
        <f>VLOOKUP(C35,Спецтехника!$B$16:$J$104,4,0)</f>
        <v>76</v>
      </c>
      <c r="O35" s="166">
        <f>VLOOKUP(C35,Спецтехника!$B$16:$J$104,5,0)</f>
        <v>70</v>
      </c>
      <c r="P35" s="166">
        <f>VLOOKUP(C35,Спецтехника!$B$16:$J$104,6,0)</f>
        <v>6</v>
      </c>
      <c r="Q35" s="169">
        <f>VLOOKUP(C35,Спецтехника!$B$16:$J$104,7,0)</f>
        <v>7.8947368421052627E-2</v>
      </c>
      <c r="R35" s="242"/>
      <c r="S35" s="122"/>
      <c r="T35" s="94"/>
      <c r="U35" s="94"/>
      <c r="V35" s="98"/>
      <c r="W35" s="165">
        <f>VLOOKUP($C35,МНО!$B$16:$AB$104,16,0)</f>
        <v>4451</v>
      </c>
      <c r="X35" s="168">
        <f>VLOOKUP($C35,МНО!$B$16:$AB$104,8,0)</f>
        <v>2026</v>
      </c>
      <c r="Y35" s="168">
        <f>VLOOKUP($C35,МНО!$B$16:$AB$104,11,0)</f>
        <v>2425</v>
      </c>
      <c r="Z35" s="174">
        <f>VLOOKUP($C35,МНО!$B$16:$AB$104,17,0)</f>
        <v>0.54482138845203321</v>
      </c>
      <c r="AA35" s="245"/>
      <c r="AB35" s="95">
        <f>VLOOKUP($C35,МНО!$B$16:$AB$104,13,0)</f>
        <v>3.6097332952450203</v>
      </c>
      <c r="AC35" s="154">
        <f>VLOOKUP($C35,МНО!$B$16:$AB$104,18,0)</f>
        <v>0.66975206611570248</v>
      </c>
      <c r="AD35" s="165">
        <f>VLOOKUP($C35,Контейнеры!$B$16:$AB$104,16,0)</f>
        <v>7913</v>
      </c>
      <c r="AE35" s="168">
        <f>VLOOKUP($C35,Контейнеры!$B$16:$AB$104,8,0)</f>
        <v>3611</v>
      </c>
      <c r="AF35" s="168">
        <f>VLOOKUP($C35,Контейнеры!$B$16:$AB$104,11,0)</f>
        <v>4302</v>
      </c>
      <c r="AG35" s="174">
        <f>VLOOKUP($C35,Контейнеры!$B$16:$AB$104,17,0)</f>
        <v>0.54366232781498802</v>
      </c>
      <c r="AH35" s="245"/>
      <c r="AI35" s="95">
        <f>VLOOKUP($C35,Контейнеры!$B$16:$AB$104,13,0)</f>
        <v>7.2134736741171936</v>
      </c>
      <c r="AJ35" s="154">
        <f>VLOOKUP($C35,Контейнеры!$B$16:$AB$104,18,0)</f>
        <v>0.52669194865810964</v>
      </c>
      <c r="AK35" s="135"/>
      <c r="AL35" s="94"/>
      <c r="AM35" s="94"/>
      <c r="AN35" s="116"/>
      <c r="AO35" s="78">
        <f>VLOOKUP($C35,Обработка!$B$16:$L$104,6,0)</f>
        <v>0.9</v>
      </c>
      <c r="AP35" s="75">
        <f t="shared" si="4"/>
        <v>0.35699999999999998</v>
      </c>
      <c r="AQ35" s="75">
        <f>VLOOKUP($C35,Обработка!$B$16:$L$104,7,0)</f>
        <v>1</v>
      </c>
      <c r="AR35" s="178">
        <f t="shared" si="5"/>
        <v>0.19299999999999995</v>
      </c>
      <c r="AS35" s="181">
        <f>VLOOKUP($C35,Утилизация!$B$16:$L$104,6,0)</f>
        <v>0.12300000000000001</v>
      </c>
      <c r="AT35" s="74">
        <f t="shared" si="6"/>
        <v>-1.6E-2</v>
      </c>
      <c r="AU35" s="75">
        <f>VLOOKUP($C35,Утилизация!$B$16:$L$104,7,0)</f>
        <v>0.5</v>
      </c>
      <c r="AV35" s="185">
        <f t="shared" si="7"/>
        <v>0.21400000000000002</v>
      </c>
      <c r="AW35" s="161" t="str">
        <f>VLOOKUP(C35,Захоронение!$B$16:$Q$104,16,0)</f>
        <v/>
      </c>
      <c r="AX35" s="135"/>
      <c r="AY35" s="94"/>
      <c r="AZ35" s="94"/>
      <c r="BA35" s="98"/>
      <c r="BB35" s="127" t="str">
        <f>VLOOKUP(C35,'ДК ИП'!$B$16:$S$104,5,0)</f>
        <v>среднее</v>
      </c>
      <c r="BC35" s="224">
        <f>VLOOKUP(C35,'Радар олд'!$B$3:$E$87,4,0)</f>
        <v>2.9964581864236475E-2</v>
      </c>
      <c r="BD35" s="98"/>
      <c r="BI35" s="8">
        <f t="shared" si="8"/>
        <v>0</v>
      </c>
      <c r="BJ35" s="8">
        <f>VLOOKUP(C35,Штаб!$B$16:$C$104,2)</f>
        <v>1</v>
      </c>
      <c r="BK35" s="8">
        <f>VLOOKUP(C35,'РО - регионы'!$B$16:$C$104,2)</f>
        <v>0</v>
      </c>
      <c r="BL35" s="8">
        <f>VLOOKUP(C35,'РО - регионы'!$B$16:$L$104,11)</f>
        <v>0</v>
      </c>
      <c r="BM35" s="8">
        <f>VLOOKUP(C35,Спецтехника!$B$16:$C$104,2)</f>
        <v>0</v>
      </c>
      <c r="BN35" s="8">
        <f>VLOOKUP($C35,МНО!$B$16:$AB$104,6,0)</f>
        <v>2</v>
      </c>
      <c r="BO35" s="8">
        <f>VLOOKUP($C35,МНО!$B$16:$AB$104,4,0)</f>
        <v>1</v>
      </c>
      <c r="BP35" s="8">
        <f>VLOOKUP($C35,МНО!$B$16:$AB$104,5,0)</f>
        <v>2</v>
      </c>
      <c r="BQ35" s="8">
        <f>VLOOKUP($C35,Контейнеры!$B$16:$G$104,6,0)</f>
        <v>2</v>
      </c>
      <c r="BR35" s="8">
        <f>VLOOKUP($C35,Контейнеры!$B$16:$G$104,4,0)</f>
        <v>0</v>
      </c>
      <c r="BS35" s="8">
        <f>VLOOKUP($C35,Контейнеры!$B$16:$G$104,5,0)</f>
        <v>2</v>
      </c>
      <c r="BT35" s="8">
        <f>VLOOKUP($C35,'ДК МНО'!$B$16:$C$104,2,0)</f>
        <v>2</v>
      </c>
      <c r="BU35" s="8">
        <f>VLOOKUP($C35,Обработка!$B$16:$F$104,5,0)</f>
        <v>0</v>
      </c>
      <c r="BV35" s="8">
        <f>VLOOKUP($C35,Обработка!$B$16:$F$104,4,0)</f>
        <v>0</v>
      </c>
      <c r="BW35" s="8">
        <f>VLOOKUP($C35,Утилизация!$B$16:$F$104,5,0)</f>
        <v>0</v>
      </c>
      <c r="BX35" s="8">
        <f>VLOOKUP($C35,Утилизация!$B$16:$F$104,4,0)</f>
        <v>1</v>
      </c>
      <c r="BY35" s="8">
        <f>VLOOKUP($C35,Захоронение!$B$16:$C$104,2,0)</f>
        <v>0</v>
      </c>
      <c r="BZ35" s="8">
        <f>VLOOKUP($C35,'ДК ИП'!$B$16:$C$104,2,0)</f>
        <v>1</v>
      </c>
      <c r="CA35" s="8">
        <f t="shared" si="9"/>
        <v>0.4</v>
      </c>
    </row>
    <row r="36" spans="1:79" ht="30" customHeight="1">
      <c r="A36" s="9" t="s">
        <v>655</v>
      </c>
      <c r="B36" s="261">
        <f t="shared" si="3"/>
        <v>26</v>
      </c>
      <c r="C36" s="258" t="s">
        <v>59</v>
      </c>
      <c r="D36" s="227" t="str">
        <f>VLOOKUP($C36,Штаб!$B$16:$J$104,6,0)</f>
        <v/>
      </c>
      <c r="E36" s="228" t="str">
        <f>VLOOKUP($C36,Штаб!$B$16:$J$104,7,0)</f>
        <v>✔️</v>
      </c>
      <c r="F36" s="228" t="str">
        <f>VLOOKUP($C36,Штаб!$B$16:$J$104,8,0)</f>
        <v/>
      </c>
      <c r="G36" s="229" t="str">
        <f>VLOOKUP($C36,Штаб!$B$16:$J$104,9,0)</f>
        <v/>
      </c>
      <c r="H36" s="161" t="str">
        <f>VLOOKUP(C36,'РО - регионы'!$B$16:$I$104,8,0)</f>
        <v>0 / 0 / 1 из 1</v>
      </c>
      <c r="I36" s="237"/>
      <c r="J36" s="122"/>
      <c r="K36" s="94"/>
      <c r="L36" s="94"/>
      <c r="M36" s="98"/>
      <c r="N36" s="163">
        <f>VLOOKUP(C36,Спецтехника!$B$16:$J$104,4,0)</f>
        <v>179</v>
      </c>
      <c r="O36" s="166">
        <f>VLOOKUP(C36,Спецтехника!$B$16:$J$104,5,0)</f>
        <v>179</v>
      </c>
      <c r="P36" s="166">
        <f>VLOOKUP(C36,Спецтехника!$B$16:$J$104,6,0)</f>
        <v>0</v>
      </c>
      <c r="Q36" s="169">
        <f>VLOOKUP(C36,Спецтехника!$B$16:$J$104,7,0)</f>
        <v>0</v>
      </c>
      <c r="R36" s="242"/>
      <c r="S36" s="122"/>
      <c r="T36" s="94"/>
      <c r="U36" s="94"/>
      <c r="V36" s="98"/>
      <c r="W36" s="163">
        <f>VLOOKUP($C36,МНО!$B$16:$AB$104,16,0)</f>
        <v>7629</v>
      </c>
      <c r="X36" s="166">
        <f>VLOOKUP($C36,МНО!$B$16:$AB$104,8,0)</f>
        <v>7233</v>
      </c>
      <c r="Y36" s="166">
        <f>VLOOKUP($C36,МНО!$B$16:$AB$104,11,0)</f>
        <v>396</v>
      </c>
      <c r="Z36" s="173">
        <f>VLOOKUP($C36,МНО!$B$16:$AB$104,17,0)</f>
        <v>5.1907196224931181E-2</v>
      </c>
      <c r="AA36" s="245"/>
      <c r="AB36" s="95">
        <f>VLOOKUP($C36,МНО!$B$16:$AB$104,13,0)</f>
        <v>9.1811104480925891</v>
      </c>
      <c r="AC36" s="154">
        <f>VLOOKUP($C36,МНО!$B$16:$AB$104,18,0)</f>
        <v>1</v>
      </c>
      <c r="AD36" s="164">
        <f>VLOOKUP($C36,Контейнеры!$B$16:$AB$104,16,0)</f>
        <v>17705</v>
      </c>
      <c r="AE36" s="167">
        <f>VLOOKUP($C36,Контейнеры!$B$16:$AB$104,8,0)</f>
        <v>16588</v>
      </c>
      <c r="AF36" s="167">
        <f>VLOOKUP($C36,Контейнеры!$B$16:$AB$104,11,0)</f>
        <v>1117</v>
      </c>
      <c r="AG36" s="172">
        <f>VLOOKUP($C36,Контейнеры!$B$16:$AB$104,17,0)</f>
        <v>6.3089522733691047E-2</v>
      </c>
      <c r="AH36" s="245"/>
      <c r="AI36" s="95">
        <f>VLOOKUP($C36,Контейнеры!$B$16:$AB$104,13,0)</f>
        <v>23.019386353228516</v>
      </c>
      <c r="AJ36" s="154">
        <f>VLOOKUP($C36,Контейнеры!$B$16:$AB$104,18,0)</f>
        <v>1</v>
      </c>
      <c r="AK36" s="135"/>
      <c r="AL36" s="94"/>
      <c r="AM36" s="94"/>
      <c r="AN36" s="116"/>
      <c r="AO36" s="79">
        <f>VLOOKUP($C36,Обработка!$B$16:$L$104,6,0)</f>
        <v>6.9999999999999993E-3</v>
      </c>
      <c r="AP36" s="76">
        <f t="shared" si="4"/>
        <v>-0.53600000000000003</v>
      </c>
      <c r="AQ36" s="74">
        <f>VLOOKUP($C36,Обработка!$B$16:$L$104,7,0)</f>
        <v>0.68859999999999999</v>
      </c>
      <c r="AR36" s="179">
        <f t="shared" si="5"/>
        <v>-0.11840000000000006</v>
      </c>
      <c r="AS36" s="180">
        <f>VLOOKUP($C36,Утилизация!$B$16:$L$104,6,0)</f>
        <v>0</v>
      </c>
      <c r="AT36" s="76">
        <f t="shared" si="6"/>
        <v>-0.13900000000000001</v>
      </c>
      <c r="AU36" s="76">
        <f>VLOOKUP($C36,Утилизация!$B$16:$L$104,7,0)</f>
        <v>0.1</v>
      </c>
      <c r="AV36" s="184">
        <f t="shared" si="7"/>
        <v>-0.18599999999999997</v>
      </c>
      <c r="AW36" s="161" t="str">
        <f>VLOOKUP(C36,Захоронение!$B$16:$Q$104,16,0)</f>
        <v/>
      </c>
      <c r="AX36" s="135"/>
      <c r="AY36" s="94"/>
      <c r="AZ36" s="94"/>
      <c r="BA36" s="98"/>
      <c r="BB36" s="127" t="str">
        <f>VLOOKUP(C36,'ДК ИП'!$B$16:$S$104,5,0)</f>
        <v>среднее</v>
      </c>
      <c r="BC36" s="224">
        <f>VLOOKUP(C36,'Радар олд'!$B$3:$E$87,4,0)</f>
        <v>6.1059380247290497E-2</v>
      </c>
      <c r="BD36" s="98"/>
      <c r="BI36" s="8">
        <f t="shared" si="8"/>
        <v>0</v>
      </c>
      <c r="BJ36" s="8">
        <f>VLOOKUP(C36,Штаб!$B$16:$C$104,2)</f>
        <v>1</v>
      </c>
      <c r="BK36" s="8">
        <f>VLOOKUP(C36,'РО - регионы'!$B$16:$C$104,2)</f>
        <v>0</v>
      </c>
      <c r="BL36" s="8">
        <f>VLOOKUP(C36,'РО - регионы'!$B$16:$L$104,11)</f>
        <v>0</v>
      </c>
      <c r="BM36" s="8">
        <f>VLOOKUP(C36,Спецтехника!$B$16:$C$104,2)</f>
        <v>0</v>
      </c>
      <c r="BN36" s="8">
        <f>VLOOKUP($C36,МНО!$B$16:$AB$104,6,0)</f>
        <v>0</v>
      </c>
      <c r="BO36" s="8">
        <f>VLOOKUP($C36,МНО!$B$16:$AB$104,4,0)</f>
        <v>0</v>
      </c>
      <c r="BP36" s="8">
        <f>VLOOKUP($C36,МНО!$B$16:$AB$104,5,0)</f>
        <v>0</v>
      </c>
      <c r="BQ36" s="8">
        <f>VLOOKUP($C36,Контейнеры!$B$16:$G$104,6,0)</f>
        <v>0</v>
      </c>
      <c r="BR36" s="8">
        <f>VLOOKUP($C36,Контейнеры!$B$16:$G$104,4,0)</f>
        <v>0</v>
      </c>
      <c r="BS36" s="8">
        <f>VLOOKUP($C36,Контейнеры!$B$16:$G$104,5,0)</f>
        <v>0</v>
      </c>
      <c r="BT36" s="8">
        <f>VLOOKUP($C36,'ДК МНО'!$B$16:$C$104,2,0)</f>
        <v>2</v>
      </c>
      <c r="BU36" s="8">
        <f>VLOOKUP($C36,Обработка!$B$16:$F$104,5,0)</f>
        <v>1</v>
      </c>
      <c r="BV36" s="8">
        <f>VLOOKUP($C36,Обработка!$B$16:$F$104,4,0)</f>
        <v>2</v>
      </c>
      <c r="BW36" s="8">
        <f>VLOOKUP($C36,Утилизация!$B$16:$F$104,5,0)</f>
        <v>2</v>
      </c>
      <c r="BX36" s="8">
        <f>VLOOKUP($C36,Утилизация!$B$16:$F$104,4,0)</f>
        <v>2</v>
      </c>
      <c r="BY36" s="8">
        <f>VLOOKUP($C36,Захоронение!$B$16:$C$104,2,0)</f>
        <v>0</v>
      </c>
      <c r="BZ36" s="8">
        <f>VLOOKUP($C36,'ДК ИП'!$B$16:$C$104,2,0)</f>
        <v>1</v>
      </c>
      <c r="CA36" s="8">
        <f t="shared" si="9"/>
        <v>0.44999999999999996</v>
      </c>
    </row>
    <row r="37" spans="1:79" ht="30" customHeight="1">
      <c r="A37" s="9" t="s">
        <v>656</v>
      </c>
      <c r="B37" s="261">
        <f t="shared" si="3"/>
        <v>27</v>
      </c>
      <c r="C37" s="258" t="s">
        <v>60</v>
      </c>
      <c r="D37" s="227" t="str">
        <f>VLOOKUP($C37,Штаб!$B$16:$J$104,6,0)</f>
        <v>✔️</v>
      </c>
      <c r="E37" s="228" t="str">
        <f>VLOOKUP($C37,Штаб!$B$16:$J$104,7,0)</f>
        <v/>
      </c>
      <c r="F37" s="228" t="str">
        <f>VLOOKUP($C37,Штаб!$B$16:$J$104,8,0)</f>
        <v/>
      </c>
      <c r="G37" s="229" t="str">
        <f>VLOOKUP($C37,Штаб!$B$16:$J$104,9,0)</f>
        <v/>
      </c>
      <c r="H37" s="161" t="str">
        <f>VLOOKUP(C37,'РО - регионы'!$B$16:$I$104,8,0)</f>
        <v>0 / 0 / 6 из 6</v>
      </c>
      <c r="I37" s="237"/>
      <c r="J37" s="122"/>
      <c r="K37" s="94"/>
      <c r="L37" s="94"/>
      <c r="M37" s="98"/>
      <c r="N37" s="164">
        <f>VLOOKUP(C37,Спецтехника!$B$16:$J$104,4,0)</f>
        <v>507</v>
      </c>
      <c r="O37" s="167">
        <f>VLOOKUP(C37,Спецтехника!$B$16:$J$104,5,0)</f>
        <v>445</v>
      </c>
      <c r="P37" s="167">
        <f>VLOOKUP(C37,Спецтехника!$B$16:$J$104,6,0)</f>
        <v>62</v>
      </c>
      <c r="Q37" s="170">
        <f>VLOOKUP(C37,Спецтехника!$B$16:$J$104,7,0)</f>
        <v>0.1222879684418146</v>
      </c>
      <c r="R37" s="242"/>
      <c r="S37" s="122"/>
      <c r="T37" s="94"/>
      <c r="U37" s="94"/>
      <c r="V37" s="98"/>
      <c r="W37" s="163">
        <f>VLOOKUP($C37,МНО!$B$16:$AB$104,16,0)</f>
        <v>10024</v>
      </c>
      <c r="X37" s="166">
        <f>VLOOKUP($C37,МНО!$B$16:$AB$104,8,0)</f>
        <v>9558</v>
      </c>
      <c r="Y37" s="166">
        <f>VLOOKUP($C37,МНО!$B$16:$AB$104,11,0)</f>
        <v>466</v>
      </c>
      <c r="Z37" s="173">
        <f>VLOOKUP($C37,МНО!$B$16:$AB$104,17,0)</f>
        <v>4.6488427773343971E-2</v>
      </c>
      <c r="AA37" s="245"/>
      <c r="AB37" s="95">
        <f>VLOOKUP($C37,МНО!$B$16:$AB$104,13,0)</f>
        <v>4.3079362701944328</v>
      </c>
      <c r="AC37" s="154">
        <f>VLOOKUP($C37,МНО!$B$16:$AB$104,18,0)</f>
        <v>1</v>
      </c>
      <c r="AD37" s="163">
        <f>VLOOKUP($C37,Контейнеры!$B$16:$AB$104,16,0)</f>
        <v>26191</v>
      </c>
      <c r="AE37" s="166">
        <f>VLOOKUP($C37,Контейнеры!$B$16:$AB$104,8,0)</f>
        <v>25528</v>
      </c>
      <c r="AF37" s="166">
        <f>VLOOKUP($C37,Контейнеры!$B$16:$AB$104,11,0)</f>
        <v>663</v>
      </c>
      <c r="AG37" s="173">
        <f>VLOOKUP($C37,Контейнеры!$B$16:$AB$104,17,0)</f>
        <v>2.531403917376198E-2</v>
      </c>
      <c r="AH37" s="245"/>
      <c r="AI37" s="95">
        <f>VLOOKUP($C37,Контейнеры!$B$16:$AB$104,13,0)</f>
        <v>13.368951751218512</v>
      </c>
      <c r="AJ37" s="154">
        <f>VLOOKUP($C37,Контейнеры!$B$16:$AB$104,18,0)</f>
        <v>1</v>
      </c>
      <c r="AK37" s="135"/>
      <c r="AL37" s="94"/>
      <c r="AM37" s="94"/>
      <c r="AN37" s="116"/>
      <c r="AO37" s="80">
        <f>VLOOKUP($C37,Обработка!$B$16:$L$104,6,0)</f>
        <v>0.33799999999999997</v>
      </c>
      <c r="AP37" s="74">
        <f t="shared" si="4"/>
        <v>-0.20500000000000007</v>
      </c>
      <c r="AQ37" s="75">
        <f>VLOOKUP($C37,Обработка!$B$16:$L$104,7,0)</f>
        <v>1</v>
      </c>
      <c r="AR37" s="178">
        <f t="shared" si="5"/>
        <v>0.19299999999999995</v>
      </c>
      <c r="AS37" s="180">
        <f>VLOOKUP($C37,Утилизация!$B$16:$L$104,6,0)</f>
        <v>1.8000000000000002E-2</v>
      </c>
      <c r="AT37" s="76">
        <f t="shared" si="6"/>
        <v>-0.12100000000000001</v>
      </c>
      <c r="AU37" s="75">
        <f>VLOOKUP($C37,Утилизация!$B$16:$L$104,7,0)</f>
        <v>0.5</v>
      </c>
      <c r="AV37" s="185">
        <f t="shared" si="7"/>
        <v>0.21400000000000002</v>
      </c>
      <c r="AW37" s="160" t="str">
        <f>VLOOKUP(C37,Захоронение!$B$16:$Q$104,16,0)</f>
        <v>перегруз</v>
      </c>
      <c r="AX37" s="135"/>
      <c r="AY37" s="94"/>
      <c r="AZ37" s="94"/>
      <c r="BA37" s="98"/>
      <c r="BB37" s="127" t="str">
        <f>VLOOKUP(C37,'ДК ИП'!$B$16:$S$104,5,0)</f>
        <v>небольшое</v>
      </c>
      <c r="BC37" s="224">
        <f>VLOOKUP(C37,'Радар олд'!$B$3:$E$87,4,0)</f>
        <v>2.4613786129241227E-2</v>
      </c>
      <c r="BD37" s="98"/>
      <c r="BI37" s="8">
        <f t="shared" si="8"/>
        <v>0</v>
      </c>
      <c r="BJ37" s="8">
        <f>VLOOKUP(C37,Штаб!$B$16:$C$104,2)</f>
        <v>0</v>
      </c>
      <c r="BK37" s="8">
        <f>VLOOKUP(C37,'РО - регионы'!$B$16:$C$104,2)</f>
        <v>0</v>
      </c>
      <c r="BL37" s="8">
        <f>VLOOKUP(C37,'РО - регионы'!$B$16:$L$104,11)</f>
        <v>0</v>
      </c>
      <c r="BM37" s="8">
        <f>VLOOKUP(C37,Спецтехника!$B$16:$C$104,2)</f>
        <v>1</v>
      </c>
      <c r="BN37" s="8">
        <f>VLOOKUP($C37,МНО!$B$16:$AB$104,6,0)</f>
        <v>0</v>
      </c>
      <c r="BO37" s="8">
        <f>VLOOKUP($C37,МНО!$B$16:$AB$104,4,0)</f>
        <v>1</v>
      </c>
      <c r="BP37" s="8">
        <f>VLOOKUP($C37,МНО!$B$16:$AB$104,5,0)</f>
        <v>0</v>
      </c>
      <c r="BQ37" s="8">
        <f>VLOOKUP($C37,Контейнеры!$B$16:$G$104,6,0)</f>
        <v>0</v>
      </c>
      <c r="BR37" s="8">
        <f>VLOOKUP($C37,Контейнеры!$B$16:$G$104,4,0)</f>
        <v>0</v>
      </c>
      <c r="BS37" s="8">
        <f>VLOOKUP($C37,Контейнеры!$B$16:$G$104,5,0)</f>
        <v>0</v>
      </c>
      <c r="BT37" s="8">
        <f>VLOOKUP($C37,'ДК МНО'!$B$16:$C$104,2,0)</f>
        <v>2</v>
      </c>
      <c r="BU37" s="8">
        <f>VLOOKUP($C37,Обработка!$B$16:$F$104,5,0)</f>
        <v>0</v>
      </c>
      <c r="BV37" s="8">
        <f>VLOOKUP($C37,Обработка!$B$16:$F$104,4,0)</f>
        <v>1</v>
      </c>
      <c r="BW37" s="8">
        <f>VLOOKUP($C37,Утилизация!$B$16:$F$104,5,0)</f>
        <v>0</v>
      </c>
      <c r="BX37" s="8">
        <f>VLOOKUP($C37,Утилизация!$B$16:$F$104,4,0)</f>
        <v>2</v>
      </c>
      <c r="BY37" s="8">
        <f>VLOOKUP($C37,Захоронение!$B$16:$C$104,2,0)</f>
        <v>1</v>
      </c>
      <c r="BZ37" s="8">
        <f>VLOOKUP($C37,'ДК ИП'!$B$16:$C$104,2,0)</f>
        <v>0</v>
      </c>
      <c r="CA37" s="8">
        <f t="shared" si="9"/>
        <v>0.5</v>
      </c>
    </row>
    <row r="38" spans="1:79" ht="30" customHeight="1">
      <c r="A38" s="9" t="s">
        <v>659</v>
      </c>
      <c r="B38" s="261">
        <f t="shared" si="3"/>
        <v>28</v>
      </c>
      <c r="C38" s="258" t="s">
        <v>81</v>
      </c>
      <c r="D38" s="227" t="str">
        <f>VLOOKUP($C38,Штаб!$B$16:$J$104,6,0)</f>
        <v/>
      </c>
      <c r="E38" s="228" t="str">
        <f>VLOOKUP($C38,Штаб!$B$16:$J$104,7,0)</f>
        <v/>
      </c>
      <c r="F38" s="228" t="str">
        <f>VLOOKUP($C38,Штаб!$B$16:$J$104,8,0)</f>
        <v/>
      </c>
      <c r="G38" s="229" t="str">
        <f>VLOOKUP($C38,Штаб!$B$16:$J$104,9,0)</f>
        <v>✔️</v>
      </c>
      <c r="H38" s="161" t="str">
        <f>VLOOKUP(C38,'РО - регионы'!$B$16:$I$104,8,0)</f>
        <v>0 / 0 / 1 из 1</v>
      </c>
      <c r="I38" s="237"/>
      <c r="J38" s="122"/>
      <c r="K38" s="94"/>
      <c r="L38" s="94"/>
      <c r="M38" s="98"/>
      <c r="N38" s="164">
        <f>VLOOKUP(C38,Спецтехника!$B$16:$J$104,4,0)</f>
        <v>201</v>
      </c>
      <c r="O38" s="167">
        <f>VLOOKUP(C38,Спецтехника!$B$16:$J$104,5,0)</f>
        <v>179</v>
      </c>
      <c r="P38" s="167">
        <f>VLOOKUP(C38,Спецтехника!$B$16:$J$104,6,0)</f>
        <v>22</v>
      </c>
      <c r="Q38" s="170">
        <f>VLOOKUP(C38,Спецтехника!$B$16:$J$104,7,0)</f>
        <v>0.10945273631840796</v>
      </c>
      <c r="R38" s="242"/>
      <c r="S38" s="122"/>
      <c r="T38" s="94"/>
      <c r="U38" s="94"/>
      <c r="V38" s="98"/>
      <c r="W38" s="164">
        <f>VLOOKUP($C38,МНО!$B$16:$AB$104,16,0)</f>
        <v>11885</v>
      </c>
      <c r="X38" s="167">
        <f>VLOOKUP($C38,МНО!$B$16:$AB$104,8,0)</f>
        <v>8883</v>
      </c>
      <c r="Y38" s="167">
        <f>VLOOKUP($C38,МНО!$B$16:$AB$104,11,0)</f>
        <v>3002</v>
      </c>
      <c r="Z38" s="172">
        <f>VLOOKUP($C38,МНО!$B$16:$AB$104,17,0)</f>
        <v>0.25258729490954984</v>
      </c>
      <c r="AA38" s="245"/>
      <c r="AB38" s="95">
        <f>VLOOKUP($C38,МНО!$B$16:$AB$104,13,0)</f>
        <v>5.5285359870677846</v>
      </c>
      <c r="AC38" s="154">
        <f>VLOOKUP($C38,МНО!$B$16:$AB$104,18,0)</f>
        <v>0.31644757935235651</v>
      </c>
      <c r="AD38" s="164">
        <f>VLOOKUP($C38,Контейнеры!$B$16:$AB$104,16,0)</f>
        <v>24999</v>
      </c>
      <c r="AE38" s="167">
        <f>VLOOKUP($C38,Контейнеры!$B$16:$AB$104,8,0)</f>
        <v>17493</v>
      </c>
      <c r="AF38" s="167">
        <f>VLOOKUP($C38,Контейнеры!$B$16:$AB$104,11,0)</f>
        <v>7506</v>
      </c>
      <c r="AG38" s="172">
        <f>VLOOKUP($C38,Контейнеры!$B$16:$AB$104,17,0)</f>
        <v>0.3002520100804032</v>
      </c>
      <c r="AH38" s="245"/>
      <c r="AI38" s="95">
        <f>VLOOKUP($C38,Контейнеры!$B$16:$AB$104,13,0)</f>
        <v>12.194008324521089</v>
      </c>
      <c r="AJ38" s="154">
        <f>VLOOKUP($C38,Контейнеры!$B$16:$AB$104,18,0)</f>
        <v>1</v>
      </c>
      <c r="AK38" s="135"/>
      <c r="AL38" s="94"/>
      <c r="AM38" s="94"/>
      <c r="AN38" s="116"/>
      <c r="AO38" s="78">
        <f>VLOOKUP($C38,Обработка!$B$16:$L$104,6,0)</f>
        <v>0.73499999999999999</v>
      </c>
      <c r="AP38" s="75">
        <f t="shared" si="4"/>
        <v>0.19199999999999995</v>
      </c>
      <c r="AQ38" s="74">
        <f>VLOOKUP($C38,Обработка!$B$16:$L$104,7,0)</f>
        <v>0.67900000000000005</v>
      </c>
      <c r="AR38" s="179">
        <f t="shared" si="5"/>
        <v>-0.128</v>
      </c>
      <c r="AS38" s="181">
        <f>VLOOKUP($C38,Утилизация!$B$16:$L$104,6,0)</f>
        <v>9.1999999999999998E-2</v>
      </c>
      <c r="AT38" s="74">
        <f t="shared" si="6"/>
        <v>-4.7000000000000014E-2</v>
      </c>
      <c r="AU38" s="76">
        <f>VLOOKUP($C38,Утилизация!$B$16:$L$104,7,0)</f>
        <v>6.5000000000000002E-2</v>
      </c>
      <c r="AV38" s="184">
        <f t="shared" si="7"/>
        <v>-0.22099999999999997</v>
      </c>
      <c r="AW38" s="161" t="str">
        <f>VLOOKUP(C38,Захоронение!$B$16:$Q$104,16,0)</f>
        <v/>
      </c>
      <c r="AX38" s="135"/>
      <c r="AY38" s="94"/>
      <c r="AZ38" s="94"/>
      <c r="BA38" s="98"/>
      <c r="BB38" s="127" t="str">
        <f>VLOOKUP(C38,'ДК ИП'!$B$16:$S$104,5,0)</f>
        <v>небольшое</v>
      </c>
      <c r="BC38" s="224">
        <f>VLOOKUP(C38,'Радар олд'!$B$3:$E$87,4,0)</f>
        <v>7.4587485892857519E-2</v>
      </c>
      <c r="BD38" s="98"/>
      <c r="BI38" s="8">
        <f t="shared" si="8"/>
        <v>0</v>
      </c>
      <c r="BJ38" s="8">
        <f>VLOOKUP(C38,Штаб!$B$16:$C$104,2)</f>
        <v>2</v>
      </c>
      <c r="BK38" s="8">
        <f>VLOOKUP(C38,'РО - регионы'!$B$16:$C$104,2)</f>
        <v>0</v>
      </c>
      <c r="BL38" s="8">
        <f>VLOOKUP(C38,'РО - регионы'!$B$16:$L$104,11)</f>
        <v>0</v>
      </c>
      <c r="BM38" s="8">
        <f>VLOOKUP(C38,Спецтехника!$B$16:$C$104,2)</f>
        <v>1</v>
      </c>
      <c r="BN38" s="8">
        <f>VLOOKUP($C38,МНО!$B$16:$AB$104,6,0)</f>
        <v>1</v>
      </c>
      <c r="BO38" s="8">
        <f>VLOOKUP($C38,МНО!$B$16:$AB$104,4,0)</f>
        <v>1</v>
      </c>
      <c r="BP38" s="8">
        <f>VLOOKUP($C38,МНО!$B$16:$AB$104,5,0)</f>
        <v>2</v>
      </c>
      <c r="BQ38" s="8">
        <f>VLOOKUP($C38,Контейнеры!$B$16:$G$104,6,0)</f>
        <v>1</v>
      </c>
      <c r="BR38" s="8">
        <f>VLOOKUP($C38,Контейнеры!$B$16:$G$104,4,0)</f>
        <v>2</v>
      </c>
      <c r="BS38" s="8">
        <f>VLOOKUP($C38,Контейнеры!$B$16:$G$104,5,0)</f>
        <v>0</v>
      </c>
      <c r="BT38" s="8">
        <f>VLOOKUP($C38,'ДК МНО'!$B$16:$C$104,2,0)</f>
        <v>2</v>
      </c>
      <c r="BU38" s="8">
        <f>VLOOKUP($C38,Обработка!$B$16:$F$104,5,0)</f>
        <v>1</v>
      </c>
      <c r="BV38" s="8">
        <f>VLOOKUP($C38,Обработка!$B$16:$F$104,4,0)</f>
        <v>0</v>
      </c>
      <c r="BW38" s="8">
        <f>VLOOKUP($C38,Утилизация!$B$16:$F$104,5,0)</f>
        <v>2</v>
      </c>
      <c r="BX38" s="8">
        <f>VLOOKUP($C38,Утилизация!$B$16:$F$104,4,0)</f>
        <v>1</v>
      </c>
      <c r="BY38" s="8">
        <f>VLOOKUP($C38,Захоронение!$B$16:$C$104,2,0)</f>
        <v>0</v>
      </c>
      <c r="BZ38" s="8">
        <f>VLOOKUP($C38,'ДК ИП'!$B$16:$C$104,2,0)</f>
        <v>0</v>
      </c>
      <c r="CA38" s="8">
        <f t="shared" si="9"/>
        <v>0.50000000000000011</v>
      </c>
    </row>
    <row r="39" spans="1:79" ht="30" customHeight="1">
      <c r="A39" s="9" t="s">
        <v>659</v>
      </c>
      <c r="B39" s="261">
        <f t="shared" si="3"/>
        <v>29</v>
      </c>
      <c r="C39" s="258" t="s">
        <v>70</v>
      </c>
      <c r="D39" s="227" t="str">
        <f>VLOOKUP($C39,Штаб!$B$16:$J$104,6,0)</f>
        <v/>
      </c>
      <c r="E39" s="228" t="str">
        <f>VLOOKUP($C39,Штаб!$B$16:$J$104,7,0)</f>
        <v>✔️</v>
      </c>
      <c r="F39" s="228" t="str">
        <f>VLOOKUP($C39,Штаб!$B$16:$J$104,8,0)</f>
        <v/>
      </c>
      <c r="G39" s="229" t="str">
        <f>VLOOKUP($C39,Штаб!$B$16:$J$104,9,0)</f>
        <v/>
      </c>
      <c r="H39" s="160" t="str">
        <f>VLOOKUP(C39,'РО - регионы'!$B$16:$I$104,8,0)</f>
        <v>0 / 0 / 1 из 1</v>
      </c>
      <c r="I39" s="237"/>
      <c r="J39" s="122"/>
      <c r="K39" s="94"/>
      <c r="L39" s="94"/>
      <c r="M39" s="98"/>
      <c r="N39" s="163">
        <f>VLOOKUP(C39,Спецтехника!$B$16:$J$104,4,0)</f>
        <v>756</v>
      </c>
      <c r="O39" s="166">
        <f>VLOOKUP(C39,Спецтехника!$B$16:$J$104,5,0)</f>
        <v>739</v>
      </c>
      <c r="P39" s="166">
        <f>VLOOKUP(C39,Спецтехника!$B$16:$J$104,6,0)</f>
        <v>17</v>
      </c>
      <c r="Q39" s="169">
        <f>VLOOKUP(C39,Спецтехника!$B$16:$J$104,7,0)</f>
        <v>2.2486772486772486E-2</v>
      </c>
      <c r="R39" s="242"/>
      <c r="S39" s="122"/>
      <c r="T39" s="94"/>
      <c r="U39" s="94"/>
      <c r="V39" s="98"/>
      <c r="W39" s="163">
        <f>VLOOKUP($C39,МНО!$B$16:$AB$104,16,0)</f>
        <v>22131</v>
      </c>
      <c r="X39" s="166">
        <f>VLOOKUP($C39,МНО!$B$16:$AB$104,8,0)</f>
        <v>18901</v>
      </c>
      <c r="Y39" s="166">
        <f>VLOOKUP($C39,МНО!$B$16:$AB$104,11,0)</f>
        <v>3230</v>
      </c>
      <c r="Z39" s="173">
        <f>VLOOKUP($C39,МНО!$B$16:$AB$104,17,0)</f>
        <v>0.14594912114228908</v>
      </c>
      <c r="AA39" s="245"/>
      <c r="AB39" s="95">
        <f>VLOOKUP($C39,МНО!$B$16:$AB$104,13,0)</f>
        <v>5.8695420037201362</v>
      </c>
      <c r="AC39" s="154">
        <f>VLOOKUP($C39,МНО!$B$16:$AB$104,18,0)</f>
        <v>0.87125472480870292</v>
      </c>
      <c r="AD39" s="165">
        <f>VLOOKUP($C39,Контейнеры!$B$16:$AB$104,16,0)</f>
        <v>43181</v>
      </c>
      <c r="AE39" s="168">
        <f>VLOOKUP($C39,Контейнеры!$B$16:$AB$104,8,0)</f>
        <v>43181</v>
      </c>
      <c r="AF39" s="168">
        <f>VLOOKUP($C39,Контейнеры!$B$16:$AB$104,11,0)</f>
        <v>0</v>
      </c>
      <c r="AG39" s="174">
        <f>VLOOKUP($C39,Контейнеры!$B$16:$AB$104,17,0)</f>
        <v>0</v>
      </c>
      <c r="AH39" s="245"/>
      <c r="AI39" s="95">
        <f>VLOOKUP($C39,Контейнеры!$B$16:$AB$104,13,0)</f>
        <v>13.805364848991733</v>
      </c>
      <c r="AJ39" s="154">
        <f>VLOOKUP($C39,Контейнеры!$B$16:$AB$104,18,0)</f>
        <v>0.78192452556859338</v>
      </c>
      <c r="AK39" s="135"/>
      <c r="AL39" s="94"/>
      <c r="AM39" s="94"/>
      <c r="AN39" s="116"/>
      <c r="AO39" s="80">
        <f>VLOOKUP($C39,Обработка!$B$16:$L$104,6,0)</f>
        <v>0.44400000000000001</v>
      </c>
      <c r="AP39" s="74">
        <f t="shared" si="4"/>
        <v>-9.9000000000000032E-2</v>
      </c>
      <c r="AQ39" s="75">
        <f>VLOOKUP($C39,Обработка!$B$16:$L$104,7,0)</f>
        <v>0.82099999999999995</v>
      </c>
      <c r="AR39" s="178">
        <f t="shared" si="5"/>
        <v>1.3999999999999901E-2</v>
      </c>
      <c r="AS39" s="180">
        <f>VLOOKUP($C39,Утилизация!$B$16:$L$104,6,0)</f>
        <v>3.3000000000000002E-2</v>
      </c>
      <c r="AT39" s="76">
        <f t="shared" si="6"/>
        <v>-0.10600000000000001</v>
      </c>
      <c r="AU39" s="74">
        <f>VLOOKUP($C39,Утилизация!$B$16:$L$104,7,0)</f>
        <v>0.161</v>
      </c>
      <c r="AV39" s="186">
        <f t="shared" si="7"/>
        <v>-0.12499999999999997</v>
      </c>
      <c r="AW39" s="161" t="str">
        <f>VLOOKUP(C39,Захоронение!$B$16:$Q$104,16,0)</f>
        <v/>
      </c>
      <c r="AX39" s="135"/>
      <c r="AY39" s="94"/>
      <c r="AZ39" s="94"/>
      <c r="BA39" s="98"/>
      <c r="BB39" s="127" t="str">
        <f>VLOOKUP(C39,'ДК ИП'!$B$16:$S$104,5,0)</f>
        <v>нет</v>
      </c>
      <c r="BC39" s="224">
        <f>VLOOKUP(C39,'Радар олд'!$B$3:$E$87,4,0)</f>
        <v>0.17903717643026726</v>
      </c>
      <c r="BD39" s="98"/>
      <c r="BI39" s="8">
        <f t="shared" si="8"/>
        <v>0</v>
      </c>
      <c r="BJ39" s="8">
        <f>VLOOKUP(C39,Штаб!$B$16:$C$104,2)</f>
        <v>1</v>
      </c>
      <c r="BK39" s="8">
        <f>VLOOKUP(C39,'РО - регионы'!$B$16:$C$104,2)</f>
        <v>0</v>
      </c>
      <c r="BL39" s="8">
        <f>VLOOKUP(C39,'РО - регионы'!$B$16:$L$104,11)</f>
        <v>0</v>
      </c>
      <c r="BM39" s="8">
        <f>VLOOKUP(C39,Спецтехника!$B$16:$C$104,2)</f>
        <v>0</v>
      </c>
      <c r="BN39" s="8">
        <f>VLOOKUP($C39,МНО!$B$16:$AB$104,6,0)</f>
        <v>0</v>
      </c>
      <c r="BO39" s="8">
        <f>VLOOKUP($C39,МНО!$B$16:$AB$104,4,0)</f>
        <v>1</v>
      </c>
      <c r="BP39" s="8">
        <f>VLOOKUP($C39,МНО!$B$16:$AB$104,5,0)</f>
        <v>0</v>
      </c>
      <c r="BQ39" s="8">
        <f>VLOOKUP($C39,Контейнеры!$B$16:$G$104,6,0)</f>
        <v>2</v>
      </c>
      <c r="BR39" s="8">
        <f>VLOOKUP($C39,Контейнеры!$B$16:$G$104,4,0)</f>
        <v>0</v>
      </c>
      <c r="BS39" s="8">
        <f>VLOOKUP($C39,Контейнеры!$B$16:$G$104,5,0)</f>
        <v>2</v>
      </c>
      <c r="BT39" s="8">
        <f>VLOOKUP($C39,'ДК МНО'!$B$16:$C$104,2,0)</f>
        <v>2</v>
      </c>
      <c r="BU39" s="8">
        <f>VLOOKUP($C39,Обработка!$B$16:$F$104,5,0)</f>
        <v>0</v>
      </c>
      <c r="BV39" s="8">
        <f>VLOOKUP($C39,Обработка!$B$16:$F$104,4,0)</f>
        <v>1</v>
      </c>
      <c r="BW39" s="8">
        <f>VLOOKUP($C39,Утилизация!$B$16:$F$104,5,0)</f>
        <v>1</v>
      </c>
      <c r="BX39" s="8">
        <f>VLOOKUP($C39,Утилизация!$B$16:$F$104,4,0)</f>
        <v>2</v>
      </c>
      <c r="BY39" s="8">
        <f>VLOOKUP($C39,Захоронение!$B$16:$C$104,2,0)</f>
        <v>0</v>
      </c>
      <c r="BZ39" s="8">
        <f>VLOOKUP($C39,'ДК ИП'!$B$16:$C$104,2,0)</f>
        <v>0</v>
      </c>
      <c r="CA39" s="8">
        <f t="shared" si="9"/>
        <v>0.35</v>
      </c>
    </row>
    <row r="40" spans="1:79" ht="30" customHeight="1">
      <c r="A40" s="9" t="s">
        <v>657</v>
      </c>
      <c r="B40" s="261">
        <f t="shared" si="3"/>
        <v>30</v>
      </c>
      <c r="C40" s="258" t="s">
        <v>37</v>
      </c>
      <c r="D40" s="227" t="str">
        <f>VLOOKUP($C40,Штаб!$B$16:$J$104,6,0)</f>
        <v/>
      </c>
      <c r="E40" s="228" t="str">
        <f>VLOOKUP($C40,Штаб!$B$16:$J$104,7,0)</f>
        <v>✔️</v>
      </c>
      <c r="F40" s="228" t="str">
        <f>VLOOKUP($C40,Штаб!$B$16:$J$104,8,0)</f>
        <v/>
      </c>
      <c r="G40" s="229" t="str">
        <f>VLOOKUP($C40,Штаб!$B$16:$J$104,9,0)</f>
        <v/>
      </c>
      <c r="H40" s="161" t="str">
        <f>VLOOKUP(C40,'РО - регионы'!$B$16:$I$104,8,0)</f>
        <v>0 / 0 / 4 из 4</v>
      </c>
      <c r="I40" s="237"/>
      <c r="J40" s="122"/>
      <c r="K40" s="94"/>
      <c r="L40" s="94"/>
      <c r="M40" s="98"/>
      <c r="N40" s="163">
        <f>VLOOKUP(C40,Спецтехника!$B$16:$J$104,4,0)</f>
        <v>205</v>
      </c>
      <c r="O40" s="166">
        <f>VLOOKUP(C40,Спецтехника!$B$16:$J$104,5,0)</f>
        <v>191</v>
      </c>
      <c r="P40" s="166">
        <f>VLOOKUP(C40,Спецтехника!$B$16:$J$104,6,0)</f>
        <v>14</v>
      </c>
      <c r="Q40" s="169">
        <f>VLOOKUP(C40,Спецтехника!$B$16:$J$104,7,0)</f>
        <v>6.8292682926829273E-2</v>
      </c>
      <c r="R40" s="242"/>
      <c r="S40" s="122"/>
      <c r="T40" s="94"/>
      <c r="U40" s="94"/>
      <c r="V40" s="98"/>
      <c r="W40" s="164">
        <f>VLOOKUP($C40,МНО!$B$16:$AB$104,16,0)</f>
        <v>22879</v>
      </c>
      <c r="X40" s="167">
        <f>VLOOKUP($C40,МНО!$B$16:$AB$104,8,0)</f>
        <v>17046</v>
      </c>
      <c r="Y40" s="167">
        <f>VLOOKUP($C40,МНО!$B$16:$AB$104,11,0)</f>
        <v>5833</v>
      </c>
      <c r="Z40" s="172">
        <f>VLOOKUP($C40,МНО!$B$16:$AB$104,17,0)</f>
        <v>0.25494995410638577</v>
      </c>
      <c r="AA40" s="245"/>
      <c r="AB40" s="95">
        <f>VLOOKUP($C40,МНО!$B$16:$AB$104,13,0)</f>
        <v>15.264296560404564</v>
      </c>
      <c r="AC40" s="154">
        <f>VLOOKUP($C40,МНО!$B$16:$AB$104,18,0)</f>
        <v>1</v>
      </c>
      <c r="AD40" s="163">
        <f>VLOOKUP($C40,Контейнеры!$B$16:$AB$104,16,0)</f>
        <v>41803</v>
      </c>
      <c r="AE40" s="166">
        <f>VLOOKUP($C40,Контейнеры!$B$16:$AB$104,8,0)</f>
        <v>35095</v>
      </c>
      <c r="AF40" s="166">
        <f>VLOOKUP($C40,Контейнеры!$B$16:$AB$104,11,0)</f>
        <v>6708</v>
      </c>
      <c r="AG40" s="173">
        <f>VLOOKUP($C40,Контейнеры!$B$16:$AB$104,17,0)</f>
        <v>0.16046695213262205</v>
      </c>
      <c r="AH40" s="245"/>
      <c r="AI40" s="95">
        <f>VLOOKUP($C40,Контейнеры!$B$16:$AB$104,13,0)</f>
        <v>31.43966710413746</v>
      </c>
      <c r="AJ40" s="154">
        <f>VLOOKUP($C40,Контейнеры!$B$16:$AB$104,18,0)</f>
        <v>1</v>
      </c>
      <c r="AK40" s="135"/>
      <c r="AL40" s="94"/>
      <c r="AM40" s="94"/>
      <c r="AN40" s="116"/>
      <c r="AO40" s="80">
        <f>VLOOKUP($C40,Обработка!$B$16:$L$104,6,0)</f>
        <v>0.53</v>
      </c>
      <c r="AP40" s="74">
        <f t="shared" si="4"/>
        <v>-1.3000000000000012E-2</v>
      </c>
      <c r="AQ40" s="74">
        <f>VLOOKUP($C40,Обработка!$B$16:$L$104,7,0)</f>
        <v>0.629</v>
      </c>
      <c r="AR40" s="179">
        <f t="shared" si="5"/>
        <v>-0.17800000000000005</v>
      </c>
      <c r="AS40" s="180">
        <f>VLOOKUP($C40,Утилизация!$B$16:$L$104,6,0)</f>
        <v>0.03</v>
      </c>
      <c r="AT40" s="76">
        <f t="shared" si="6"/>
        <v>-0.10900000000000001</v>
      </c>
      <c r="AU40" s="74">
        <f>VLOOKUP($C40,Утилизация!$B$16:$L$104,7,0)</f>
        <v>0.21</v>
      </c>
      <c r="AV40" s="186">
        <f t="shared" si="7"/>
        <v>-7.5999999999999984E-2</v>
      </c>
      <c r="AW40" s="160" t="str">
        <f>VLOOKUP(C40,Захоронение!$B$16:$Q$104,16,0)</f>
        <v>перегруз</v>
      </c>
      <c r="AX40" s="135"/>
      <c r="AY40" s="94"/>
      <c r="AZ40" s="94"/>
      <c r="BA40" s="98"/>
      <c r="BB40" s="127" t="str">
        <f>VLOOKUP(C40,'ДК ИП'!$B$16:$S$104,5,0)</f>
        <v>нет</v>
      </c>
      <c r="BC40" s="224">
        <f>VLOOKUP(C40,'Радар олд'!$B$3:$E$87,4,0)</f>
        <v>8.4209394722579323E-2</v>
      </c>
      <c r="BD40" s="98"/>
      <c r="BI40" s="8">
        <f t="shared" si="8"/>
        <v>0</v>
      </c>
      <c r="BJ40" s="8">
        <f>VLOOKUP(C40,Штаб!$B$16:$C$104,2)</f>
        <v>1</v>
      </c>
      <c r="BK40" s="8">
        <f>VLOOKUP(C40,'РО - регионы'!$B$16:$C$104,2)</f>
        <v>0</v>
      </c>
      <c r="BL40" s="8">
        <f>VLOOKUP(C40,'РО - регионы'!$B$16:$L$104,11)</f>
        <v>0</v>
      </c>
      <c r="BM40" s="8">
        <f>VLOOKUP(C40,Спецтехника!$B$16:$C$104,2)</f>
        <v>0</v>
      </c>
      <c r="BN40" s="8">
        <f>VLOOKUP($C40,МНО!$B$16:$AB$104,6,0)</f>
        <v>1</v>
      </c>
      <c r="BO40" s="8">
        <f>VLOOKUP($C40,МНО!$B$16:$AB$104,4,0)</f>
        <v>0</v>
      </c>
      <c r="BP40" s="8">
        <f>VLOOKUP($C40,МНО!$B$16:$AB$104,5,0)</f>
        <v>0</v>
      </c>
      <c r="BQ40" s="8">
        <f>VLOOKUP($C40,Контейнеры!$B$16:$G$104,6,0)</f>
        <v>1</v>
      </c>
      <c r="BR40" s="8">
        <f>VLOOKUP($C40,Контейнеры!$B$16:$G$104,4,0)</f>
        <v>0</v>
      </c>
      <c r="BS40" s="8">
        <f>VLOOKUP($C40,Контейнеры!$B$16:$G$104,5,0)</f>
        <v>0</v>
      </c>
      <c r="BT40" s="8">
        <f>VLOOKUP($C40,'ДК МНО'!$B$16:$C$104,2,0)</f>
        <v>2</v>
      </c>
      <c r="BU40" s="8">
        <f>VLOOKUP($C40,Обработка!$B$16:$F$104,5,0)</f>
        <v>1</v>
      </c>
      <c r="BV40" s="8">
        <f>VLOOKUP($C40,Обработка!$B$16:$F$104,4,0)</f>
        <v>1</v>
      </c>
      <c r="BW40" s="8">
        <f>VLOOKUP($C40,Утилизация!$B$16:$F$104,5,0)</f>
        <v>1</v>
      </c>
      <c r="BX40" s="8">
        <f>VLOOKUP($C40,Утилизация!$B$16:$F$104,4,0)</f>
        <v>2</v>
      </c>
      <c r="BY40" s="8">
        <f>VLOOKUP($C40,Захоронение!$B$16:$C$104,2,0)</f>
        <v>1</v>
      </c>
      <c r="BZ40" s="8">
        <f>VLOOKUP($C40,'ДК ИП'!$B$16:$C$104,2,0)</f>
        <v>0</v>
      </c>
      <c r="CA40" s="8">
        <f t="shared" si="9"/>
        <v>0.6</v>
      </c>
    </row>
    <row r="41" spans="1:79" ht="30" customHeight="1">
      <c r="A41" s="9" t="s">
        <v>659</v>
      </c>
      <c r="B41" s="261">
        <f t="shared" si="3"/>
        <v>31</v>
      </c>
      <c r="C41" s="258" t="s">
        <v>71</v>
      </c>
      <c r="D41" s="227" t="str">
        <f>VLOOKUP($C41,Штаб!$B$16:$J$104,6,0)</f>
        <v/>
      </c>
      <c r="E41" s="228" t="str">
        <f>VLOOKUP($C41,Штаб!$B$16:$J$104,7,0)</f>
        <v/>
      </c>
      <c r="F41" s="228" t="str">
        <f>VLOOKUP($C41,Штаб!$B$16:$J$104,8,0)</f>
        <v/>
      </c>
      <c r="G41" s="229" t="str">
        <f>VLOOKUP($C41,Штаб!$B$16:$J$104,9,0)</f>
        <v>✔️</v>
      </c>
      <c r="H41" s="161" t="str">
        <f>VLOOKUP(C41,'РО - регионы'!$B$16:$I$104,8,0)</f>
        <v>0 / 0 / 2 из 2</v>
      </c>
      <c r="I41" s="237"/>
      <c r="J41" s="122"/>
      <c r="K41" s="94"/>
      <c r="L41" s="94"/>
      <c r="M41" s="98"/>
      <c r="N41" s="163">
        <f>VLOOKUP(C41,Спецтехника!$B$16:$J$104,4,0)</f>
        <v>313</v>
      </c>
      <c r="O41" s="166">
        <f>VLOOKUP(C41,Спецтехника!$B$16:$J$104,5,0)</f>
        <v>303</v>
      </c>
      <c r="P41" s="166">
        <f>VLOOKUP(C41,Спецтехника!$B$16:$J$104,6,0)</f>
        <v>10</v>
      </c>
      <c r="Q41" s="169">
        <f>VLOOKUP(C41,Спецтехника!$B$16:$J$104,7,0)</f>
        <v>3.1948881789137379E-2</v>
      </c>
      <c r="R41" s="242"/>
      <c r="S41" s="122"/>
      <c r="T41" s="94"/>
      <c r="U41" s="94"/>
      <c r="V41" s="98"/>
      <c r="W41" s="164">
        <f>VLOOKUP($C41,МНО!$B$16:$AB$104,16,0)</f>
        <v>15577</v>
      </c>
      <c r="X41" s="167">
        <f>VLOOKUP($C41,МНО!$B$16:$AB$104,8,0)</f>
        <v>12577</v>
      </c>
      <c r="Y41" s="167">
        <f>VLOOKUP($C41,МНО!$B$16:$AB$104,11,0)</f>
        <v>3000</v>
      </c>
      <c r="Z41" s="172">
        <f>VLOOKUP($C41,МНО!$B$16:$AB$104,17,0)</f>
        <v>0.1925916415227579</v>
      </c>
      <c r="AA41" s="245"/>
      <c r="AB41" s="95">
        <f>VLOOKUP($C41,МНО!$B$16:$AB$104,13,0)</f>
        <v>4.6898262299054609</v>
      </c>
      <c r="AC41" s="154">
        <f>VLOOKUP($C41,МНО!$B$16:$AB$104,18,0)</f>
        <v>0.64633331620329926</v>
      </c>
      <c r="AD41" s="164">
        <f>VLOOKUP($C41,Контейнеры!$B$16:$AB$104,16,0)</f>
        <v>32271</v>
      </c>
      <c r="AE41" s="167">
        <f>VLOOKUP($C41,Контейнеры!$B$16:$AB$104,8,0)</f>
        <v>25836</v>
      </c>
      <c r="AF41" s="167">
        <f>VLOOKUP($C41,Контейнеры!$B$16:$AB$104,11,0)</f>
        <v>6435</v>
      </c>
      <c r="AG41" s="172">
        <f>VLOOKUP($C41,Контейнеры!$B$16:$AB$104,17,0)</f>
        <v>0.1994050385795296</v>
      </c>
      <c r="AH41" s="245"/>
      <c r="AI41" s="95">
        <f>VLOOKUP($C41,Контейнеры!$B$16:$AB$104,13,0)</f>
        <v>10.831964104759297</v>
      </c>
      <c r="AJ41" s="154">
        <f>VLOOKUP($C41,Контейнеры!$B$16:$AB$104,18,0)</f>
        <v>0.81894256371243823</v>
      </c>
      <c r="AK41" s="135"/>
      <c r="AL41" s="94"/>
      <c r="AM41" s="94"/>
      <c r="AN41" s="116"/>
      <c r="AO41" s="78">
        <f>VLOOKUP($C41,Обработка!$B$16:$L$104,6,0)</f>
        <v>0.85199999999999998</v>
      </c>
      <c r="AP41" s="75">
        <f t="shared" si="4"/>
        <v>0.30899999999999994</v>
      </c>
      <c r="AQ41" s="75">
        <f>VLOOKUP($C41,Обработка!$B$16:$L$104,7,0)</f>
        <v>0.83099999999999996</v>
      </c>
      <c r="AR41" s="178">
        <f t="shared" si="5"/>
        <v>2.399999999999991E-2</v>
      </c>
      <c r="AS41" s="180">
        <f>VLOOKUP($C41,Утилизация!$B$16:$L$104,6,0)</f>
        <v>0.05</v>
      </c>
      <c r="AT41" s="76">
        <f t="shared" si="6"/>
        <v>-8.900000000000001E-2</v>
      </c>
      <c r="AU41" s="76">
        <f>VLOOKUP($C41,Утилизация!$B$16:$L$104,7,0)</f>
        <v>4.4999999999999998E-2</v>
      </c>
      <c r="AV41" s="184">
        <f t="shared" si="7"/>
        <v>-0.24099999999999999</v>
      </c>
      <c r="AW41" s="161" t="str">
        <f>VLOOKUP(C41,Захоронение!$B$16:$Q$104,16,0)</f>
        <v/>
      </c>
      <c r="AX41" s="135"/>
      <c r="AY41" s="94"/>
      <c r="AZ41" s="94"/>
      <c r="BA41" s="98"/>
      <c r="BB41" s="127" t="str">
        <f>VLOOKUP(C41,'ДК ИП'!$B$16:$S$104,5,0)</f>
        <v>существенное</v>
      </c>
      <c r="BC41" s="224">
        <f>VLOOKUP(C41,'Радар олд'!$B$3:$E$87,4,0)</f>
        <v>7.0854696303774625E-2</v>
      </c>
      <c r="BD41" s="98"/>
      <c r="BI41" s="8">
        <f t="shared" si="8"/>
        <v>0</v>
      </c>
      <c r="BJ41" s="8">
        <f>VLOOKUP(C41,Штаб!$B$16:$C$104,2)</f>
        <v>2</v>
      </c>
      <c r="BK41" s="8">
        <f>VLOOKUP(C41,'РО - регионы'!$B$16:$C$104,2)</f>
        <v>0</v>
      </c>
      <c r="BL41" s="8">
        <f>VLOOKUP(C41,'РО - регионы'!$B$16:$L$104,11)</f>
        <v>0</v>
      </c>
      <c r="BM41" s="8">
        <f>VLOOKUP(C41,Спецтехника!$B$16:$C$104,2)</f>
        <v>0</v>
      </c>
      <c r="BN41" s="8">
        <f>VLOOKUP($C41,МНО!$B$16:$AB$104,6,0)</f>
        <v>1</v>
      </c>
      <c r="BO41" s="8">
        <f>VLOOKUP($C41,МНО!$B$16:$AB$104,4,0)</f>
        <v>1</v>
      </c>
      <c r="BP41" s="8">
        <f>VLOOKUP($C41,МНО!$B$16:$AB$104,5,0)</f>
        <v>2</v>
      </c>
      <c r="BQ41" s="8">
        <f>VLOOKUP($C41,Контейнеры!$B$16:$G$104,6,0)</f>
        <v>1</v>
      </c>
      <c r="BR41" s="8">
        <f>VLOOKUP($C41,Контейнеры!$B$16:$G$104,4,0)</f>
        <v>0</v>
      </c>
      <c r="BS41" s="8">
        <f>VLOOKUP($C41,Контейнеры!$B$16:$G$104,5,0)</f>
        <v>1</v>
      </c>
      <c r="BT41" s="8">
        <f>VLOOKUP($C41,'ДК МНО'!$B$16:$C$104,2,0)</f>
        <v>2</v>
      </c>
      <c r="BU41" s="8">
        <f>VLOOKUP($C41,Обработка!$B$16:$F$104,5,0)</f>
        <v>0</v>
      </c>
      <c r="BV41" s="8">
        <f>VLOOKUP($C41,Обработка!$B$16:$F$104,4,0)</f>
        <v>0</v>
      </c>
      <c r="BW41" s="8">
        <f>VLOOKUP($C41,Утилизация!$B$16:$F$104,5,0)</f>
        <v>2</v>
      </c>
      <c r="BX41" s="8">
        <f>VLOOKUP($C41,Утилизация!$B$16:$F$104,4,0)</f>
        <v>2</v>
      </c>
      <c r="BY41" s="8">
        <f>VLOOKUP($C41,Захоронение!$B$16:$C$104,2,0)</f>
        <v>0</v>
      </c>
      <c r="BZ41" s="8">
        <f>VLOOKUP($C41,'ДК ИП'!$B$16:$C$104,2,0)</f>
        <v>2</v>
      </c>
      <c r="CA41" s="8">
        <f t="shared" si="9"/>
        <v>0.55000000000000004</v>
      </c>
    </row>
    <row r="42" spans="1:79" ht="30" customHeight="1">
      <c r="A42" s="9" t="s">
        <v>657</v>
      </c>
      <c r="B42" s="261">
        <f t="shared" si="3"/>
        <v>32</v>
      </c>
      <c r="C42" s="258" t="s">
        <v>74</v>
      </c>
      <c r="D42" s="227" t="str">
        <f>VLOOKUP($C42,Штаб!$B$16:$J$104,6,0)</f>
        <v/>
      </c>
      <c r="E42" s="228" t="str">
        <f>VLOOKUP($C42,Штаб!$B$16:$J$104,7,0)</f>
        <v/>
      </c>
      <c r="F42" s="228" t="str">
        <f>VLOOKUP($C42,Штаб!$B$16:$J$104,8,0)</f>
        <v/>
      </c>
      <c r="G42" s="229" t="str">
        <f>VLOOKUP($C42,Штаб!$B$16:$J$104,9,0)</f>
        <v>✔️</v>
      </c>
      <c r="H42" s="161" t="str">
        <f>VLOOKUP(C42,'РО - регионы'!$B$16:$I$104,8,0)</f>
        <v>0 / 0 / 1 из 1</v>
      </c>
      <c r="I42" s="237"/>
      <c r="J42" s="122"/>
      <c r="K42" s="94"/>
      <c r="L42" s="94"/>
      <c r="M42" s="98"/>
      <c r="N42" s="163">
        <f>VLOOKUP(C42,Спецтехника!$B$16:$J$104,4,0)</f>
        <v>113</v>
      </c>
      <c r="O42" s="166">
        <f>VLOOKUP(C42,Спецтехника!$B$16:$J$104,5,0)</f>
        <v>107</v>
      </c>
      <c r="P42" s="166">
        <f>VLOOKUP(C42,Спецтехника!$B$16:$J$104,6,0)</f>
        <v>6</v>
      </c>
      <c r="Q42" s="169">
        <f>VLOOKUP(C42,Спецтехника!$B$16:$J$104,7,0)</f>
        <v>5.3097345132743362E-2</v>
      </c>
      <c r="R42" s="242"/>
      <c r="S42" s="122"/>
      <c r="T42" s="94"/>
      <c r="U42" s="94"/>
      <c r="V42" s="98"/>
      <c r="W42" s="164">
        <f>VLOOKUP($C42,МНО!$B$16:$AB$104,16,0)</f>
        <v>7409</v>
      </c>
      <c r="X42" s="167">
        <f>VLOOKUP($C42,МНО!$B$16:$AB$104,8,0)</f>
        <v>6089</v>
      </c>
      <c r="Y42" s="167">
        <f>VLOOKUP($C42,МНО!$B$16:$AB$104,11,0)</f>
        <v>1320</v>
      </c>
      <c r="Z42" s="172">
        <f>VLOOKUP($C42,МНО!$B$16:$AB$104,17,0)</f>
        <v>0.17816169523552436</v>
      </c>
      <c r="AA42" s="245"/>
      <c r="AB42" s="95">
        <f>VLOOKUP($C42,МНО!$B$16:$AB$104,13,0)</f>
        <v>6.3565771244243257</v>
      </c>
      <c r="AC42" s="154">
        <f>VLOOKUP($C42,МНО!$B$16:$AB$104,18,0)</f>
        <v>0.76370249592374262</v>
      </c>
      <c r="AD42" s="164">
        <f>VLOOKUP($C42,Контейнеры!$B$16:$AB$104,16,0)</f>
        <v>16732</v>
      </c>
      <c r="AE42" s="167">
        <f>VLOOKUP($C42,Контейнеры!$B$16:$AB$104,8,0)</f>
        <v>12460</v>
      </c>
      <c r="AF42" s="167">
        <f>VLOOKUP($C42,Контейнеры!$B$16:$AB$104,11,0)</f>
        <v>4272</v>
      </c>
      <c r="AG42" s="172">
        <f>VLOOKUP($C42,Контейнеры!$B$16:$AB$104,17,0)</f>
        <v>0.25531914893617019</v>
      </c>
      <c r="AH42" s="245"/>
      <c r="AI42" s="95">
        <f>VLOOKUP($C42,Контейнеры!$B$16:$AB$104,13,0)</f>
        <v>14.421513286658248</v>
      </c>
      <c r="AJ42" s="154">
        <f>VLOOKUP($C42,Контейнеры!$B$16:$AB$104,18,0)</f>
        <v>0.67314964883846573</v>
      </c>
      <c r="AK42" s="135"/>
      <c r="AL42" s="94"/>
      <c r="AM42" s="94"/>
      <c r="AN42" s="116"/>
      <c r="AO42" s="78">
        <f>VLOOKUP($C42,Обработка!$B$16:$L$104,6,0)</f>
        <v>0.59799999999999998</v>
      </c>
      <c r="AP42" s="75">
        <f t="shared" si="4"/>
        <v>5.4999999999999938E-2</v>
      </c>
      <c r="AQ42" s="74">
        <f>VLOOKUP($C42,Обработка!$B$16:$L$104,7,0)</f>
        <v>0.55000000000000004</v>
      </c>
      <c r="AR42" s="179">
        <f t="shared" si="5"/>
        <v>-0.25700000000000001</v>
      </c>
      <c r="AS42" s="180">
        <f>VLOOKUP($C42,Утилизация!$B$16:$L$104,6,0)</f>
        <v>1.3999999999999999E-2</v>
      </c>
      <c r="AT42" s="76">
        <f t="shared" si="6"/>
        <v>-0.125</v>
      </c>
      <c r="AU42" s="76">
        <f>VLOOKUP($C42,Утилизация!$B$16:$L$104,7,0)</f>
        <v>1.3999999999999999E-2</v>
      </c>
      <c r="AV42" s="184">
        <f t="shared" si="7"/>
        <v>-0.27199999999999996</v>
      </c>
      <c r="AW42" s="161" t="str">
        <f>VLOOKUP(C42,Захоронение!$B$16:$Q$104,16,0)</f>
        <v/>
      </c>
      <c r="AX42" s="135"/>
      <c r="AY42" s="94"/>
      <c r="AZ42" s="94"/>
      <c r="BA42" s="98"/>
      <c r="BB42" s="127" t="str">
        <f>VLOOKUP(C42,'ДК ИП'!$B$16:$S$104,5,0)</f>
        <v>существенное</v>
      </c>
      <c r="BC42" s="224">
        <f>VLOOKUP(C42,'Радар олд'!$B$3:$E$87,4,0)</f>
        <v>5.9028665940575493E-2</v>
      </c>
      <c r="BD42" s="98"/>
      <c r="BI42" s="8">
        <f t="shared" si="8"/>
        <v>0</v>
      </c>
      <c r="BJ42" s="8">
        <f>VLOOKUP(C42,Штаб!$B$16:$C$104,2)</f>
        <v>2</v>
      </c>
      <c r="BK42" s="8">
        <f>VLOOKUP(C42,'РО - регионы'!$B$16:$C$104,2)</f>
        <v>0</v>
      </c>
      <c r="BL42" s="8">
        <f>VLOOKUP(C42,'РО - регионы'!$B$16:$L$104,11)</f>
        <v>0</v>
      </c>
      <c r="BM42" s="8">
        <f>VLOOKUP(C42,Спецтехника!$B$16:$C$104,2)</f>
        <v>0</v>
      </c>
      <c r="BN42" s="8">
        <f>VLOOKUP($C42,МНО!$B$16:$AB$104,6,0)</f>
        <v>0</v>
      </c>
      <c r="BO42" s="8">
        <f>VLOOKUP($C42,МНО!$B$16:$AB$104,4,0)</f>
        <v>0</v>
      </c>
      <c r="BP42" s="8">
        <f>VLOOKUP($C42,МНО!$B$16:$AB$104,5,0)</f>
        <v>1</v>
      </c>
      <c r="BQ42" s="8">
        <f>VLOOKUP($C42,Контейнеры!$B$16:$G$104,6,0)</f>
        <v>1</v>
      </c>
      <c r="BR42" s="8">
        <f>VLOOKUP($C42,Контейнеры!$B$16:$G$104,4,0)</f>
        <v>0</v>
      </c>
      <c r="BS42" s="8">
        <f>VLOOKUP($C42,Контейнеры!$B$16:$G$104,5,0)</f>
        <v>2</v>
      </c>
      <c r="BT42" s="8">
        <f>VLOOKUP($C42,'ДК МНО'!$B$16:$C$104,2,0)</f>
        <v>2</v>
      </c>
      <c r="BU42" s="8">
        <f>VLOOKUP($C42,Обработка!$B$16:$F$104,5,0)</f>
        <v>1</v>
      </c>
      <c r="BV42" s="8">
        <f>VLOOKUP($C42,Обработка!$B$16:$F$104,4,0)</f>
        <v>0</v>
      </c>
      <c r="BW42" s="8">
        <f>VLOOKUP($C42,Утилизация!$B$16:$F$104,5,0)</f>
        <v>2</v>
      </c>
      <c r="BX42" s="8">
        <f>VLOOKUP($C42,Утилизация!$B$16:$F$104,4,0)</f>
        <v>2</v>
      </c>
      <c r="BY42" s="8">
        <f>VLOOKUP($C42,Захоронение!$B$16:$C$104,2,0)</f>
        <v>0</v>
      </c>
      <c r="BZ42" s="8">
        <f>VLOOKUP($C42,'ДК ИП'!$B$16:$C$104,2,0)</f>
        <v>2</v>
      </c>
      <c r="CA42" s="8">
        <f t="shared" si="9"/>
        <v>0.5</v>
      </c>
    </row>
    <row r="43" spans="1:79" ht="30" customHeight="1">
      <c r="A43" s="9" t="s">
        <v>658</v>
      </c>
      <c r="B43" s="261">
        <f t="shared" si="3"/>
        <v>33</v>
      </c>
      <c r="C43" s="258" t="s">
        <v>75</v>
      </c>
      <c r="D43" s="227" t="str">
        <f>VLOOKUP($C43,Штаб!$B$16:$J$104,6,0)</f>
        <v/>
      </c>
      <c r="E43" s="228" t="str">
        <f>VLOOKUP($C43,Штаб!$B$16:$J$104,7,0)</f>
        <v/>
      </c>
      <c r="F43" s="228" t="str">
        <f>VLOOKUP($C43,Штаб!$B$16:$J$104,8,0)</f>
        <v>✔️</v>
      </c>
      <c r="G43" s="229" t="str">
        <f>VLOOKUP($C43,Штаб!$B$16:$J$104,9,0)</f>
        <v/>
      </c>
      <c r="H43" s="160" t="str">
        <f>VLOOKUP(C43,'РО - регионы'!$B$16:$I$104,8,0)</f>
        <v>0 / 1 / 3 из 4</v>
      </c>
      <c r="I43" s="237"/>
      <c r="J43" s="122"/>
      <c r="K43" s="94"/>
      <c r="L43" s="94"/>
      <c r="M43" s="98"/>
      <c r="N43" s="164">
        <f>VLOOKUP(C43,Спецтехника!$B$16:$J$104,4,0)</f>
        <v>783</v>
      </c>
      <c r="O43" s="167">
        <f>VLOOKUP(C43,Спецтехника!$B$16:$J$104,5,0)</f>
        <v>679</v>
      </c>
      <c r="P43" s="167">
        <f>VLOOKUP(C43,Спецтехника!$B$16:$J$104,6,0)</f>
        <v>104</v>
      </c>
      <c r="Q43" s="170">
        <f>VLOOKUP(C43,Спецтехника!$B$16:$J$104,7,0)</f>
        <v>0.13282247765006386</v>
      </c>
      <c r="R43" s="242"/>
      <c r="S43" s="122"/>
      <c r="T43" s="94"/>
      <c r="U43" s="94"/>
      <c r="V43" s="98"/>
      <c r="W43" s="165">
        <f>VLOOKUP($C43,МНО!$B$16:$AB$104,16,0)</f>
        <v>12598</v>
      </c>
      <c r="X43" s="168">
        <f>VLOOKUP($C43,МНО!$B$16:$AB$104,8,0)</f>
        <v>10544</v>
      </c>
      <c r="Y43" s="168">
        <f>VLOOKUP($C43,МНО!$B$16:$AB$104,11,0)</f>
        <v>2054</v>
      </c>
      <c r="Z43" s="174">
        <f>VLOOKUP($C43,МНО!$B$16:$AB$104,17,0)</f>
        <v>0.16304175265915224</v>
      </c>
      <c r="AA43" s="245"/>
      <c r="AB43" s="95">
        <f>VLOOKUP($C43,МНО!$B$16:$AB$104,13,0)</f>
        <v>3.5279345055694384</v>
      </c>
      <c r="AC43" s="154">
        <f>VLOOKUP($C43,МНО!$B$16:$AB$104,18,0)</f>
        <v>0.72492265383293231</v>
      </c>
      <c r="AD43" s="165">
        <f>VLOOKUP($C43,Контейнеры!$B$16:$AB$104,16,0)</f>
        <v>23360</v>
      </c>
      <c r="AE43" s="168">
        <f>VLOOKUP($C43,Контейнеры!$B$16:$AB$104,8,0)</f>
        <v>19550</v>
      </c>
      <c r="AF43" s="168">
        <f>VLOOKUP($C43,Контейнеры!$B$16:$AB$104,11,0)</f>
        <v>3810</v>
      </c>
      <c r="AG43" s="174">
        <f>VLOOKUP($C43,Контейнеры!$B$16:$AB$104,17,0)</f>
        <v>0.16309931506849315</v>
      </c>
      <c r="AH43" s="245"/>
      <c r="AI43" s="95">
        <f>VLOOKUP($C43,Контейнеры!$B$16:$AB$104,13,0)</f>
        <v>6.7738282836262531</v>
      </c>
      <c r="AJ43" s="154">
        <f>VLOOKUP($C43,Контейнеры!$B$16:$AB$104,18,0)</f>
        <v>0.73226458910779835</v>
      </c>
      <c r="AK43" s="135"/>
      <c r="AL43" s="94"/>
      <c r="AM43" s="94"/>
      <c r="AN43" s="116"/>
      <c r="AO43" s="78">
        <f>VLOOKUP($C43,Обработка!$B$16:$L$104,6,0)</f>
        <v>0.94799999999999995</v>
      </c>
      <c r="AP43" s="75">
        <f t="shared" si="4"/>
        <v>0.40499999999999992</v>
      </c>
      <c r="AQ43" s="75">
        <f>VLOOKUP($C43,Обработка!$B$16:$L$104,7,0)</f>
        <v>0.9</v>
      </c>
      <c r="AR43" s="178">
        <f t="shared" si="5"/>
        <v>9.2999999999999972E-2</v>
      </c>
      <c r="AS43" s="182">
        <f>VLOOKUP($C43,Утилизация!$B$16:$L$104,6,0)</f>
        <v>0.38500000000000001</v>
      </c>
      <c r="AT43" s="75">
        <f t="shared" si="6"/>
        <v>0.246</v>
      </c>
      <c r="AU43" s="74">
        <f>VLOOKUP($C43,Утилизация!$B$16:$L$104,7,0)</f>
        <v>0.15</v>
      </c>
      <c r="AV43" s="186">
        <f t="shared" si="7"/>
        <v>-0.13599999999999998</v>
      </c>
      <c r="AW43" s="161" t="str">
        <f>VLOOKUP(C43,Захоронение!$B$16:$Q$104,16,0)</f>
        <v/>
      </c>
      <c r="AX43" s="135"/>
      <c r="AY43" s="94"/>
      <c r="AZ43" s="94"/>
      <c r="BA43" s="98"/>
      <c r="BB43" s="127" t="str">
        <f>VLOOKUP(C43,'ДК ИП'!$B$16:$S$104,5,0)</f>
        <v>не подписана</v>
      </c>
      <c r="BC43" s="224">
        <f>VLOOKUP(C43,'Радар олд'!$B$3:$E$87,4,0)</f>
        <v>1.7670856392068487E-2</v>
      </c>
      <c r="BD43" s="98"/>
      <c r="BI43" s="8">
        <f t="shared" si="8"/>
        <v>0</v>
      </c>
      <c r="BJ43" s="8">
        <f>VLOOKUP(C43,Штаб!$B$16:$C$104,2)</f>
        <v>1</v>
      </c>
      <c r="BK43" s="8">
        <f>VLOOKUP(C43,'РО - регионы'!$B$16:$C$104,2)</f>
        <v>1</v>
      </c>
      <c r="BL43" s="8">
        <f>VLOOKUP(C43,'РО - регионы'!$B$16:$L$104,11)</f>
        <v>2</v>
      </c>
      <c r="BM43" s="8">
        <f>VLOOKUP(C43,Спецтехника!$B$16:$C$104,2)</f>
        <v>1</v>
      </c>
      <c r="BN43" s="8">
        <f>VLOOKUP($C43,МНО!$B$16:$AB$104,6,0)</f>
        <v>0</v>
      </c>
      <c r="BO43" s="8">
        <f>VLOOKUP($C43,МНО!$B$16:$AB$104,4,0)</f>
        <v>1</v>
      </c>
      <c r="BP43" s="8">
        <f>VLOOKUP($C43,МНО!$B$16:$AB$104,5,0)</f>
        <v>1</v>
      </c>
      <c r="BQ43" s="8">
        <f>VLOOKUP($C43,Контейнеры!$B$16:$G$104,6,0)</f>
        <v>1</v>
      </c>
      <c r="BR43" s="8">
        <f>VLOOKUP($C43,Контейнеры!$B$16:$G$104,4,0)</f>
        <v>0</v>
      </c>
      <c r="BS43" s="8">
        <f>VLOOKUP($C43,Контейнеры!$B$16:$G$104,5,0)</f>
        <v>2</v>
      </c>
      <c r="BT43" s="8">
        <f>VLOOKUP($C43,'ДК МНО'!$B$16:$C$104,2,0)</f>
        <v>2</v>
      </c>
      <c r="BU43" s="8">
        <f>VLOOKUP($C43,Обработка!$B$16:$F$104,5,0)</f>
        <v>0</v>
      </c>
      <c r="BV43" s="8">
        <f>VLOOKUP($C43,Обработка!$B$16:$F$104,4,0)</f>
        <v>0</v>
      </c>
      <c r="BW43" s="8">
        <f>VLOOKUP($C43,Утилизация!$B$16:$F$104,5,0)</f>
        <v>1</v>
      </c>
      <c r="BX43" s="8">
        <f>VLOOKUP($C43,Утилизация!$B$16:$F$104,4,0)</f>
        <v>0</v>
      </c>
      <c r="BY43" s="8">
        <f>VLOOKUP($C43,Захоронение!$B$16:$C$104,2,0)</f>
        <v>0</v>
      </c>
      <c r="BZ43" s="8">
        <f>VLOOKUP($C43,'ДК ИП'!$B$16:$C$104,2,0)</f>
        <v>0</v>
      </c>
      <c r="CA43" s="8">
        <f t="shared" si="9"/>
        <v>0.39999999999999997</v>
      </c>
    </row>
    <row r="44" spans="1:79" ht="30" customHeight="1">
      <c r="A44" s="9" t="s">
        <v>657</v>
      </c>
      <c r="B44" s="261">
        <f t="shared" si="3"/>
        <v>34</v>
      </c>
      <c r="C44" s="258" t="s">
        <v>11</v>
      </c>
      <c r="D44" s="227" t="str">
        <f>VLOOKUP($C44,Штаб!$B$16:$J$104,6,0)</f>
        <v/>
      </c>
      <c r="E44" s="228" t="str">
        <f>VLOOKUP($C44,Штаб!$B$16:$J$104,7,0)</f>
        <v/>
      </c>
      <c r="F44" s="228" t="str">
        <f>VLOOKUP($C44,Штаб!$B$16:$J$104,8,0)</f>
        <v/>
      </c>
      <c r="G44" s="229" t="str">
        <f>VLOOKUP($C44,Штаб!$B$16:$J$104,9,0)</f>
        <v>✔️</v>
      </c>
      <c r="H44" s="161" t="str">
        <f>VLOOKUP(C44,'РО - регионы'!$B$16:$I$104,8,0)</f>
        <v>0 / 0 / 1 из 1</v>
      </c>
      <c r="I44" s="237"/>
      <c r="J44" s="122"/>
      <c r="K44" s="94"/>
      <c r="L44" s="94"/>
      <c r="M44" s="98"/>
      <c r="N44" s="163">
        <f>VLOOKUP(C44,Спецтехника!$B$16:$J$104,4,0)</f>
        <v>242</v>
      </c>
      <c r="O44" s="166">
        <f>VLOOKUP(C44,Спецтехника!$B$16:$J$104,5,0)</f>
        <v>223</v>
      </c>
      <c r="P44" s="166">
        <f>VLOOKUP(C44,Спецтехника!$B$16:$J$104,6,0)</f>
        <v>19</v>
      </c>
      <c r="Q44" s="169">
        <f>VLOOKUP(C44,Спецтехника!$B$16:$J$104,7,0)</f>
        <v>7.8512396694214878E-2</v>
      </c>
      <c r="R44" s="242"/>
      <c r="S44" s="122"/>
      <c r="T44" s="94"/>
      <c r="U44" s="94"/>
      <c r="V44" s="98"/>
      <c r="W44" s="163">
        <f>VLOOKUP($C44,МНО!$B$16:$AB$104,16,0)</f>
        <v>25727</v>
      </c>
      <c r="X44" s="166">
        <f>VLOOKUP($C44,МНО!$B$16:$AB$104,8,0)</f>
        <v>23354</v>
      </c>
      <c r="Y44" s="166">
        <f>VLOOKUP($C44,МНО!$B$16:$AB$104,11,0)</f>
        <v>2373</v>
      </c>
      <c r="Z44" s="173">
        <f>VLOOKUP($C44,МНО!$B$16:$AB$104,17,0)</f>
        <v>9.2237726901698611E-2</v>
      </c>
      <c r="AA44" s="245"/>
      <c r="AB44" s="95">
        <f>VLOOKUP($C44,МНО!$B$16:$AB$104,13,0)</f>
        <v>15.232641126331831</v>
      </c>
      <c r="AC44" s="154">
        <f>VLOOKUP($C44,МНО!$B$16:$AB$104,18,0)</f>
        <v>1</v>
      </c>
      <c r="AD44" s="164">
        <f>VLOOKUP($C44,Контейнеры!$B$16:$AB$104,16,0)</f>
        <v>44882</v>
      </c>
      <c r="AE44" s="167">
        <f>VLOOKUP($C44,Контейнеры!$B$16:$AB$104,8,0)</f>
        <v>35519</v>
      </c>
      <c r="AF44" s="167">
        <f>VLOOKUP($C44,Контейнеры!$B$16:$AB$104,11,0)</f>
        <v>9363</v>
      </c>
      <c r="AG44" s="172">
        <f>VLOOKUP($C44,Контейнеры!$B$16:$AB$104,17,0)</f>
        <v>0.20861369814179404</v>
      </c>
      <c r="AH44" s="245"/>
      <c r="AI44" s="95">
        <f>VLOOKUP($C44,Контейнеры!$B$16:$AB$104,13,0)</f>
        <v>23.668934781319408</v>
      </c>
      <c r="AJ44" s="154">
        <f>VLOOKUP($C44,Контейнеры!$B$16:$AB$104,18,0)</f>
        <v>1</v>
      </c>
      <c r="AK44" s="135"/>
      <c r="AL44" s="94"/>
      <c r="AM44" s="94"/>
      <c r="AN44" s="116"/>
      <c r="AO44" s="78">
        <f>VLOOKUP($C44,Обработка!$B$16:$L$104,6,0)</f>
        <v>0.67299999999999993</v>
      </c>
      <c r="AP44" s="75">
        <f t="shared" si="4"/>
        <v>0.12999999999999989</v>
      </c>
      <c r="AQ44" s="76">
        <f>VLOOKUP($C44,Обработка!$B$16:$L$104,7,0)</f>
        <v>0.32</v>
      </c>
      <c r="AR44" s="177">
        <f t="shared" si="5"/>
        <v>-0.48700000000000004</v>
      </c>
      <c r="AS44" s="180">
        <f>VLOOKUP($C44,Утилизация!$B$16:$L$104,6,0)</f>
        <v>6.4000000000000001E-2</v>
      </c>
      <c r="AT44" s="76">
        <f t="shared" si="6"/>
        <v>-7.5000000000000011E-2</v>
      </c>
      <c r="AU44" s="76">
        <f>VLOOKUP($C44,Утилизация!$B$16:$L$104,7,0)</f>
        <v>4.5999999999999999E-2</v>
      </c>
      <c r="AV44" s="184">
        <f t="shared" si="7"/>
        <v>-0.24</v>
      </c>
      <c r="AW44" s="160" t="str">
        <f>VLOOKUP(C44,Захоронение!$B$16:$Q$104,16,0)</f>
        <v>перегруз</v>
      </c>
      <c r="AX44" s="135"/>
      <c r="AY44" s="94"/>
      <c r="AZ44" s="94"/>
      <c r="BA44" s="98"/>
      <c r="BB44" s="127" t="str">
        <f>VLOOKUP(C44,'ДК ИП'!$B$16:$S$104,5,0)</f>
        <v>не подписана</v>
      </c>
      <c r="BC44" s="224">
        <f>VLOOKUP(C44,'Радар олд'!$B$3:$E$87,4,0)</f>
        <v>0.29786913615951394</v>
      </c>
      <c r="BD44" s="98"/>
      <c r="BI44" s="8">
        <f t="shared" si="8"/>
        <v>0</v>
      </c>
      <c r="BJ44" s="8">
        <f>VLOOKUP(C44,Штаб!$B$16:$C$104,2)</f>
        <v>2</v>
      </c>
      <c r="BK44" s="8">
        <f>VLOOKUP(C44,'РО - регионы'!$B$16:$C$104,2)</f>
        <v>0</v>
      </c>
      <c r="BL44" s="8">
        <f>VLOOKUP(C44,'РО - регионы'!$B$16:$L$104,11)</f>
        <v>0</v>
      </c>
      <c r="BM44" s="8">
        <f>VLOOKUP(C44,Спецтехника!$B$16:$C$104,2)</f>
        <v>0</v>
      </c>
      <c r="BN44" s="8">
        <f>VLOOKUP($C44,МНО!$B$16:$AB$104,6,0)</f>
        <v>0</v>
      </c>
      <c r="BO44" s="8">
        <f>VLOOKUP($C44,МНО!$B$16:$AB$104,4,0)</f>
        <v>0</v>
      </c>
      <c r="BP44" s="8">
        <f>VLOOKUP($C44,МНО!$B$16:$AB$104,5,0)</f>
        <v>0</v>
      </c>
      <c r="BQ44" s="8">
        <f>VLOOKUP($C44,Контейнеры!$B$16:$G$104,6,0)</f>
        <v>1</v>
      </c>
      <c r="BR44" s="8">
        <f>VLOOKUP($C44,Контейнеры!$B$16:$G$104,4,0)</f>
        <v>0</v>
      </c>
      <c r="BS44" s="8">
        <f>VLOOKUP($C44,Контейнеры!$B$16:$G$104,5,0)</f>
        <v>0</v>
      </c>
      <c r="BT44" s="8">
        <f>VLOOKUP($C44,'ДК МНО'!$B$16:$C$104,2,0)</f>
        <v>2</v>
      </c>
      <c r="BU44" s="8">
        <f>VLOOKUP($C44,Обработка!$B$16:$F$104,5,0)</f>
        <v>2</v>
      </c>
      <c r="BV44" s="8">
        <f>VLOOKUP($C44,Обработка!$B$16:$F$104,4,0)</f>
        <v>0</v>
      </c>
      <c r="BW44" s="8">
        <f>VLOOKUP($C44,Утилизация!$B$16:$F$104,5,0)</f>
        <v>2</v>
      </c>
      <c r="BX44" s="8">
        <f>VLOOKUP($C44,Утилизация!$B$16:$F$104,4,0)</f>
        <v>2</v>
      </c>
      <c r="BY44" s="8">
        <f>VLOOKUP($C44,Захоронение!$B$16:$C$104,2,0)</f>
        <v>1</v>
      </c>
      <c r="BZ44" s="8">
        <f>VLOOKUP($C44,'ДК ИП'!$B$16:$C$104,2,0)</f>
        <v>0</v>
      </c>
      <c r="CA44" s="8">
        <f t="shared" si="9"/>
        <v>0.6</v>
      </c>
    </row>
    <row r="45" spans="1:79" ht="30" customHeight="1">
      <c r="A45" s="9" t="s">
        <v>655</v>
      </c>
      <c r="B45" s="261">
        <f t="shared" si="3"/>
        <v>35</v>
      </c>
      <c r="C45" s="258" t="s">
        <v>15</v>
      </c>
      <c r="D45" s="227" t="str">
        <f>VLOOKUP($C45,Штаб!$B$16:$J$104,6,0)</f>
        <v/>
      </c>
      <c r="E45" s="228" t="str">
        <f>VLOOKUP($C45,Штаб!$B$16:$J$104,7,0)</f>
        <v/>
      </c>
      <c r="F45" s="228" t="str">
        <f>VLOOKUP($C45,Штаб!$B$16:$J$104,8,0)</f>
        <v>✔️</v>
      </c>
      <c r="G45" s="229" t="str">
        <f>VLOOKUP($C45,Штаб!$B$16:$J$104,9,0)</f>
        <v/>
      </c>
      <c r="H45" s="160" t="str">
        <f>VLOOKUP(C45,'РО - регионы'!$B$16:$I$104,8,0)</f>
        <v>0 / 2 / 0 из 2</v>
      </c>
      <c r="I45" s="237"/>
      <c r="J45" s="122"/>
      <c r="K45" s="94"/>
      <c r="L45" s="94"/>
      <c r="M45" s="98"/>
      <c r="N45" s="163">
        <f>VLOOKUP(C45,Спецтехника!$B$16:$J$104,4,0)</f>
        <v>212</v>
      </c>
      <c r="O45" s="166">
        <f>VLOOKUP(C45,Спецтехника!$B$16:$J$104,5,0)</f>
        <v>203</v>
      </c>
      <c r="P45" s="166">
        <f>VLOOKUP(C45,Спецтехника!$B$16:$J$104,6,0)</f>
        <v>9</v>
      </c>
      <c r="Q45" s="169">
        <f>VLOOKUP(C45,Спецтехника!$B$16:$J$104,7,0)</f>
        <v>4.2452830188679243E-2</v>
      </c>
      <c r="R45" s="242"/>
      <c r="S45" s="122"/>
      <c r="T45" s="94"/>
      <c r="U45" s="94"/>
      <c r="V45" s="98"/>
      <c r="W45" s="164">
        <f>VLOOKUP($C45,МНО!$B$16:$AB$104,16,0)</f>
        <v>20214</v>
      </c>
      <c r="X45" s="167">
        <f>VLOOKUP($C45,МНО!$B$16:$AB$104,8,0)</f>
        <v>14936</v>
      </c>
      <c r="Y45" s="167">
        <f>VLOOKUP($C45,МНО!$B$16:$AB$104,11,0)</f>
        <v>5278</v>
      </c>
      <c r="Z45" s="172">
        <f>VLOOKUP($C45,МНО!$B$16:$AB$104,17,0)</f>
        <v>0.26110616404472148</v>
      </c>
      <c r="AA45" s="245"/>
      <c r="AB45" s="95">
        <f>VLOOKUP($C45,МНО!$B$16:$AB$104,13,0)</f>
        <v>12.840852442116285</v>
      </c>
      <c r="AC45" s="154">
        <f>VLOOKUP($C45,МНО!$B$16:$AB$104,18,0)</f>
        <v>1</v>
      </c>
      <c r="AD45" s="163">
        <f>VLOOKUP($C45,Контейнеры!$B$16:$AB$104,16,0)</f>
        <v>34913</v>
      </c>
      <c r="AE45" s="166">
        <f>VLOOKUP($C45,Контейнеры!$B$16:$AB$104,8,0)</f>
        <v>31272</v>
      </c>
      <c r="AF45" s="166">
        <f>VLOOKUP($C45,Контейнеры!$B$16:$AB$104,11,0)</f>
        <v>3641</v>
      </c>
      <c r="AG45" s="173">
        <f>VLOOKUP($C45,Контейнеры!$B$16:$AB$104,17,0)</f>
        <v>0.10428780110560536</v>
      </c>
      <c r="AH45" s="245"/>
      <c r="AI45" s="95">
        <f>VLOOKUP($C45,Контейнеры!$B$16:$AB$104,13,0)</f>
        <v>27.887987885954612</v>
      </c>
      <c r="AJ45" s="154">
        <f>VLOOKUP($C45,Контейнеры!$B$16:$AB$104,18,0)</f>
        <v>1</v>
      </c>
      <c r="AK45" s="135"/>
      <c r="AL45" s="94"/>
      <c r="AM45" s="94"/>
      <c r="AN45" s="116"/>
      <c r="AO45" s="78">
        <f>VLOOKUP($C45,Обработка!$B$16:$L$104,6,0)</f>
        <v>0.56000000000000005</v>
      </c>
      <c r="AP45" s="75">
        <f t="shared" si="4"/>
        <v>1.7000000000000015E-2</v>
      </c>
      <c r="AQ45" s="74">
        <f>VLOOKUP($C45,Обработка!$B$16:$L$104,7,0)</f>
        <v>0.7</v>
      </c>
      <c r="AR45" s="179">
        <f t="shared" si="5"/>
        <v>-0.1070000000000001</v>
      </c>
      <c r="AS45" s="180">
        <f>VLOOKUP($C45,Утилизация!$B$16:$L$104,6,0)</f>
        <v>6.3E-2</v>
      </c>
      <c r="AT45" s="76">
        <f t="shared" si="6"/>
        <v>-7.6000000000000012E-2</v>
      </c>
      <c r="AU45" s="76">
        <f>VLOOKUP($C45,Утилизация!$B$16:$L$104,7,0)</f>
        <v>9.9000000000000005E-2</v>
      </c>
      <c r="AV45" s="184">
        <f t="shared" si="7"/>
        <v>-0.18699999999999997</v>
      </c>
      <c r="AW45" s="161" t="str">
        <f>VLOOKUP(C45,Захоронение!$B$16:$Q$104,16,0)</f>
        <v/>
      </c>
      <c r="AX45" s="135"/>
      <c r="AY45" s="94"/>
      <c r="AZ45" s="94"/>
      <c r="BA45" s="98"/>
      <c r="BB45" s="127" t="str">
        <f>VLOOKUP(C45,'ДК ИП'!$B$16:$S$104,5,0)</f>
        <v>среднее</v>
      </c>
      <c r="BC45" s="224">
        <f>VLOOKUP(C45,'Радар олд'!$B$3:$E$87,4,0)</f>
        <v>5.1723692037137607E-2</v>
      </c>
      <c r="BD45" s="98"/>
      <c r="BI45" s="8">
        <f t="shared" si="8"/>
        <v>0</v>
      </c>
      <c r="BJ45" s="8">
        <f>VLOOKUP(C45,Штаб!$B$16:$C$104,2)</f>
        <v>1</v>
      </c>
      <c r="BK45" s="8">
        <f>VLOOKUP(C45,'РО - регионы'!$B$16:$C$104,2)</f>
        <v>1</v>
      </c>
      <c r="BL45" s="8">
        <f>VLOOKUP(C45,'РО - регионы'!$B$16:$L$104,11)</f>
        <v>2</v>
      </c>
      <c r="BM45" s="8">
        <f>VLOOKUP(C45,Спецтехника!$B$16:$C$104,2)</f>
        <v>0</v>
      </c>
      <c r="BN45" s="8">
        <f>VLOOKUP($C45,МНО!$B$16:$AB$104,6,0)</f>
        <v>1</v>
      </c>
      <c r="BO45" s="8">
        <f>VLOOKUP($C45,МНО!$B$16:$AB$104,4,0)</f>
        <v>0</v>
      </c>
      <c r="BP45" s="8">
        <f>VLOOKUP($C45,МНО!$B$16:$AB$104,5,0)</f>
        <v>0</v>
      </c>
      <c r="BQ45" s="8">
        <f>VLOOKUP($C45,Контейнеры!$B$16:$G$104,6,0)</f>
        <v>0</v>
      </c>
      <c r="BR45" s="8">
        <f>VLOOKUP($C45,Контейнеры!$B$16:$G$104,4,0)</f>
        <v>0</v>
      </c>
      <c r="BS45" s="8">
        <f>VLOOKUP($C45,Контейнеры!$B$16:$G$104,5,0)</f>
        <v>0</v>
      </c>
      <c r="BT45" s="8">
        <f>VLOOKUP($C45,'ДК МНО'!$B$16:$C$104,2,0)</f>
        <v>2</v>
      </c>
      <c r="BU45" s="8">
        <f>VLOOKUP($C45,Обработка!$B$16:$F$104,5,0)</f>
        <v>1</v>
      </c>
      <c r="BV45" s="8">
        <f>VLOOKUP($C45,Обработка!$B$16:$F$104,4,0)</f>
        <v>0</v>
      </c>
      <c r="BW45" s="8">
        <f>VLOOKUP($C45,Утилизация!$B$16:$F$104,5,0)</f>
        <v>2</v>
      </c>
      <c r="BX45" s="8">
        <f>VLOOKUP($C45,Утилизация!$B$16:$F$104,4,0)</f>
        <v>2</v>
      </c>
      <c r="BY45" s="8">
        <f>VLOOKUP($C45,Захоронение!$B$16:$C$104,2,0)</f>
        <v>0</v>
      </c>
      <c r="BZ45" s="8">
        <f>VLOOKUP($C45,'ДК ИП'!$B$16:$C$104,2,0)</f>
        <v>1</v>
      </c>
      <c r="CA45" s="8">
        <f t="shared" si="9"/>
        <v>0.6</v>
      </c>
    </row>
    <row r="46" spans="1:79" ht="30" customHeight="1">
      <c r="A46" s="9" t="s">
        <v>653</v>
      </c>
      <c r="B46" s="261">
        <f t="shared" si="3"/>
        <v>36</v>
      </c>
      <c r="C46" s="258" t="s">
        <v>29</v>
      </c>
      <c r="D46" s="227" t="str">
        <f>VLOOKUP($C46,Штаб!$B$16:$J$104,6,0)</f>
        <v/>
      </c>
      <c r="E46" s="228" t="str">
        <f>VLOOKUP($C46,Штаб!$B$16:$J$104,7,0)</f>
        <v/>
      </c>
      <c r="F46" s="228" t="str">
        <f>VLOOKUP($C46,Штаб!$B$16:$J$104,8,0)</f>
        <v>✔️</v>
      </c>
      <c r="G46" s="229" t="str">
        <f>VLOOKUP($C46,Штаб!$B$16:$J$104,9,0)</f>
        <v/>
      </c>
      <c r="H46" s="160" t="str">
        <f>VLOOKUP(C46,'РО - регионы'!$B$16:$I$104,8,0)</f>
        <v>0 / 1 / 1 из 2</v>
      </c>
      <c r="I46" s="237"/>
      <c r="J46" s="122"/>
      <c r="K46" s="94"/>
      <c r="L46" s="94"/>
      <c r="M46" s="98"/>
      <c r="N46" s="163">
        <f>VLOOKUP(C46,Спецтехника!$B$16:$J$104,4,0)</f>
        <v>292</v>
      </c>
      <c r="O46" s="166">
        <f>VLOOKUP(C46,Спецтехника!$B$16:$J$104,5,0)</f>
        <v>292</v>
      </c>
      <c r="P46" s="166">
        <f>VLOOKUP(C46,Спецтехника!$B$16:$J$104,6,0)</f>
        <v>0</v>
      </c>
      <c r="Q46" s="169">
        <f>VLOOKUP(C46,Спецтехника!$B$16:$J$104,7,0)</f>
        <v>0</v>
      </c>
      <c r="R46" s="242"/>
      <c r="S46" s="122"/>
      <c r="T46" s="94"/>
      <c r="U46" s="94"/>
      <c r="V46" s="98"/>
      <c r="W46" s="165">
        <f>VLOOKUP($C46,МНО!$B$16:$AB$104,16,0)</f>
        <v>44859</v>
      </c>
      <c r="X46" s="168">
        <f>VLOOKUP($C46,МНО!$B$16:$AB$104,8,0)</f>
        <v>44859</v>
      </c>
      <c r="Y46" s="168">
        <f>VLOOKUP($C46,МНО!$B$16:$AB$104,11,0)</f>
        <v>0</v>
      </c>
      <c r="Z46" s="174">
        <f>VLOOKUP($C46,МНО!$B$16:$AB$104,17,0)</f>
        <v>0</v>
      </c>
      <c r="AA46" s="245"/>
      <c r="AB46" s="95">
        <f>VLOOKUP($C46,МНО!$B$16:$AB$104,13,0)</f>
        <v>16.830972758002954</v>
      </c>
      <c r="AC46" s="154">
        <f>VLOOKUP($C46,МНО!$B$16:$AB$104,18,0)</f>
        <v>0.97122629254351778</v>
      </c>
      <c r="AD46" s="165">
        <f>VLOOKUP($C46,Контейнеры!$B$16:$AB$104,16,0)</f>
        <v>65282</v>
      </c>
      <c r="AE46" s="168">
        <f>VLOOKUP($C46,Контейнеры!$B$16:$AB$104,8,0)</f>
        <v>65282</v>
      </c>
      <c r="AF46" s="168">
        <f>VLOOKUP($C46,Контейнеры!$B$16:$AB$104,11,0)</f>
        <v>0</v>
      </c>
      <c r="AG46" s="174">
        <f>VLOOKUP($C46,Контейнеры!$B$16:$AB$104,17,0)</f>
        <v>0</v>
      </c>
      <c r="AH46" s="245"/>
      <c r="AI46" s="95">
        <f>VLOOKUP($C46,Контейнеры!$B$16:$AB$104,13,0)</f>
        <v>25.624056986659259</v>
      </c>
      <c r="AJ46" s="154">
        <f>VLOOKUP($C46,Контейнеры!$B$16:$AB$104,18,0)</f>
        <v>1</v>
      </c>
      <c r="AK46" s="135"/>
      <c r="AL46" s="94"/>
      <c r="AM46" s="94"/>
      <c r="AN46" s="116"/>
      <c r="AO46" s="80">
        <f>VLOOKUP($C46,Обработка!$B$16:$L$104,6,0)</f>
        <v>0.36299999999999999</v>
      </c>
      <c r="AP46" s="74">
        <f t="shared" si="4"/>
        <v>-0.18000000000000005</v>
      </c>
      <c r="AQ46" s="75">
        <f>VLOOKUP($C46,Обработка!$B$16:$L$104,7,0)</f>
        <v>0.82900000000000007</v>
      </c>
      <c r="AR46" s="178">
        <f t="shared" si="5"/>
        <v>2.200000000000002E-2</v>
      </c>
      <c r="AS46" s="180">
        <f>VLOOKUP($C46,Утилизация!$B$16:$L$104,6,0)</f>
        <v>3.6000000000000004E-2</v>
      </c>
      <c r="AT46" s="76">
        <f t="shared" si="6"/>
        <v>-0.10300000000000001</v>
      </c>
      <c r="AU46" s="74">
        <f>VLOOKUP($C46,Утилизация!$B$16:$L$104,7,0)</f>
        <v>0.28300000000000003</v>
      </c>
      <c r="AV46" s="186">
        <f t="shared" si="7"/>
        <v>-2.9999999999999472E-3</v>
      </c>
      <c r="AW46" s="161" t="str">
        <f>VLOOKUP(C46,Захоронение!$B$16:$Q$104,16,0)</f>
        <v/>
      </c>
      <c r="AX46" s="135"/>
      <c r="AY46" s="94"/>
      <c r="AZ46" s="94"/>
      <c r="BA46" s="98"/>
      <c r="BB46" s="127" t="str">
        <f>VLOOKUP(C46,'ДК ИП'!$B$16:$S$104,5,0)</f>
        <v>нет</v>
      </c>
      <c r="BC46" s="224">
        <f>VLOOKUP(C46,'Радар олд'!$B$3:$E$87,4,0)</f>
        <v>3.6896255579577375E-2</v>
      </c>
      <c r="BD46" s="98"/>
      <c r="BI46" s="8">
        <f t="shared" si="8"/>
        <v>0</v>
      </c>
      <c r="BJ46" s="8">
        <f>VLOOKUP(C46,Штаб!$B$16:$C$104,2)</f>
        <v>1</v>
      </c>
      <c r="BK46" s="8">
        <f>VLOOKUP(C46,'РО - регионы'!$B$16:$C$104,2)</f>
        <v>1</v>
      </c>
      <c r="BL46" s="8">
        <f>VLOOKUP(C46,'РО - регионы'!$B$16:$L$104,11)</f>
        <v>2</v>
      </c>
      <c r="BM46" s="8">
        <f>VLOOKUP(C46,Спецтехника!$B$16:$C$104,2)</f>
        <v>0</v>
      </c>
      <c r="BN46" s="8">
        <f>VLOOKUP($C46,МНО!$B$16:$AB$104,6,0)</f>
        <v>2</v>
      </c>
      <c r="BO46" s="8">
        <f>VLOOKUP($C46,МНО!$B$16:$AB$104,4,0)</f>
        <v>0</v>
      </c>
      <c r="BP46" s="8">
        <f>VLOOKUP($C46,МНО!$B$16:$AB$104,5,0)</f>
        <v>0</v>
      </c>
      <c r="BQ46" s="8">
        <f>VLOOKUP($C46,Контейнеры!$B$16:$G$104,6,0)</f>
        <v>2</v>
      </c>
      <c r="BR46" s="8">
        <f>VLOOKUP($C46,Контейнеры!$B$16:$G$104,4,0)</f>
        <v>0</v>
      </c>
      <c r="BS46" s="8">
        <f>VLOOKUP($C46,Контейнеры!$B$16:$G$104,5,0)</f>
        <v>0</v>
      </c>
      <c r="BT46" s="8">
        <f>VLOOKUP($C46,'ДК МНО'!$B$16:$C$104,2,0)</f>
        <v>2</v>
      </c>
      <c r="BU46" s="8">
        <f>VLOOKUP($C46,Обработка!$B$16:$F$104,5,0)</f>
        <v>0</v>
      </c>
      <c r="BV46" s="8">
        <f>VLOOKUP($C46,Обработка!$B$16:$F$104,4,0)</f>
        <v>1</v>
      </c>
      <c r="BW46" s="8">
        <f>VLOOKUP($C46,Утилизация!$B$16:$F$104,5,0)</f>
        <v>1</v>
      </c>
      <c r="BX46" s="8">
        <f>VLOOKUP($C46,Утилизация!$B$16:$F$104,4,0)</f>
        <v>2</v>
      </c>
      <c r="BY46" s="8">
        <f>VLOOKUP($C46,Захоронение!$B$16:$C$104,2,0)</f>
        <v>0</v>
      </c>
      <c r="BZ46" s="8">
        <f>VLOOKUP($C46,'ДК ИП'!$B$16:$C$104,2,0)</f>
        <v>0</v>
      </c>
      <c r="CA46" s="8">
        <f t="shared" si="9"/>
        <v>0.6</v>
      </c>
    </row>
    <row r="47" spans="1:79" ht="30" customHeight="1">
      <c r="A47" s="9" t="s">
        <v>659</v>
      </c>
      <c r="B47" s="261">
        <f t="shared" si="3"/>
        <v>37</v>
      </c>
      <c r="C47" s="258" t="s">
        <v>61</v>
      </c>
      <c r="D47" s="227" t="str">
        <f>VLOOKUP($C47,Штаб!$B$16:$J$104,6,0)</f>
        <v>✔️</v>
      </c>
      <c r="E47" s="228" t="str">
        <f>VLOOKUP($C47,Штаб!$B$16:$J$104,7,0)</f>
        <v/>
      </c>
      <c r="F47" s="228" t="str">
        <f>VLOOKUP($C47,Штаб!$B$16:$J$104,8,0)</f>
        <v/>
      </c>
      <c r="G47" s="229" t="str">
        <f>VLOOKUP($C47,Штаб!$B$16:$J$104,9,0)</f>
        <v/>
      </c>
      <c r="H47" s="160" t="str">
        <f>VLOOKUP(C47,'РО - регионы'!$B$16:$I$104,8,0)</f>
        <v>0 / 2 / 0 из 2</v>
      </c>
      <c r="I47" s="237"/>
      <c r="J47" s="122"/>
      <c r="K47" s="94"/>
      <c r="L47" s="94"/>
      <c r="M47" s="98"/>
      <c r="N47" s="164">
        <f>VLOOKUP(C47,Спецтехника!$B$16:$J$104,4,0)</f>
        <v>102</v>
      </c>
      <c r="O47" s="167">
        <f>VLOOKUP(C47,Спецтехника!$B$16:$J$104,5,0)</f>
        <v>92</v>
      </c>
      <c r="P47" s="167">
        <f>VLOOKUP(C47,Спецтехника!$B$16:$J$104,6,0)</f>
        <v>10</v>
      </c>
      <c r="Q47" s="170">
        <f>VLOOKUP(C47,Спецтехника!$B$16:$J$104,7,0)</f>
        <v>9.8039215686274508E-2</v>
      </c>
      <c r="R47" s="242"/>
      <c r="S47" s="122"/>
      <c r="T47" s="94"/>
      <c r="U47" s="94"/>
      <c r="V47" s="98"/>
      <c r="W47" s="165">
        <f>VLOOKUP($C47,МНО!$B$16:$AB$104,16,0)</f>
        <v>5095</v>
      </c>
      <c r="X47" s="168">
        <f>VLOOKUP($C47,МНО!$B$16:$AB$104,8,0)</f>
        <v>4950</v>
      </c>
      <c r="Y47" s="168">
        <f>VLOOKUP($C47,МНО!$B$16:$AB$104,11,0)</f>
        <v>145</v>
      </c>
      <c r="Z47" s="174">
        <f>VLOOKUP($C47,МНО!$B$16:$AB$104,17,0)</f>
        <v>2.8459273797841019E-2</v>
      </c>
      <c r="AA47" s="245"/>
      <c r="AB47" s="95">
        <f>VLOOKUP($C47,МНО!$B$16:$AB$104,13,0)</f>
        <v>7.1060260892672131</v>
      </c>
      <c r="AC47" s="154">
        <f>VLOOKUP($C47,МНО!$B$16:$AB$104,18,0)</f>
        <v>1</v>
      </c>
      <c r="AD47" s="163">
        <f>VLOOKUP($C47,Контейнеры!$B$16:$AB$104,16,0)</f>
        <v>9384</v>
      </c>
      <c r="AE47" s="166">
        <f>VLOOKUP($C47,Контейнеры!$B$16:$AB$104,8,0)</f>
        <v>9210</v>
      </c>
      <c r="AF47" s="166">
        <f>VLOOKUP($C47,Контейнеры!$B$16:$AB$104,11,0)</f>
        <v>174</v>
      </c>
      <c r="AG47" s="173">
        <f>VLOOKUP($C47,Контейнеры!$B$16:$AB$104,17,0)</f>
        <v>1.8542199488491048E-2</v>
      </c>
      <c r="AH47" s="245"/>
      <c r="AI47" s="95">
        <f>VLOOKUP($C47,Контейнеры!$B$16:$AB$104,13,0)</f>
        <v>13.749264765157781</v>
      </c>
      <c r="AJ47" s="154">
        <f>VLOOKUP($C47,Контейнеры!$B$16:$AB$104,18,0)</f>
        <v>0.91405319571258437</v>
      </c>
      <c r="AK47" s="135"/>
      <c r="AL47" s="94"/>
      <c r="AM47" s="94"/>
      <c r="AN47" s="116"/>
      <c r="AO47" s="80">
        <f>VLOOKUP($C47,Обработка!$B$16:$L$104,6,0)</f>
        <v>0.33700000000000002</v>
      </c>
      <c r="AP47" s="74">
        <f t="shared" si="4"/>
        <v>-0.20600000000000002</v>
      </c>
      <c r="AQ47" s="75">
        <f>VLOOKUP($C47,Обработка!$B$16:$L$104,7,0)</f>
        <v>0.99900000000000011</v>
      </c>
      <c r="AR47" s="178">
        <f t="shared" si="5"/>
        <v>0.19200000000000006</v>
      </c>
      <c r="AS47" s="180">
        <f>VLOOKUP($C47,Утилизация!$B$16:$L$104,6,0)</f>
        <v>9.0000000000000011E-3</v>
      </c>
      <c r="AT47" s="76">
        <f t="shared" si="6"/>
        <v>-0.13</v>
      </c>
      <c r="AU47" s="76">
        <f>VLOOKUP($C47,Утилизация!$B$16:$L$104,7,0)</f>
        <v>0.08</v>
      </c>
      <c r="AV47" s="184">
        <f t="shared" si="7"/>
        <v>-0.20599999999999996</v>
      </c>
      <c r="AW47" s="161" t="str">
        <f>VLOOKUP(C47,Захоронение!$B$16:$Q$104,16,0)</f>
        <v/>
      </c>
      <c r="AX47" s="135"/>
      <c r="AY47" s="94"/>
      <c r="AZ47" s="94"/>
      <c r="BA47" s="98"/>
      <c r="BB47" s="127" t="str">
        <f>VLOOKUP(C47,'ДК ИП'!$B$16:$S$104,5,0)</f>
        <v>нет</v>
      </c>
      <c r="BC47" s="224">
        <f>VLOOKUP(C47,'Радар олд'!$B$3:$E$87,4,0)</f>
        <v>9.4050345299124885E-2</v>
      </c>
      <c r="BD47" s="98"/>
      <c r="BI47" s="8">
        <f t="shared" si="8"/>
        <v>0</v>
      </c>
      <c r="BJ47" s="8">
        <f>VLOOKUP(C47,Штаб!$B$16:$C$104,2)</f>
        <v>0</v>
      </c>
      <c r="BK47" s="8">
        <f>VLOOKUP(C47,'РО - регионы'!$B$16:$C$104,2)</f>
        <v>1</v>
      </c>
      <c r="BL47" s="8">
        <f>VLOOKUP(C47,'РО - регионы'!$B$16:$L$104,11)</f>
        <v>2</v>
      </c>
      <c r="BM47" s="8">
        <f>VLOOKUP(C47,Спецтехника!$B$16:$C$104,2)</f>
        <v>1</v>
      </c>
      <c r="BN47" s="8">
        <f>VLOOKUP($C47,МНО!$B$16:$AB$104,6,0)</f>
        <v>0</v>
      </c>
      <c r="BO47" s="8">
        <f>VLOOKUP($C47,МНО!$B$16:$AB$104,4,0)</f>
        <v>0</v>
      </c>
      <c r="BP47" s="8">
        <f>VLOOKUP($C47,МНО!$B$16:$AB$104,5,0)</f>
        <v>0</v>
      </c>
      <c r="BQ47" s="8">
        <f>VLOOKUP($C47,Контейнеры!$B$16:$G$104,6,0)</f>
        <v>0</v>
      </c>
      <c r="BR47" s="8">
        <f>VLOOKUP($C47,Контейнеры!$B$16:$G$104,4,0)</f>
        <v>0</v>
      </c>
      <c r="BS47" s="8">
        <f>VLOOKUP($C47,Контейнеры!$B$16:$G$104,5,0)</f>
        <v>0</v>
      </c>
      <c r="BT47" s="8">
        <f>VLOOKUP($C47,'ДК МНО'!$B$16:$C$104,2,0)</f>
        <v>2</v>
      </c>
      <c r="BU47" s="8">
        <f>VLOOKUP($C47,Обработка!$B$16:$F$104,5,0)</f>
        <v>0</v>
      </c>
      <c r="BV47" s="8">
        <f>VLOOKUP($C47,Обработка!$B$16:$F$104,4,0)</f>
        <v>1</v>
      </c>
      <c r="BW47" s="8">
        <f>VLOOKUP($C47,Утилизация!$B$16:$F$104,5,0)</f>
        <v>2</v>
      </c>
      <c r="BX47" s="8">
        <f>VLOOKUP($C47,Утилизация!$B$16:$F$104,4,0)</f>
        <v>2</v>
      </c>
      <c r="BY47" s="8">
        <f>VLOOKUP($C47,Захоронение!$B$16:$C$104,2,0)</f>
        <v>0</v>
      </c>
      <c r="BZ47" s="8">
        <f>VLOOKUP($C47,'ДК ИП'!$B$16:$C$104,2,0)</f>
        <v>0</v>
      </c>
      <c r="CA47" s="8">
        <f t="shared" si="9"/>
        <v>0.5</v>
      </c>
    </row>
    <row r="48" spans="1:79" ht="30" customHeight="1">
      <c r="A48" s="9" t="s">
        <v>657</v>
      </c>
      <c r="B48" s="261">
        <f t="shared" si="3"/>
        <v>38</v>
      </c>
      <c r="C48" s="258" t="s">
        <v>47</v>
      </c>
      <c r="D48" s="227" t="str">
        <f>VLOOKUP($C48,Штаб!$B$16:$J$104,6,0)</f>
        <v>✔️</v>
      </c>
      <c r="E48" s="228" t="str">
        <f>VLOOKUP($C48,Штаб!$B$16:$J$104,7,0)</f>
        <v/>
      </c>
      <c r="F48" s="228" t="str">
        <f>VLOOKUP($C48,Штаб!$B$16:$J$104,8,0)</f>
        <v/>
      </c>
      <c r="G48" s="229" t="str">
        <f>VLOOKUP($C48,Штаб!$B$16:$J$104,9,0)</f>
        <v/>
      </c>
      <c r="H48" s="161" t="str">
        <f>VLOOKUP(C48,'РО - регионы'!$B$16:$I$104,8,0)</f>
        <v>0 / 0 / 1 из 1</v>
      </c>
      <c r="I48" s="237"/>
      <c r="J48" s="122"/>
      <c r="K48" s="94"/>
      <c r="L48" s="94"/>
      <c r="M48" s="98"/>
      <c r="N48" s="163">
        <f>VLOOKUP(C48,Спецтехника!$B$16:$J$104,4,0)</f>
        <v>78</v>
      </c>
      <c r="O48" s="166">
        <f>VLOOKUP(C48,Спецтехника!$B$16:$J$104,5,0)</f>
        <v>78</v>
      </c>
      <c r="P48" s="166">
        <f>VLOOKUP(C48,Спецтехника!$B$16:$J$104,6,0)</f>
        <v>0</v>
      </c>
      <c r="Q48" s="169">
        <f>VLOOKUP(C48,Спецтехника!$B$16:$J$104,7,0)</f>
        <v>0</v>
      </c>
      <c r="R48" s="242"/>
      <c r="S48" s="122"/>
      <c r="T48" s="94"/>
      <c r="U48" s="94"/>
      <c r="V48" s="98"/>
      <c r="W48" s="164">
        <f>VLOOKUP($C48,МНО!$B$16:$AB$104,16,0)</f>
        <v>12095</v>
      </c>
      <c r="X48" s="167">
        <f>VLOOKUP($C48,МНО!$B$16:$AB$104,8,0)</f>
        <v>9385</v>
      </c>
      <c r="Y48" s="167">
        <f>VLOOKUP($C48,МНО!$B$16:$AB$104,11,0)</f>
        <v>2710</v>
      </c>
      <c r="Z48" s="172">
        <f>VLOOKUP($C48,МНО!$B$16:$AB$104,17,0)</f>
        <v>0.22405952873088053</v>
      </c>
      <c r="AA48" s="245"/>
      <c r="AB48" s="95">
        <f>VLOOKUP($C48,МНО!$B$16:$AB$104,13,0)</f>
        <v>12.170643161016974</v>
      </c>
      <c r="AC48" s="154">
        <f>VLOOKUP($C48,МНО!$B$16:$AB$104,18,0)</f>
        <v>1</v>
      </c>
      <c r="AD48" s="163">
        <f>VLOOKUP($C48,Контейнеры!$B$16:$AB$104,16,0)</f>
        <v>19592</v>
      </c>
      <c r="AE48" s="166">
        <f>VLOOKUP($C48,Контейнеры!$B$16:$AB$104,8,0)</f>
        <v>19433</v>
      </c>
      <c r="AF48" s="166">
        <f>VLOOKUP($C48,Контейнеры!$B$16:$AB$104,11,0)</f>
        <v>159</v>
      </c>
      <c r="AG48" s="173">
        <f>VLOOKUP($C48,Контейнеры!$B$16:$AB$104,17,0)</f>
        <v>8.1155573703552471E-3</v>
      </c>
      <c r="AH48" s="245"/>
      <c r="AI48" s="95">
        <f>VLOOKUP($C48,Контейнеры!$B$16:$AB$104,13,0)</f>
        <v>28.062661194594547</v>
      </c>
      <c r="AJ48" s="154">
        <f>VLOOKUP($C48,Контейнеры!$B$16:$AB$104,18,0)</f>
        <v>1</v>
      </c>
      <c r="AK48" s="135"/>
      <c r="AL48" s="94"/>
      <c r="AM48" s="94"/>
      <c r="AN48" s="116"/>
      <c r="AO48" s="78">
        <f>VLOOKUP($C48,Обработка!$B$16:$L$104,6,0)</f>
        <v>0.626</v>
      </c>
      <c r="AP48" s="75">
        <f t="shared" si="4"/>
        <v>8.2999999999999963E-2</v>
      </c>
      <c r="AQ48" s="75">
        <f>VLOOKUP($C48,Обработка!$B$16:$L$104,7,0)</f>
        <v>0.81900000000000006</v>
      </c>
      <c r="AR48" s="178">
        <f t="shared" si="5"/>
        <v>1.2000000000000011E-2</v>
      </c>
      <c r="AS48" s="182">
        <f>VLOOKUP($C48,Утилизация!$B$16:$L$104,6,0)</f>
        <v>0.218</v>
      </c>
      <c r="AT48" s="75">
        <f t="shared" si="6"/>
        <v>7.8999999999999987E-2</v>
      </c>
      <c r="AU48" s="76">
        <f>VLOOKUP($C48,Утилизация!$B$16:$L$104,7,0)</f>
        <v>0.105</v>
      </c>
      <c r="AV48" s="184">
        <f t="shared" si="7"/>
        <v>-0.18099999999999999</v>
      </c>
      <c r="AW48" s="160" t="str">
        <f>VLOOKUP(C48,Захоронение!$B$16:$Q$104,16,0)</f>
        <v>перегруз</v>
      </c>
      <c r="AX48" s="135"/>
      <c r="AY48" s="94"/>
      <c r="AZ48" s="94"/>
      <c r="BA48" s="98"/>
      <c r="BB48" s="127" t="str">
        <f>VLOOKUP(C48,'ДК ИП'!$B$16:$S$104,5,0)</f>
        <v>существенное</v>
      </c>
      <c r="BC48" s="224">
        <f>VLOOKUP(C48,'Радар олд'!$B$3:$E$87,4,0)</f>
        <v>0.29025857562463359</v>
      </c>
      <c r="BD48" s="98"/>
      <c r="BI48" s="8">
        <f t="shared" si="8"/>
        <v>0</v>
      </c>
      <c r="BJ48" s="8">
        <f>VLOOKUP(C48,Штаб!$B$16:$C$104,2)</f>
        <v>0</v>
      </c>
      <c r="BK48" s="8">
        <f>VLOOKUP(C48,'РО - регионы'!$B$16:$C$104,2)</f>
        <v>0</v>
      </c>
      <c r="BL48" s="8">
        <f>VLOOKUP(C48,'РО - регионы'!$B$16:$L$104,11)</f>
        <v>0</v>
      </c>
      <c r="BM48" s="8">
        <f>VLOOKUP(C48,Спецтехника!$B$16:$C$104,2)</f>
        <v>0</v>
      </c>
      <c r="BN48" s="8">
        <f>VLOOKUP($C48,МНО!$B$16:$AB$104,6,0)</f>
        <v>1</v>
      </c>
      <c r="BO48" s="8">
        <f>VLOOKUP($C48,МНО!$B$16:$AB$104,4,0)</f>
        <v>0</v>
      </c>
      <c r="BP48" s="8">
        <f>VLOOKUP($C48,МНО!$B$16:$AB$104,5,0)</f>
        <v>0</v>
      </c>
      <c r="BQ48" s="8">
        <f>VLOOKUP($C48,Контейнеры!$B$16:$G$104,6,0)</f>
        <v>0</v>
      </c>
      <c r="BR48" s="8">
        <f>VLOOKUP($C48,Контейнеры!$B$16:$G$104,4,0)</f>
        <v>0</v>
      </c>
      <c r="BS48" s="8">
        <f>VLOOKUP($C48,Контейнеры!$B$16:$G$104,5,0)</f>
        <v>0</v>
      </c>
      <c r="BT48" s="8">
        <f>VLOOKUP($C48,'ДК МНО'!$B$16:$C$104,2,0)</f>
        <v>2</v>
      </c>
      <c r="BU48" s="8">
        <f>VLOOKUP($C48,Обработка!$B$16:$F$104,5,0)</f>
        <v>0</v>
      </c>
      <c r="BV48" s="8">
        <f>VLOOKUP($C48,Обработка!$B$16:$F$104,4,0)</f>
        <v>0</v>
      </c>
      <c r="BW48" s="8">
        <f>VLOOKUP($C48,Утилизация!$B$16:$F$104,5,0)</f>
        <v>2</v>
      </c>
      <c r="BX48" s="8">
        <f>VLOOKUP($C48,Утилизация!$B$16:$F$104,4,0)</f>
        <v>0</v>
      </c>
      <c r="BY48" s="8">
        <f>VLOOKUP($C48,Захоронение!$B$16:$C$104,2,0)</f>
        <v>1</v>
      </c>
      <c r="BZ48" s="8">
        <f>VLOOKUP($C48,'ДК ИП'!$B$16:$C$104,2,0)</f>
        <v>2</v>
      </c>
      <c r="CA48" s="8">
        <f t="shared" si="9"/>
        <v>0.60000000000000009</v>
      </c>
    </row>
    <row r="49" spans="1:79" ht="30" customHeight="1">
      <c r="A49" s="9" t="s">
        <v>655</v>
      </c>
      <c r="B49" s="261">
        <f t="shared" si="3"/>
        <v>39</v>
      </c>
      <c r="C49" s="258" t="s">
        <v>58</v>
      </c>
      <c r="D49" s="227" t="str">
        <f>VLOOKUP($C49,Штаб!$B$16:$J$104,6,0)</f>
        <v>✔️</v>
      </c>
      <c r="E49" s="228" t="str">
        <f>VLOOKUP($C49,Штаб!$B$16:$J$104,7,0)</f>
        <v/>
      </c>
      <c r="F49" s="228" t="str">
        <f>VLOOKUP($C49,Штаб!$B$16:$J$104,8,0)</f>
        <v/>
      </c>
      <c r="G49" s="229" t="str">
        <f>VLOOKUP($C49,Штаб!$B$16:$J$104,9,0)</f>
        <v/>
      </c>
      <c r="H49" s="161" t="str">
        <f>VLOOKUP(C49,'РО - регионы'!$B$16:$I$104,8,0)</f>
        <v>0 / 0 / 1 из 1</v>
      </c>
      <c r="I49" s="237"/>
      <c r="J49" s="122"/>
      <c r="K49" s="94"/>
      <c r="L49" s="94"/>
      <c r="M49" s="98"/>
      <c r="N49" s="163">
        <f>VLOOKUP(C49,Спецтехника!$B$16:$J$104,4,0)</f>
        <v>149</v>
      </c>
      <c r="O49" s="166">
        <f>VLOOKUP(C49,Спецтехника!$B$16:$J$104,5,0)</f>
        <v>149</v>
      </c>
      <c r="P49" s="166">
        <f>VLOOKUP(C49,Спецтехника!$B$16:$J$104,6,0)</f>
        <v>0</v>
      </c>
      <c r="Q49" s="169">
        <f>VLOOKUP(C49,Спецтехника!$B$16:$J$104,7,0)</f>
        <v>0</v>
      </c>
      <c r="R49" s="242"/>
      <c r="S49" s="122"/>
      <c r="T49" s="94"/>
      <c r="U49" s="94"/>
      <c r="V49" s="98"/>
      <c r="W49" s="165">
        <f>VLOOKUP($C49,МНО!$B$16:$AB$104,16,0)</f>
        <v>3580</v>
      </c>
      <c r="X49" s="168">
        <f>VLOOKUP($C49,МНО!$B$16:$AB$104,8,0)</f>
        <v>3580</v>
      </c>
      <c r="Y49" s="168">
        <f>VLOOKUP($C49,МНО!$B$16:$AB$104,11,0)</f>
        <v>0</v>
      </c>
      <c r="Z49" s="174">
        <f>VLOOKUP($C49,МНО!$B$16:$AB$104,17,0)</f>
        <v>0</v>
      </c>
      <c r="AA49" s="245"/>
      <c r="AB49" s="95">
        <f>VLOOKUP($C49,МНО!$B$16:$AB$104,13,0)</f>
        <v>5.6179560795333066</v>
      </c>
      <c r="AC49" s="154">
        <f>VLOOKUP($C49,МНО!$B$16:$AB$104,18,0)</f>
        <v>0.94583883751651254</v>
      </c>
      <c r="AD49" s="165">
        <f>VLOOKUP($C49,Контейнеры!$B$16:$AB$104,16,0)</f>
        <v>8628</v>
      </c>
      <c r="AE49" s="168">
        <f>VLOOKUP($C49,Контейнеры!$B$16:$AB$104,8,0)</f>
        <v>8628</v>
      </c>
      <c r="AF49" s="168">
        <f>VLOOKUP($C49,Контейнеры!$B$16:$AB$104,11,0)</f>
        <v>0</v>
      </c>
      <c r="AG49" s="174">
        <f>VLOOKUP($C49,Контейнеры!$B$16:$AB$104,17,0)</f>
        <v>0</v>
      </c>
      <c r="AH49" s="245"/>
      <c r="AI49" s="95">
        <f>VLOOKUP($C49,Контейнеры!$B$16:$AB$104,13,0)</f>
        <v>16.470175009926393</v>
      </c>
      <c r="AJ49" s="154">
        <f>VLOOKUP($C49,Контейнеры!$B$16:$AB$104,18,0)</f>
        <v>0.71305785123966947</v>
      </c>
      <c r="AK49" s="135"/>
      <c r="AL49" s="94"/>
      <c r="AM49" s="94"/>
      <c r="AN49" s="116"/>
      <c r="AO49" s="79">
        <f>VLOOKUP($C49,Обработка!$B$16:$L$104,6,0)</f>
        <v>1.8000000000000002E-2</v>
      </c>
      <c r="AP49" s="76">
        <f t="shared" si="4"/>
        <v>-0.52500000000000002</v>
      </c>
      <c r="AQ49" s="76">
        <f>VLOOKUP($C49,Обработка!$B$16:$L$104,7,0)</f>
        <v>0.22</v>
      </c>
      <c r="AR49" s="177">
        <f t="shared" si="5"/>
        <v>-0.58700000000000008</v>
      </c>
      <c r="AS49" s="180">
        <f>VLOOKUP($C49,Утилизация!$B$16:$L$104,6,0)</f>
        <v>8.0000000000000002E-3</v>
      </c>
      <c r="AT49" s="76">
        <f t="shared" si="6"/>
        <v>-0.13100000000000001</v>
      </c>
      <c r="AU49" s="76">
        <f>VLOOKUP($C49,Утилизация!$B$16:$L$104,7,0)</f>
        <v>6.3E-2</v>
      </c>
      <c r="AV49" s="184">
        <f t="shared" si="7"/>
        <v>-0.22299999999999998</v>
      </c>
      <c r="AW49" s="161" t="str">
        <f>VLOOKUP(C49,Захоронение!$B$16:$Q$104,16,0)</f>
        <v/>
      </c>
      <c r="AX49" s="135"/>
      <c r="AY49" s="94"/>
      <c r="AZ49" s="94"/>
      <c r="BA49" s="98"/>
      <c r="BB49" s="127" t="str">
        <f>VLOOKUP(C49,'ДК ИП'!$B$16:$S$104,5,0)</f>
        <v>небольшое</v>
      </c>
      <c r="BC49" s="224">
        <f>VLOOKUP(C49,'Радар олд'!$B$3:$E$87,4,0)</f>
        <v>0.15080480131944657</v>
      </c>
      <c r="BD49" s="98"/>
      <c r="BI49" s="8">
        <f t="shared" si="8"/>
        <v>0</v>
      </c>
      <c r="BJ49" s="8">
        <f>VLOOKUP(C49,Штаб!$B$16:$C$104,2)</f>
        <v>0</v>
      </c>
      <c r="BK49" s="8">
        <f>VLOOKUP(C49,'РО - регионы'!$B$16:$C$104,2)</f>
        <v>0</v>
      </c>
      <c r="BL49" s="8">
        <f>VLOOKUP(C49,'РО - регионы'!$B$16:$L$104,11)</f>
        <v>0</v>
      </c>
      <c r="BM49" s="8">
        <f>VLOOKUP(C49,Спецтехника!$B$16:$C$104,2)</f>
        <v>0</v>
      </c>
      <c r="BN49" s="8">
        <f>VLOOKUP($C49,МНО!$B$16:$AB$104,6,0)</f>
        <v>2</v>
      </c>
      <c r="BO49" s="8">
        <f>VLOOKUP($C49,МНО!$B$16:$AB$104,4,0)</f>
        <v>1</v>
      </c>
      <c r="BP49" s="8">
        <f>VLOOKUP($C49,МНО!$B$16:$AB$104,5,0)</f>
        <v>0</v>
      </c>
      <c r="BQ49" s="8">
        <f>VLOOKUP($C49,Контейнеры!$B$16:$G$104,6,0)</f>
        <v>2</v>
      </c>
      <c r="BR49" s="8">
        <f>VLOOKUP($C49,Контейнеры!$B$16:$G$104,4,0)</f>
        <v>0</v>
      </c>
      <c r="BS49" s="8">
        <f>VLOOKUP($C49,Контейнеры!$B$16:$G$104,5,0)</f>
        <v>2</v>
      </c>
      <c r="BT49" s="8">
        <f>VLOOKUP($C49,'ДК МНО'!$B$16:$C$104,2,0)</f>
        <v>2</v>
      </c>
      <c r="BU49" s="8">
        <f>VLOOKUP($C49,Обработка!$B$16:$F$104,5,0)</f>
        <v>2</v>
      </c>
      <c r="BV49" s="8">
        <f>VLOOKUP($C49,Обработка!$B$16:$F$104,4,0)</f>
        <v>2</v>
      </c>
      <c r="BW49" s="8">
        <f>VLOOKUP($C49,Утилизация!$B$16:$F$104,5,0)</f>
        <v>2</v>
      </c>
      <c r="BX49" s="8">
        <f>VLOOKUP($C49,Утилизация!$B$16:$F$104,4,0)</f>
        <v>2</v>
      </c>
      <c r="BY49" s="8">
        <f>VLOOKUP($C49,Захоронение!$B$16:$C$104,2,0)</f>
        <v>0</v>
      </c>
      <c r="BZ49" s="8">
        <f>VLOOKUP($C49,'ДК ИП'!$B$16:$C$104,2,0)</f>
        <v>0</v>
      </c>
      <c r="CA49" s="8">
        <f t="shared" si="9"/>
        <v>0.64999999999999991</v>
      </c>
    </row>
    <row r="50" spans="1:79" ht="30" customHeight="1">
      <c r="A50" s="9" t="s">
        <v>657</v>
      </c>
      <c r="B50" s="261">
        <f t="shared" si="3"/>
        <v>40</v>
      </c>
      <c r="C50" s="258" t="s">
        <v>13</v>
      </c>
      <c r="D50" s="227" t="str">
        <f>VLOOKUP($C50,Штаб!$B$16:$J$104,6,0)</f>
        <v>✔️</v>
      </c>
      <c r="E50" s="228" t="str">
        <f>VLOOKUP($C50,Штаб!$B$16:$J$104,7,0)</f>
        <v/>
      </c>
      <c r="F50" s="228" t="str">
        <f>VLOOKUP($C50,Штаб!$B$16:$J$104,8,0)</f>
        <v/>
      </c>
      <c r="G50" s="229" t="str">
        <f>VLOOKUP($C50,Штаб!$B$16:$J$104,9,0)</f>
        <v/>
      </c>
      <c r="H50" s="160" t="str">
        <f>VLOOKUP(C50,'РО - регионы'!$B$16:$I$104,8,0)</f>
        <v>0 / 1 / 2 из 3</v>
      </c>
      <c r="I50" s="237"/>
      <c r="J50" s="122"/>
      <c r="K50" s="94"/>
      <c r="L50" s="94"/>
      <c r="M50" s="98"/>
      <c r="N50" s="163">
        <f>VLOOKUP(C50,Спецтехника!$B$16:$J$104,4,0)</f>
        <v>258</v>
      </c>
      <c r="O50" s="166">
        <f>VLOOKUP(C50,Спецтехника!$B$16:$J$104,5,0)</f>
        <v>249</v>
      </c>
      <c r="P50" s="166">
        <f>VLOOKUP(C50,Спецтехника!$B$16:$J$104,6,0)</f>
        <v>9</v>
      </c>
      <c r="Q50" s="169">
        <f>VLOOKUP(C50,Спецтехника!$B$16:$J$104,7,0)</f>
        <v>3.4883720930232558E-2</v>
      </c>
      <c r="R50" s="242"/>
      <c r="S50" s="122"/>
      <c r="T50" s="94"/>
      <c r="U50" s="94"/>
      <c r="V50" s="98"/>
      <c r="W50" s="163">
        <f>VLOOKUP($C50,МНО!$B$16:$AB$104,16,0)</f>
        <v>11895</v>
      </c>
      <c r="X50" s="166">
        <f>VLOOKUP($C50,МНО!$B$16:$AB$104,8,0)</f>
        <v>11298</v>
      </c>
      <c r="Y50" s="166">
        <f>VLOOKUP($C50,МНО!$B$16:$AB$104,11,0)</f>
        <v>597</v>
      </c>
      <c r="Z50" s="173">
        <f>VLOOKUP($C50,МНО!$B$16:$AB$104,17,0)</f>
        <v>5.0189155107187897E-2</v>
      </c>
      <c r="AA50" s="245"/>
      <c r="AB50" s="95">
        <f>VLOOKUP($C50,МНО!$B$16:$AB$104,13,0)</f>
        <v>7.9224881712320094</v>
      </c>
      <c r="AC50" s="154">
        <f>VLOOKUP($C50,МНО!$B$16:$AB$104,18,0)</f>
        <v>1</v>
      </c>
      <c r="AD50" s="163">
        <f>VLOOKUP($C50,Контейнеры!$B$16:$AB$104,16,0)</f>
        <v>26723</v>
      </c>
      <c r="AE50" s="166">
        <f>VLOOKUP($C50,Контейнеры!$B$16:$AB$104,8,0)</f>
        <v>25352</v>
      </c>
      <c r="AF50" s="166">
        <f>VLOOKUP($C50,Контейнеры!$B$16:$AB$104,11,0)</f>
        <v>1371</v>
      </c>
      <c r="AG50" s="173">
        <f>VLOOKUP($C50,Контейнеры!$B$16:$AB$104,17,0)</f>
        <v>5.1304120046401974E-2</v>
      </c>
      <c r="AH50" s="245"/>
      <c r="AI50" s="95">
        <f>VLOOKUP($C50,Контейнеры!$B$16:$AB$104,13,0)</f>
        <v>19.353528629511839</v>
      </c>
      <c r="AJ50" s="154">
        <f>VLOOKUP($C50,Контейнеры!$B$16:$AB$104,18,0)</f>
        <v>1</v>
      </c>
      <c r="AK50" s="135"/>
      <c r="AL50" s="94"/>
      <c r="AM50" s="94"/>
      <c r="AN50" s="116"/>
      <c r="AO50" s="80">
        <f>VLOOKUP($C50,Обработка!$B$16:$L$104,6,0)</f>
        <v>0.36499999999999999</v>
      </c>
      <c r="AP50" s="74">
        <f t="shared" si="4"/>
        <v>-0.17800000000000005</v>
      </c>
      <c r="AQ50" s="76">
        <f>VLOOKUP($C50,Обработка!$B$16:$L$104,7,0)</f>
        <v>0.27699999999999997</v>
      </c>
      <c r="AR50" s="177">
        <f t="shared" si="5"/>
        <v>-0.53</v>
      </c>
      <c r="AS50" s="180">
        <f>VLOOKUP($C50,Утилизация!$B$16:$L$104,6,0)</f>
        <v>1.4999999999999999E-2</v>
      </c>
      <c r="AT50" s="76">
        <f t="shared" si="6"/>
        <v>-0.12400000000000001</v>
      </c>
      <c r="AU50" s="76">
        <f>VLOOKUP($C50,Утилизация!$B$16:$L$104,7,0)</f>
        <v>1.6E-2</v>
      </c>
      <c r="AV50" s="184">
        <f t="shared" si="7"/>
        <v>-0.26999999999999996</v>
      </c>
      <c r="AW50" s="161" t="str">
        <f>VLOOKUP(C50,Захоронение!$B$16:$Q$104,16,0)</f>
        <v/>
      </c>
      <c r="AX50" s="135"/>
      <c r="AY50" s="94"/>
      <c r="AZ50" s="94"/>
      <c r="BA50" s="98"/>
      <c r="BB50" s="127" t="str">
        <f>VLOOKUP(C50,'ДК ИП'!$B$16:$S$104,5,0)</f>
        <v>среднее</v>
      </c>
      <c r="BC50" s="224">
        <f>VLOOKUP(C50,'Радар олд'!$B$3:$E$87,4,0)</f>
        <v>0.31070077911846478</v>
      </c>
      <c r="BD50" s="98"/>
      <c r="BI50" s="8">
        <f t="shared" si="8"/>
        <v>0</v>
      </c>
      <c r="BJ50" s="8">
        <f>VLOOKUP(C50,Штаб!$B$16:$C$104,2)</f>
        <v>0</v>
      </c>
      <c r="BK50" s="8">
        <f>VLOOKUP(C50,'РО - регионы'!$B$16:$C$104,2)</f>
        <v>1</v>
      </c>
      <c r="BL50" s="8">
        <f>VLOOKUP(C50,'РО - регионы'!$B$16:$L$104,11)</f>
        <v>2</v>
      </c>
      <c r="BM50" s="8">
        <f>VLOOKUP(C50,Спецтехника!$B$16:$C$104,2)</f>
        <v>0</v>
      </c>
      <c r="BN50" s="8">
        <f>VLOOKUP($C50,МНО!$B$16:$AB$104,6,0)</f>
        <v>0</v>
      </c>
      <c r="BO50" s="8">
        <f>VLOOKUP($C50,МНО!$B$16:$AB$104,4,0)</f>
        <v>0</v>
      </c>
      <c r="BP50" s="8">
        <f>VLOOKUP($C50,МНО!$B$16:$AB$104,5,0)</f>
        <v>0</v>
      </c>
      <c r="BQ50" s="8">
        <f>VLOOKUP($C50,Контейнеры!$B$16:$G$104,6,0)</f>
        <v>0</v>
      </c>
      <c r="BR50" s="8">
        <f>VLOOKUP($C50,Контейнеры!$B$16:$G$104,4,0)</f>
        <v>0</v>
      </c>
      <c r="BS50" s="8">
        <f>VLOOKUP($C50,Контейнеры!$B$16:$G$104,5,0)</f>
        <v>0</v>
      </c>
      <c r="BT50" s="8">
        <f>VLOOKUP($C50,'ДК МНО'!$B$16:$C$104,2,0)</f>
        <v>2</v>
      </c>
      <c r="BU50" s="8">
        <f>VLOOKUP($C50,Обработка!$B$16:$F$104,5,0)</f>
        <v>2</v>
      </c>
      <c r="BV50" s="8">
        <f>VLOOKUP($C50,Обработка!$B$16:$F$104,4,0)</f>
        <v>1</v>
      </c>
      <c r="BW50" s="8">
        <f>VLOOKUP($C50,Утилизация!$B$16:$F$104,5,0)</f>
        <v>2</v>
      </c>
      <c r="BX50" s="8">
        <f>VLOOKUP($C50,Утилизация!$B$16:$F$104,4,0)</f>
        <v>2</v>
      </c>
      <c r="BY50" s="8">
        <f>VLOOKUP($C50,Захоронение!$B$16:$C$104,2,0)</f>
        <v>0</v>
      </c>
      <c r="BZ50" s="8">
        <f>VLOOKUP($C50,'ДК ИП'!$B$16:$C$104,2,0)</f>
        <v>1</v>
      </c>
      <c r="CA50" s="8">
        <f t="shared" si="9"/>
        <v>0.65</v>
      </c>
    </row>
    <row r="51" spans="1:79" ht="30" customHeight="1">
      <c r="A51" s="9" t="s">
        <v>660</v>
      </c>
      <c r="B51" s="261">
        <f t="shared" si="3"/>
        <v>41</v>
      </c>
      <c r="C51" s="258" t="s">
        <v>89</v>
      </c>
      <c r="D51" s="227" t="str">
        <f>VLOOKUP($C51,Штаб!$B$16:$J$104,6,0)</f>
        <v>✔️</v>
      </c>
      <c r="E51" s="228" t="str">
        <f>VLOOKUP($C51,Штаб!$B$16:$J$104,7,0)</f>
        <v/>
      </c>
      <c r="F51" s="228" t="str">
        <f>VLOOKUP($C51,Штаб!$B$16:$J$104,8,0)</f>
        <v/>
      </c>
      <c r="G51" s="229" t="str">
        <f>VLOOKUP($C51,Штаб!$B$16:$J$104,9,0)</f>
        <v/>
      </c>
      <c r="H51" s="161" t="str">
        <f>VLOOKUP(C51,'РО - регионы'!$B$16:$I$104,8,0)</f>
        <v>0 / 0 / 1 из 1</v>
      </c>
      <c r="I51" s="237"/>
      <c r="J51" s="122"/>
      <c r="K51" s="94"/>
      <c r="L51" s="94"/>
      <c r="M51" s="98"/>
      <c r="N51" s="163">
        <f>VLOOKUP(C51,Спецтехника!$B$16:$J$104,4,0)</f>
        <v>222</v>
      </c>
      <c r="O51" s="166">
        <f>VLOOKUP(C51,Спецтехника!$B$16:$J$104,5,0)</f>
        <v>222</v>
      </c>
      <c r="P51" s="166">
        <f>VLOOKUP(C51,Спецтехника!$B$16:$J$104,6,0)</f>
        <v>0</v>
      </c>
      <c r="Q51" s="169">
        <f>VLOOKUP(C51,Спецтехника!$B$16:$J$104,7,0)</f>
        <v>0</v>
      </c>
      <c r="R51" s="242"/>
      <c r="S51" s="122"/>
      <c r="T51" s="94"/>
      <c r="U51" s="94"/>
      <c r="V51" s="98"/>
      <c r="W51" s="163">
        <f>VLOOKUP($C51,МНО!$B$16:$AB$104,16,0)</f>
        <v>6749</v>
      </c>
      <c r="X51" s="166">
        <f>VLOOKUP($C51,МНО!$B$16:$AB$104,8,0)</f>
        <v>6714</v>
      </c>
      <c r="Y51" s="166">
        <f>VLOOKUP($C51,МНО!$B$16:$AB$104,11,0)</f>
        <v>35</v>
      </c>
      <c r="Z51" s="173">
        <f>VLOOKUP($C51,МНО!$B$16:$AB$104,17,0)</f>
        <v>5.1859534745888284E-3</v>
      </c>
      <c r="AA51" s="245"/>
      <c r="AB51" s="95">
        <f>VLOOKUP($C51,МНО!$B$16:$AB$104,13,0)</f>
        <v>10.370958989068921</v>
      </c>
      <c r="AC51" s="154">
        <f>VLOOKUP($C51,МНО!$B$16:$AB$104,18,0)</f>
        <v>1</v>
      </c>
      <c r="AD51" s="163">
        <f>VLOOKUP($C51,Контейнеры!$B$16:$AB$104,16,0)</f>
        <v>16193</v>
      </c>
      <c r="AE51" s="166">
        <f>VLOOKUP($C51,Контейнеры!$B$16:$AB$104,8,0)</f>
        <v>15887</v>
      </c>
      <c r="AF51" s="166">
        <f>VLOOKUP($C51,Контейнеры!$B$16:$AB$104,11,0)</f>
        <v>306</v>
      </c>
      <c r="AG51" s="173">
        <f>VLOOKUP($C51,Контейнеры!$B$16:$AB$104,17,0)</f>
        <v>1.8897054282714754E-2</v>
      </c>
      <c r="AH51" s="245"/>
      <c r="AI51" s="95">
        <f>VLOOKUP($C51,Контейнеры!$B$16:$AB$104,13,0)</f>
        <v>30.791146600511667</v>
      </c>
      <c r="AJ51" s="154">
        <f>VLOOKUP($C51,Контейнеры!$B$16:$AB$104,18,0)</f>
        <v>1</v>
      </c>
      <c r="AK51" s="135"/>
      <c r="AL51" s="94"/>
      <c r="AM51" s="94"/>
      <c r="AN51" s="116"/>
      <c r="AO51" s="80">
        <f>VLOOKUP($C51,Обработка!$B$16:$L$104,6,0)</f>
        <v>0.4</v>
      </c>
      <c r="AP51" s="74">
        <f t="shared" si="4"/>
        <v>-0.14300000000000002</v>
      </c>
      <c r="AQ51" s="75">
        <f>VLOOKUP($C51,Обработка!$B$16:$L$104,7,0)</f>
        <v>0.9</v>
      </c>
      <c r="AR51" s="178">
        <f t="shared" si="5"/>
        <v>9.2999999999999972E-2</v>
      </c>
      <c r="AS51" s="180">
        <f>VLOOKUP($C51,Утилизация!$B$16:$L$104,6,0)</f>
        <v>1.6E-2</v>
      </c>
      <c r="AT51" s="76">
        <f t="shared" si="6"/>
        <v>-0.12300000000000001</v>
      </c>
      <c r="AU51" s="75">
        <f>VLOOKUP($C51,Утилизация!$B$16:$L$104,7,0)</f>
        <v>0.35</v>
      </c>
      <c r="AV51" s="185">
        <f t="shared" si="7"/>
        <v>6.4000000000000001E-2</v>
      </c>
      <c r="AW51" s="162" t="str">
        <f>VLOOKUP(C51,Захоронение!$B$16:$Q$104,16,0)</f>
        <v>белые пятна</v>
      </c>
      <c r="AX51" s="135"/>
      <c r="AY51" s="94"/>
      <c r="AZ51" s="94"/>
      <c r="BA51" s="98"/>
      <c r="BB51" s="127" t="str">
        <f>VLOOKUP(C51,'ДК ИП'!$B$16:$S$104,5,0)</f>
        <v>небольшое</v>
      </c>
      <c r="BC51" s="224">
        <f>VLOOKUP(C51,'Радар олд'!$B$3:$E$87,4,0)</f>
        <v>3.6824560043414216E-2</v>
      </c>
      <c r="BD51" s="98"/>
      <c r="BI51" s="8">
        <f t="shared" si="8"/>
        <v>0</v>
      </c>
      <c r="BJ51" s="8">
        <f>VLOOKUP(C51,Штаб!$B$16:$C$104,2)</f>
        <v>0</v>
      </c>
      <c r="BK51" s="8">
        <f>VLOOKUP(C51,'РО - регионы'!$B$16:$C$104,2)</f>
        <v>0</v>
      </c>
      <c r="BL51" s="8">
        <f>VLOOKUP(C51,'РО - регионы'!$B$16:$L$104,11)</f>
        <v>0</v>
      </c>
      <c r="BM51" s="8">
        <f>VLOOKUP(C51,Спецтехника!$B$16:$C$104,2)</f>
        <v>0</v>
      </c>
      <c r="BN51" s="8">
        <f>VLOOKUP($C51,МНО!$B$16:$AB$104,6,0)</f>
        <v>0</v>
      </c>
      <c r="BO51" s="8">
        <f>VLOOKUP($C51,МНО!$B$16:$AB$104,4,0)</f>
        <v>0</v>
      </c>
      <c r="BP51" s="8">
        <f>VLOOKUP($C51,МНО!$B$16:$AB$104,5,0)</f>
        <v>0</v>
      </c>
      <c r="BQ51" s="8">
        <f>VLOOKUP($C51,Контейнеры!$B$16:$G$104,6,0)</f>
        <v>0</v>
      </c>
      <c r="BR51" s="8">
        <f>VLOOKUP($C51,Контейнеры!$B$16:$G$104,4,0)</f>
        <v>0</v>
      </c>
      <c r="BS51" s="8">
        <f>VLOOKUP($C51,Контейнеры!$B$16:$G$104,5,0)</f>
        <v>0</v>
      </c>
      <c r="BT51" s="8">
        <f>VLOOKUP($C51,'ДК МНО'!$B$16:$C$104,2,0)</f>
        <v>2</v>
      </c>
      <c r="BU51" s="8">
        <f>VLOOKUP($C51,Обработка!$B$16:$F$104,5,0)</f>
        <v>0</v>
      </c>
      <c r="BV51" s="8">
        <f>VLOOKUP($C51,Обработка!$B$16:$F$104,4,0)</f>
        <v>1</v>
      </c>
      <c r="BW51" s="8">
        <f>VLOOKUP($C51,Утилизация!$B$16:$F$104,5,0)</f>
        <v>0</v>
      </c>
      <c r="BX51" s="8">
        <f>VLOOKUP($C51,Утилизация!$B$16:$F$104,4,0)</f>
        <v>2</v>
      </c>
      <c r="BY51" s="8">
        <f>VLOOKUP($C51,Захоронение!$B$16:$C$104,2,0)</f>
        <v>2</v>
      </c>
      <c r="BZ51" s="8">
        <f>VLOOKUP($C51,'ДК ИП'!$B$16:$C$104,2,0)</f>
        <v>0</v>
      </c>
      <c r="CA51" s="8">
        <f t="shared" si="9"/>
        <v>0.65</v>
      </c>
    </row>
    <row r="52" spans="1:79" ht="30" customHeight="1">
      <c r="A52" s="9" t="s">
        <v>659</v>
      </c>
      <c r="B52" s="261">
        <f t="shared" si="3"/>
        <v>42</v>
      </c>
      <c r="C52" s="258" t="s">
        <v>62</v>
      </c>
      <c r="D52" s="227" t="str">
        <f>VLOOKUP($C52,Штаб!$B$16:$J$104,6,0)</f>
        <v/>
      </c>
      <c r="E52" s="228" t="str">
        <f>VLOOKUP($C52,Штаб!$B$16:$J$104,7,0)</f>
        <v>✔️</v>
      </c>
      <c r="F52" s="228" t="str">
        <f>VLOOKUP($C52,Штаб!$B$16:$J$104,8,0)</f>
        <v/>
      </c>
      <c r="G52" s="229" t="str">
        <f>VLOOKUP($C52,Штаб!$B$16:$J$104,9,0)</f>
        <v/>
      </c>
      <c r="H52" s="161" t="str">
        <f>VLOOKUP(C52,'РО - регионы'!$B$16:$I$104,8,0)</f>
        <v>0 / 0 / 1 из 1</v>
      </c>
      <c r="I52" s="237"/>
      <c r="J52" s="122"/>
      <c r="K52" s="94"/>
      <c r="L52" s="94"/>
      <c r="M52" s="98"/>
      <c r="N52" s="164">
        <f>VLOOKUP(C52,Спецтехника!$B$16:$J$104,4,0)</f>
        <v>104</v>
      </c>
      <c r="O52" s="167">
        <f>VLOOKUP(C52,Спецтехника!$B$16:$J$104,5,0)</f>
        <v>86</v>
      </c>
      <c r="P52" s="167">
        <f>VLOOKUP(C52,Спецтехника!$B$16:$J$104,6,0)</f>
        <v>18</v>
      </c>
      <c r="Q52" s="170">
        <f>VLOOKUP(C52,Спецтехника!$B$16:$J$104,7,0)</f>
        <v>0.17307692307692307</v>
      </c>
      <c r="R52" s="242"/>
      <c r="S52" s="122"/>
      <c r="T52" s="94"/>
      <c r="U52" s="94"/>
      <c r="V52" s="98"/>
      <c r="W52" s="165">
        <f>VLOOKUP($C52,МНО!$B$16:$AB$104,16,0)</f>
        <v>8691</v>
      </c>
      <c r="X52" s="168">
        <f>VLOOKUP($C52,МНО!$B$16:$AB$104,8,0)</f>
        <v>8691</v>
      </c>
      <c r="Y52" s="168">
        <f>VLOOKUP($C52,МНО!$B$16:$AB$104,11,0)</f>
        <v>0</v>
      </c>
      <c r="Z52" s="174">
        <f>VLOOKUP($C52,МНО!$B$16:$AB$104,17,0)</f>
        <v>0</v>
      </c>
      <c r="AA52" s="245"/>
      <c r="AB52" s="95">
        <f>VLOOKUP($C52,МНО!$B$16:$AB$104,13,0)</f>
        <v>10.522385039124366</v>
      </c>
      <c r="AC52" s="154">
        <f>VLOOKUP($C52,МНО!$B$16:$AB$104,18,0)</f>
        <v>0.73846546010706093</v>
      </c>
      <c r="AD52" s="165">
        <f>VLOOKUP($C52,Контейнеры!$B$16:$AB$104,16,0)</f>
        <v>14766</v>
      </c>
      <c r="AE52" s="168">
        <f>VLOOKUP($C52,Контейнеры!$B$16:$AB$104,8,0)</f>
        <v>14766</v>
      </c>
      <c r="AF52" s="168">
        <f>VLOOKUP($C52,Контейнеры!$B$16:$AB$104,11,0)</f>
        <v>0</v>
      </c>
      <c r="AG52" s="174">
        <f>VLOOKUP($C52,Контейнеры!$B$16:$AB$104,17,0)</f>
        <v>0</v>
      </c>
      <c r="AH52" s="245"/>
      <c r="AI52" s="95">
        <f>VLOOKUP($C52,Контейнеры!$B$16:$AB$104,13,0)</f>
        <v>19.279505830464128</v>
      </c>
      <c r="AJ52" s="154">
        <f>VLOOKUP($C52,Контейнеры!$B$16:$AB$104,18,0)</f>
        <v>0.87580071174377228</v>
      </c>
      <c r="AK52" s="135"/>
      <c r="AL52" s="94"/>
      <c r="AM52" s="94"/>
      <c r="AN52" s="116"/>
      <c r="AO52" s="79">
        <f>VLOOKUP($C52,Обработка!$B$16:$L$104,6,0)</f>
        <v>8.5000000000000006E-2</v>
      </c>
      <c r="AP52" s="76">
        <f t="shared" si="4"/>
        <v>-0.45800000000000002</v>
      </c>
      <c r="AQ52" s="75">
        <f>VLOOKUP($C52,Обработка!$B$16:$L$104,7,0)</f>
        <v>1</v>
      </c>
      <c r="AR52" s="178">
        <f t="shared" si="5"/>
        <v>0.19299999999999995</v>
      </c>
      <c r="AS52" s="180">
        <f>VLOOKUP($C52,Утилизация!$B$16:$L$104,6,0)</f>
        <v>6.9999999999999993E-3</v>
      </c>
      <c r="AT52" s="76">
        <f t="shared" si="6"/>
        <v>-0.13200000000000001</v>
      </c>
      <c r="AU52" s="75">
        <f>VLOOKUP($C52,Утилизация!$B$16:$L$104,7,0)</f>
        <v>0.5</v>
      </c>
      <c r="AV52" s="185">
        <f t="shared" si="7"/>
        <v>0.21400000000000002</v>
      </c>
      <c r="AW52" s="160" t="str">
        <f>VLOOKUP(C52,Захоронение!$B$16:$Q$104,16,0)</f>
        <v>перегруз</v>
      </c>
      <c r="AX52" s="135"/>
      <c r="AY52" s="94"/>
      <c r="AZ52" s="94"/>
      <c r="BA52" s="98"/>
      <c r="BB52" s="127" t="str">
        <f>VLOOKUP(C52,'ДК ИП'!$B$16:$S$104,5,0)</f>
        <v>небольшое</v>
      </c>
      <c r="BC52" s="224">
        <f>VLOOKUP(C52,'Радар олд'!$B$3:$E$87,4,0)</f>
        <v>2.0890701157214277E-2</v>
      </c>
      <c r="BD52" s="98"/>
      <c r="BI52" s="8">
        <f t="shared" si="8"/>
        <v>0</v>
      </c>
      <c r="BJ52" s="8">
        <f>VLOOKUP(C52,Штаб!$B$16:$C$104,2)</f>
        <v>1</v>
      </c>
      <c r="BK52" s="8">
        <f>VLOOKUP(C52,'РО - регионы'!$B$16:$C$104,2)</f>
        <v>0</v>
      </c>
      <c r="BL52" s="8">
        <f>VLOOKUP(C52,'РО - регионы'!$B$16:$L$104,11)</f>
        <v>0</v>
      </c>
      <c r="BM52" s="8">
        <f>VLOOKUP(C52,Спецтехника!$B$16:$C$104,2)</f>
        <v>1</v>
      </c>
      <c r="BN52" s="8">
        <f>VLOOKUP($C52,МНО!$B$16:$AB$104,6,0)</f>
        <v>2</v>
      </c>
      <c r="BO52" s="8">
        <f>VLOOKUP($C52,МНО!$B$16:$AB$104,4,0)</f>
        <v>0</v>
      </c>
      <c r="BP52" s="8">
        <f>VLOOKUP($C52,МНО!$B$16:$AB$104,5,0)</f>
        <v>1</v>
      </c>
      <c r="BQ52" s="8">
        <f>VLOOKUP($C52,Контейнеры!$B$16:$G$104,6,0)</f>
        <v>2</v>
      </c>
      <c r="BR52" s="8">
        <f>VLOOKUP($C52,Контейнеры!$B$16:$G$104,4,0)</f>
        <v>0</v>
      </c>
      <c r="BS52" s="8">
        <f>VLOOKUP($C52,Контейнеры!$B$16:$G$104,5,0)</f>
        <v>1</v>
      </c>
      <c r="BT52" s="8">
        <f>VLOOKUP($C52,'ДК МНО'!$B$16:$C$104,2,0)</f>
        <v>2</v>
      </c>
      <c r="BU52" s="8">
        <f>VLOOKUP($C52,Обработка!$B$16:$F$104,5,0)</f>
        <v>0</v>
      </c>
      <c r="BV52" s="8">
        <f>VLOOKUP($C52,Обработка!$B$16:$F$104,4,0)</f>
        <v>2</v>
      </c>
      <c r="BW52" s="8">
        <f>VLOOKUP($C52,Утилизация!$B$16:$F$104,5,0)</f>
        <v>0</v>
      </c>
      <c r="BX52" s="8">
        <f>VLOOKUP($C52,Утилизация!$B$16:$F$104,4,0)</f>
        <v>2</v>
      </c>
      <c r="BY52" s="8">
        <f>VLOOKUP($C52,Захоронение!$B$16:$C$104,2,0)</f>
        <v>1</v>
      </c>
      <c r="BZ52" s="8">
        <f>VLOOKUP($C52,'ДК ИП'!$B$16:$C$104,2,0)</f>
        <v>0</v>
      </c>
      <c r="CA52" s="8">
        <f t="shared" si="9"/>
        <v>0.7</v>
      </c>
    </row>
    <row r="53" spans="1:79" ht="30" customHeight="1">
      <c r="A53" s="9" t="s">
        <v>653</v>
      </c>
      <c r="B53" s="261">
        <f t="shared" si="3"/>
        <v>43</v>
      </c>
      <c r="C53" s="258" t="s">
        <v>78</v>
      </c>
      <c r="D53" s="227" t="str">
        <f>VLOOKUP($C53,Штаб!$B$16:$J$104,6,0)</f>
        <v/>
      </c>
      <c r="E53" s="228" t="str">
        <f>VLOOKUP($C53,Штаб!$B$16:$J$104,7,0)</f>
        <v>✔️</v>
      </c>
      <c r="F53" s="228" t="str">
        <f>VLOOKUP($C53,Штаб!$B$16:$J$104,8,0)</f>
        <v/>
      </c>
      <c r="G53" s="229" t="str">
        <f>VLOOKUP($C53,Штаб!$B$16:$J$104,9,0)</f>
        <v/>
      </c>
      <c r="H53" s="160" t="str">
        <f>VLOOKUP(C53,'РО - регионы'!$B$16:$I$104,8,0)</f>
        <v>0 / 0 / 7 из 7</v>
      </c>
      <c r="I53" s="237"/>
      <c r="J53" s="122"/>
      <c r="K53" s="94"/>
      <c r="L53" s="94"/>
      <c r="M53" s="98"/>
      <c r="N53" s="164">
        <f>VLOOKUP(C53,Спецтехника!$B$16:$J$104,4,0)</f>
        <v>202</v>
      </c>
      <c r="O53" s="167">
        <f>VLOOKUP(C53,Спецтехника!$B$16:$J$104,5,0)</f>
        <v>170</v>
      </c>
      <c r="P53" s="167">
        <f>VLOOKUP(C53,Спецтехника!$B$16:$J$104,6,0)</f>
        <v>32</v>
      </c>
      <c r="Q53" s="170">
        <f>VLOOKUP(C53,Спецтехника!$B$16:$J$104,7,0)</f>
        <v>0.15841584158415842</v>
      </c>
      <c r="R53" s="242"/>
      <c r="S53" s="122"/>
      <c r="T53" s="94"/>
      <c r="U53" s="94"/>
      <c r="V53" s="98"/>
      <c r="W53" s="165">
        <f>VLOOKUP($C53,МНО!$B$16:$AB$104,16,0)</f>
        <v>20833</v>
      </c>
      <c r="X53" s="168">
        <f>VLOOKUP($C53,МНО!$B$16:$AB$104,8,0)</f>
        <v>13268</v>
      </c>
      <c r="Y53" s="168">
        <f>VLOOKUP($C53,МНО!$B$16:$AB$104,11,0)</f>
        <v>7565</v>
      </c>
      <c r="Z53" s="174">
        <f>VLOOKUP($C53,МНО!$B$16:$AB$104,17,0)</f>
        <v>0.36312581001296018</v>
      </c>
      <c r="AA53" s="245"/>
      <c r="AB53" s="95">
        <f>VLOOKUP($C53,МНО!$B$16:$AB$104,13,0)</f>
        <v>11.831682456619561</v>
      </c>
      <c r="AC53" s="154">
        <f>VLOOKUP($C53,МНО!$B$16:$AB$104,18,0)</f>
        <v>0.93377436835808292</v>
      </c>
      <c r="AD53" s="165">
        <f>VLOOKUP($C53,Контейнеры!$B$16:$AB$104,16,0)</f>
        <v>24705</v>
      </c>
      <c r="AE53" s="168">
        <f>VLOOKUP($C53,Контейнеры!$B$16:$AB$104,8,0)</f>
        <v>21478</v>
      </c>
      <c r="AF53" s="168">
        <f>VLOOKUP($C53,Контейнеры!$B$16:$AB$104,11,0)</f>
        <v>3227</v>
      </c>
      <c r="AG53" s="174">
        <f>VLOOKUP($C53,Контейнеры!$B$16:$AB$104,17,0)</f>
        <v>0.13062133171422788</v>
      </c>
      <c r="AH53" s="245"/>
      <c r="AI53" s="95">
        <f>VLOOKUP($C53,Контейнеры!$B$16:$AB$104,13,0)</f>
        <v>20.584923110836367</v>
      </c>
      <c r="AJ53" s="154">
        <f>VLOOKUP($C53,Контейнеры!$B$16:$AB$104,18,0)</f>
        <v>1</v>
      </c>
      <c r="AK53" s="135"/>
      <c r="AL53" s="94"/>
      <c r="AM53" s="94"/>
      <c r="AN53" s="116"/>
      <c r="AO53" s="79">
        <f>VLOOKUP($C53,Обработка!$B$16:$L$104,6,0)</f>
        <v>8.5999999999999993E-2</v>
      </c>
      <c r="AP53" s="76">
        <f t="shared" si="4"/>
        <v>-0.45700000000000007</v>
      </c>
      <c r="AQ53" s="74">
        <f>VLOOKUP($C53,Обработка!$B$16:$L$104,7,0)</f>
        <v>0.78</v>
      </c>
      <c r="AR53" s="179">
        <f t="shared" si="5"/>
        <v>-2.7000000000000024E-2</v>
      </c>
      <c r="AS53" s="180">
        <f>VLOOKUP($C53,Утилизация!$B$16:$L$104,6,0)</f>
        <v>5.0000000000000001E-3</v>
      </c>
      <c r="AT53" s="76">
        <f t="shared" si="6"/>
        <v>-0.13400000000000001</v>
      </c>
      <c r="AU53" s="75">
        <f>VLOOKUP($C53,Утилизация!$B$16:$L$104,7,0)</f>
        <v>0.34799999999999998</v>
      </c>
      <c r="AV53" s="185">
        <f t="shared" si="7"/>
        <v>6.2E-2</v>
      </c>
      <c r="AW53" s="161" t="str">
        <f>VLOOKUP(C53,Захоронение!$B$16:$Q$104,16,0)</f>
        <v/>
      </c>
      <c r="AX53" s="135"/>
      <c r="AY53" s="94"/>
      <c r="AZ53" s="94"/>
      <c r="BA53" s="98"/>
      <c r="BB53" s="127" t="str">
        <f>VLOOKUP(C53,'ДК ИП'!$B$16:$S$104,5,0)</f>
        <v>нет</v>
      </c>
      <c r="BC53" s="224">
        <f>VLOOKUP(C53,'Радар олд'!$B$3:$E$87,4,0)</f>
        <v>4.3128854641383572E-2</v>
      </c>
      <c r="BD53" s="98"/>
      <c r="BI53" s="8">
        <f t="shared" si="8"/>
        <v>0</v>
      </c>
      <c r="BJ53" s="8">
        <f>VLOOKUP(C53,Штаб!$B$16:$C$104,2)</f>
        <v>1</v>
      </c>
      <c r="BK53" s="8">
        <f>VLOOKUP(C53,'РО - регионы'!$B$16:$C$104,2)</f>
        <v>0</v>
      </c>
      <c r="BL53" s="8">
        <f>VLOOKUP(C53,'РО - регионы'!$B$16:$L$104,11)</f>
        <v>0</v>
      </c>
      <c r="BM53" s="8">
        <f>VLOOKUP(C53,Спецтехника!$B$16:$C$104,2)</f>
        <v>1</v>
      </c>
      <c r="BN53" s="8">
        <f>VLOOKUP($C53,МНО!$B$16:$AB$104,6,0)</f>
        <v>1</v>
      </c>
      <c r="BO53" s="8">
        <f>VLOOKUP($C53,МНО!$B$16:$AB$104,4,0)</f>
        <v>0</v>
      </c>
      <c r="BP53" s="8">
        <f>VLOOKUP($C53,МНО!$B$16:$AB$104,5,0)</f>
        <v>0</v>
      </c>
      <c r="BQ53" s="8">
        <f>VLOOKUP($C53,Контейнеры!$B$16:$G$104,6,0)</f>
        <v>0</v>
      </c>
      <c r="BR53" s="8">
        <f>VLOOKUP($C53,Контейнеры!$B$16:$G$104,4,0)</f>
        <v>0</v>
      </c>
      <c r="BS53" s="8">
        <f>VLOOKUP($C53,Контейнеры!$B$16:$G$104,5,0)</f>
        <v>0</v>
      </c>
      <c r="BT53" s="8">
        <f>VLOOKUP($C53,'ДК МНО'!$B$16:$C$104,2,0)</f>
        <v>2</v>
      </c>
      <c r="BU53" s="8">
        <f>VLOOKUP($C53,Обработка!$B$16:$F$104,5,0)</f>
        <v>1</v>
      </c>
      <c r="BV53" s="8">
        <f>VLOOKUP($C53,Обработка!$B$16:$F$104,4,0)</f>
        <v>2</v>
      </c>
      <c r="BW53" s="8">
        <f>VLOOKUP($C53,Утилизация!$B$16:$F$104,5,0)</f>
        <v>0</v>
      </c>
      <c r="BX53" s="8">
        <f>VLOOKUP($C53,Утилизация!$B$16:$F$104,4,0)</f>
        <v>2</v>
      </c>
      <c r="BY53" s="8">
        <f>VLOOKUP($C53,Захоронение!$B$16:$C$104,2,0)</f>
        <v>0</v>
      </c>
      <c r="BZ53" s="8">
        <f>VLOOKUP($C53,'ДК ИП'!$B$16:$C$104,2,0)</f>
        <v>0</v>
      </c>
      <c r="CA53" s="8">
        <f t="shared" si="9"/>
        <v>0.35</v>
      </c>
    </row>
    <row r="54" spans="1:79" ht="30" customHeight="1">
      <c r="A54" s="9" t="s">
        <v>658</v>
      </c>
      <c r="B54" s="261">
        <f t="shared" si="3"/>
        <v>44</v>
      </c>
      <c r="C54" s="258" t="s">
        <v>86</v>
      </c>
      <c r="D54" s="227" t="str">
        <f>VLOOKUP($C54,Штаб!$B$16:$J$104,6,0)</f>
        <v/>
      </c>
      <c r="E54" s="228" t="str">
        <f>VLOOKUP($C54,Штаб!$B$16:$J$104,7,0)</f>
        <v>✔️</v>
      </c>
      <c r="F54" s="228" t="str">
        <f>VLOOKUP($C54,Штаб!$B$16:$J$104,8,0)</f>
        <v/>
      </c>
      <c r="G54" s="229" t="str">
        <f>VLOOKUP($C54,Штаб!$B$16:$J$104,9,0)</f>
        <v/>
      </c>
      <c r="H54" s="161" t="str">
        <f>VLOOKUP(C54,'РО - регионы'!$B$16:$I$104,8,0)</f>
        <v>0 / 1 / 0 из 1</v>
      </c>
      <c r="I54" s="237"/>
      <c r="J54" s="122"/>
      <c r="K54" s="94"/>
      <c r="L54" s="94"/>
      <c r="M54" s="98"/>
      <c r="N54" s="163">
        <f>VLOOKUP(C54,Спецтехника!$B$16:$J$104,4,0)</f>
        <v>111</v>
      </c>
      <c r="O54" s="166">
        <f>VLOOKUP(C54,Спецтехника!$B$16:$J$104,5,0)</f>
        <v>111</v>
      </c>
      <c r="P54" s="166">
        <f>VLOOKUP(C54,Спецтехника!$B$16:$J$104,6,0)</f>
        <v>0</v>
      </c>
      <c r="Q54" s="169">
        <f>VLOOKUP(C54,Спецтехника!$B$16:$J$104,7,0)</f>
        <v>0</v>
      </c>
      <c r="R54" s="242"/>
      <c r="S54" s="122"/>
      <c r="T54" s="94"/>
      <c r="U54" s="94"/>
      <c r="V54" s="98"/>
      <c r="W54" s="165">
        <f>VLOOKUP($C54,МНО!$B$16:$AB$104,16,0)</f>
        <v>1498</v>
      </c>
      <c r="X54" s="168">
        <f>VLOOKUP($C54,МНО!$B$16:$AB$104,8,0)</f>
        <v>1498</v>
      </c>
      <c r="Y54" s="168">
        <f>VLOOKUP($C54,МНО!$B$16:$AB$104,11,0)</f>
        <v>0</v>
      </c>
      <c r="Z54" s="174">
        <f>VLOOKUP($C54,МНО!$B$16:$AB$104,17,0)</f>
        <v>0</v>
      </c>
      <c r="AA54" s="245"/>
      <c r="AB54" s="95">
        <f>VLOOKUP($C54,МНО!$B$16:$AB$104,13,0)</f>
        <v>0.95758423457014319</v>
      </c>
      <c r="AC54" s="154">
        <f>VLOOKUP($C54,МНО!$B$16:$AB$104,18,0)</f>
        <v>0.86340057636887613</v>
      </c>
      <c r="AD54" s="165">
        <f>VLOOKUP($C54,Контейнеры!$B$16:$AB$104,16,0)</f>
        <v>6007</v>
      </c>
      <c r="AE54" s="168">
        <f>VLOOKUP($C54,Контейнеры!$B$16:$AB$104,8,0)</f>
        <v>5807</v>
      </c>
      <c r="AF54" s="168">
        <f>VLOOKUP($C54,Контейнеры!$B$16:$AB$104,11,0)</f>
        <v>200</v>
      </c>
      <c r="AG54" s="174">
        <f>VLOOKUP($C54,Контейнеры!$B$16:$AB$104,17,0)</f>
        <v>3.32944897619444E-2</v>
      </c>
      <c r="AH54" s="245"/>
      <c r="AI54" s="95">
        <f>VLOOKUP($C54,Контейнеры!$B$16:$AB$104,13,0)</f>
        <v>3.7395370881969208</v>
      </c>
      <c r="AJ54" s="154">
        <f>VLOOKUP($C54,Контейнеры!$B$16:$AB$104,18,0)</f>
        <v>0.73506329113924052</v>
      </c>
      <c r="AK54" s="135"/>
      <c r="AL54" s="94"/>
      <c r="AM54" s="94"/>
      <c r="AN54" s="116"/>
      <c r="AO54" s="80">
        <f>VLOOKUP($C54,Обработка!$B$16:$L$104,6,0)</f>
        <v>0.51400000000000001</v>
      </c>
      <c r="AP54" s="74">
        <f t="shared" si="4"/>
        <v>-2.9000000000000026E-2</v>
      </c>
      <c r="AQ54" s="74">
        <f>VLOOKUP($C54,Обработка!$B$16:$L$104,7,0)</f>
        <v>0.5</v>
      </c>
      <c r="AR54" s="179">
        <f t="shared" si="5"/>
        <v>-0.30700000000000005</v>
      </c>
      <c r="AS54" s="180">
        <f>VLOOKUP($C54,Утилизация!$B$16:$L$104,6,0)</f>
        <v>0.04</v>
      </c>
      <c r="AT54" s="76">
        <f t="shared" si="6"/>
        <v>-9.9000000000000005E-2</v>
      </c>
      <c r="AU54" s="76">
        <f>VLOOKUP($C54,Утилизация!$B$16:$L$104,7,0)</f>
        <v>0.1</v>
      </c>
      <c r="AV54" s="184">
        <f t="shared" si="7"/>
        <v>-0.18599999999999997</v>
      </c>
      <c r="AW54" s="161" t="str">
        <f>VLOOKUP(C54,Захоронение!$B$16:$Q$104,16,0)</f>
        <v/>
      </c>
      <c r="AX54" s="135"/>
      <c r="AY54" s="94"/>
      <c r="AZ54" s="94"/>
      <c r="BA54" s="98"/>
      <c r="BB54" s="127" t="str">
        <f>VLOOKUP(C54,'ДК ИП'!$B$16:$S$104,5,0)</f>
        <v>не подписана</v>
      </c>
      <c r="BC54" s="224">
        <f>VLOOKUP(C54,'Радар олд'!$B$3:$E$87,4,0)</f>
        <v>6.4397056796916151E-4</v>
      </c>
      <c r="BD54" s="98"/>
      <c r="BI54" s="8">
        <f t="shared" si="8"/>
        <v>1</v>
      </c>
      <c r="BJ54" s="8">
        <f>VLOOKUP(C54,Штаб!$B$16:$C$104,2)</f>
        <v>1</v>
      </c>
      <c r="BK54" s="8">
        <f>VLOOKUP(C54,'РО - регионы'!$B$16:$C$104,2)</f>
        <v>1</v>
      </c>
      <c r="BL54" s="8">
        <f>VLOOKUP(C54,'РО - регионы'!$B$16:$L$104,11)</f>
        <v>2</v>
      </c>
      <c r="BM54" s="8">
        <f>VLOOKUP(C54,Спецтехника!$B$16:$C$104,2)</f>
        <v>0</v>
      </c>
      <c r="BN54" s="8">
        <f>VLOOKUP($C54,МНО!$B$16:$AB$104,6,0)</f>
        <v>2</v>
      </c>
      <c r="BO54" s="8">
        <f>VLOOKUP($C54,МНО!$B$16:$AB$104,4,0)</f>
        <v>2</v>
      </c>
      <c r="BP54" s="8">
        <f>VLOOKUP($C54,МНО!$B$16:$AB$104,5,0)</f>
        <v>0</v>
      </c>
      <c r="BQ54" s="8">
        <f>VLOOKUP($C54,Контейнеры!$B$16:$G$104,6,0)</f>
        <v>0</v>
      </c>
      <c r="BR54" s="8">
        <f>VLOOKUP($C54,Контейнеры!$B$16:$G$104,4,0)</f>
        <v>2</v>
      </c>
      <c r="BS54" s="8">
        <f>VLOOKUP($C54,Контейнеры!$B$16:$G$104,5,0)</f>
        <v>2</v>
      </c>
      <c r="BT54" s="8">
        <f>VLOOKUP($C54,'ДК МНО'!$B$16:$C$104,2,0)</f>
        <v>2</v>
      </c>
      <c r="BU54" s="8">
        <f>VLOOKUP($C54,Обработка!$B$16:$F$104,5,0)</f>
        <v>1</v>
      </c>
      <c r="BV54" s="8">
        <f>VLOOKUP($C54,Обработка!$B$16:$F$104,4,0)</f>
        <v>1</v>
      </c>
      <c r="BW54" s="8">
        <f>VLOOKUP($C54,Утилизация!$B$16:$F$104,5,0)</f>
        <v>2</v>
      </c>
      <c r="BX54" s="8">
        <f>VLOOKUP($C54,Утилизация!$B$16:$F$104,4,0)</f>
        <v>2</v>
      </c>
      <c r="BY54" s="8">
        <f>VLOOKUP($C54,Захоронение!$B$16:$C$104,2,0)</f>
        <v>0</v>
      </c>
      <c r="BZ54" s="8">
        <f>VLOOKUP($C54,'ДК ИП'!$B$16:$C$104,2,0)</f>
        <v>0</v>
      </c>
      <c r="CA54" s="8">
        <f t="shared" si="9"/>
        <v>0.8</v>
      </c>
    </row>
    <row r="55" spans="1:79" ht="30" customHeight="1">
      <c r="A55" s="9" t="s">
        <v>656</v>
      </c>
      <c r="B55" s="261">
        <f t="shared" si="3"/>
        <v>45</v>
      </c>
      <c r="C55" s="258" t="s">
        <v>19</v>
      </c>
      <c r="D55" s="227" t="str">
        <f>VLOOKUP($C55,Штаб!$B$16:$J$104,6,0)</f>
        <v/>
      </c>
      <c r="E55" s="228" t="str">
        <f>VLOOKUP($C55,Штаб!$B$16:$J$104,7,0)</f>
        <v/>
      </c>
      <c r="F55" s="228" t="str">
        <f>VLOOKUP($C55,Штаб!$B$16:$J$104,8,0)</f>
        <v/>
      </c>
      <c r="G55" s="229" t="str">
        <f>VLOOKUP($C55,Штаб!$B$16:$J$104,9,0)</f>
        <v>✔️</v>
      </c>
      <c r="H55" s="161" t="str">
        <f>VLOOKUP(C55,'РО - регионы'!$B$16:$I$104,8,0)</f>
        <v>0 / 0 / 1 из 1</v>
      </c>
      <c r="I55" s="237"/>
      <c r="J55" s="122"/>
      <c r="K55" s="94"/>
      <c r="L55" s="94"/>
      <c r="M55" s="98"/>
      <c r="N55" s="163">
        <f>VLOOKUP(C55,Спецтехника!$B$16:$J$104,4,0)</f>
        <v>74</v>
      </c>
      <c r="O55" s="166">
        <f>VLOOKUP(C55,Спецтехника!$B$16:$J$104,5,0)</f>
        <v>74</v>
      </c>
      <c r="P55" s="166">
        <f>VLOOKUP(C55,Спецтехника!$B$16:$J$104,6,0)</f>
        <v>0</v>
      </c>
      <c r="Q55" s="169">
        <f>VLOOKUP(C55,Спецтехника!$B$16:$J$104,7,0)</f>
        <v>0</v>
      </c>
      <c r="R55" s="242"/>
      <c r="S55" s="122"/>
      <c r="T55" s="94"/>
      <c r="U55" s="94"/>
      <c r="V55" s="98"/>
      <c r="W55" s="163">
        <f>VLOOKUP($C55,МНО!$B$16:$AB$104,16,0)</f>
        <v>0</v>
      </c>
      <c r="X55" s="166">
        <f>VLOOKUP($C55,МНО!$B$16:$AB$104,8,0)</f>
        <v>0</v>
      </c>
      <c r="Y55" s="166">
        <f>VLOOKUP($C55,МНО!$B$16:$AB$104,11,0)</f>
        <v>0</v>
      </c>
      <c r="Z55" s="173">
        <f>VLOOKUP($C55,МНО!$B$16:$AB$104,17,0)</f>
        <v>0</v>
      </c>
      <c r="AA55" s="245"/>
      <c r="AB55" s="95"/>
      <c r="AC55" s="154"/>
      <c r="AD55" s="163">
        <f>VLOOKUP($C55,Контейнеры!$B$16:$AB$104,16,0)</f>
        <v>6795</v>
      </c>
      <c r="AE55" s="166">
        <f>VLOOKUP($C55,Контейнеры!$B$16:$AB$104,8,0)</f>
        <v>0</v>
      </c>
      <c r="AF55" s="166">
        <f>VLOOKUP($C55,Контейнеры!$B$16:$AB$104,11,0)</f>
        <v>6795</v>
      </c>
      <c r="AG55" s="173">
        <f>VLOOKUP($C55,Контейнеры!$B$16:$AB$104,17,0)</f>
        <v>0</v>
      </c>
      <c r="AH55" s="245"/>
      <c r="AI55" s="95"/>
      <c r="AJ55" s="154"/>
      <c r="AK55" s="135"/>
      <c r="AL55" s="94"/>
      <c r="AM55" s="94"/>
      <c r="AN55" s="116"/>
      <c r="AO55" s="80">
        <f>VLOOKUP($C55,Обработка!$B$16:$L$104,6,0)</f>
        <v>0.49700000000000005</v>
      </c>
      <c r="AP55" s="74">
        <f t="shared" si="4"/>
        <v>-4.5999999999999985E-2</v>
      </c>
      <c r="AQ55" s="74">
        <f>VLOOKUP($C55,Обработка!$B$16:$L$104,7,0)</f>
        <v>0.45</v>
      </c>
      <c r="AR55" s="179">
        <f t="shared" si="5"/>
        <v>-0.35700000000000004</v>
      </c>
      <c r="AS55" s="180">
        <f>VLOOKUP($C55,Утилизация!$B$16:$L$104,6,0)</f>
        <v>1.4999999999999999E-2</v>
      </c>
      <c r="AT55" s="76">
        <f t="shared" si="6"/>
        <v>-0.12400000000000001</v>
      </c>
      <c r="AU55" s="76">
        <f>VLOOKUP($C55,Утилизация!$B$16:$L$104,7,0)</f>
        <v>9.0000000000000011E-3</v>
      </c>
      <c r="AV55" s="184">
        <f t="shared" si="7"/>
        <v>-0.27699999999999997</v>
      </c>
      <c r="AW55" s="160" t="str">
        <f>VLOOKUP(C55,Захоронение!$B$16:$Q$104,16,0)</f>
        <v>перегруз</v>
      </c>
      <c r="AX55" s="135"/>
      <c r="AY55" s="94"/>
      <c r="AZ55" s="94"/>
      <c r="BA55" s="98"/>
      <c r="BB55" s="127" t="str">
        <f>VLOOKUP(C55,'ДК ИП'!$B$16:$S$104,5,0)</f>
        <v>существенное</v>
      </c>
      <c r="BC55" s="224">
        <f>VLOOKUP(C55,'Радар олд'!$B$3:$E$87,4,0)</f>
        <v>3.5626872637493007E-2</v>
      </c>
      <c r="BD55" s="98"/>
      <c r="BI55" s="8">
        <f t="shared" si="8"/>
        <v>0</v>
      </c>
      <c r="BJ55" s="8">
        <f>VLOOKUP(C55,Штаб!$B$16:$C$104,2)</f>
        <v>2</v>
      </c>
      <c r="BK55" s="8">
        <f>VLOOKUP(C55,'РО - регионы'!$B$16:$C$104,2)</f>
        <v>0</v>
      </c>
      <c r="BL55" s="8">
        <f>VLOOKUP(C55,'РО - регионы'!$B$16:$L$104,11)</f>
        <v>0</v>
      </c>
      <c r="BM55" s="8">
        <f>VLOOKUP(C55,Спецтехника!$B$16:$C$104,2)</f>
        <v>0</v>
      </c>
      <c r="BN55" s="8">
        <f>VLOOKUP($C55,МНО!$B$16:$AB$104,6,0)</f>
        <v>0</v>
      </c>
      <c r="BO55" s="8">
        <f>VLOOKUP($C55,МНО!$B$16:$AB$104,4,0)</f>
        <v>0</v>
      </c>
      <c r="BP55" s="8">
        <f>VLOOKUP($C55,МНО!$B$16:$AB$104,5,0)</f>
        <v>0</v>
      </c>
      <c r="BQ55" s="8">
        <f>VLOOKUP($C55,Контейнеры!$B$16:$G$104,6,0)</f>
        <v>0</v>
      </c>
      <c r="BR55" s="8">
        <f>VLOOKUP($C55,Контейнеры!$B$16:$G$104,4,0)</f>
        <v>0</v>
      </c>
      <c r="BS55" s="8">
        <f>VLOOKUP($C55,Контейнеры!$B$16:$G$104,5,0)</f>
        <v>0</v>
      </c>
      <c r="BT55" s="8">
        <f>VLOOKUP($C55,'ДК МНО'!$B$16:$C$104,2,0)</f>
        <v>2</v>
      </c>
      <c r="BU55" s="8">
        <f>VLOOKUP($C55,Обработка!$B$16:$F$104,5,0)</f>
        <v>1</v>
      </c>
      <c r="BV55" s="8">
        <f>VLOOKUP($C55,Обработка!$B$16:$F$104,4,0)</f>
        <v>1</v>
      </c>
      <c r="BW55" s="8">
        <f>VLOOKUP($C55,Утилизация!$B$16:$F$104,5,0)</f>
        <v>2</v>
      </c>
      <c r="BX55" s="8">
        <f>VLOOKUP($C55,Утилизация!$B$16:$F$104,4,0)</f>
        <v>2</v>
      </c>
      <c r="BY55" s="8">
        <f>VLOOKUP($C55,Захоронение!$B$16:$C$104,2,0)</f>
        <v>1</v>
      </c>
      <c r="BZ55" s="8">
        <f>VLOOKUP($C55,'ДК ИП'!$B$16:$C$104,2,0)</f>
        <v>2</v>
      </c>
      <c r="CA55" s="8">
        <f t="shared" si="9"/>
        <v>0.75</v>
      </c>
    </row>
    <row r="56" spans="1:79" ht="30" customHeight="1">
      <c r="A56" s="9" t="s">
        <v>655</v>
      </c>
      <c r="B56" s="261">
        <f t="shared" si="3"/>
        <v>46</v>
      </c>
      <c r="C56" s="258" t="s">
        <v>25</v>
      </c>
      <c r="D56" s="227" t="str">
        <f>VLOOKUP($C56,Штаб!$B$16:$J$104,6,0)</f>
        <v/>
      </c>
      <c r="E56" s="228" t="str">
        <f>VLOOKUP($C56,Штаб!$B$16:$J$104,7,0)</f>
        <v/>
      </c>
      <c r="F56" s="228" t="str">
        <f>VLOOKUP($C56,Штаб!$B$16:$J$104,8,0)</f>
        <v>✔️</v>
      </c>
      <c r="G56" s="229" t="str">
        <f>VLOOKUP($C56,Штаб!$B$16:$J$104,9,0)</f>
        <v/>
      </c>
      <c r="H56" s="161" t="str">
        <f>VLOOKUP(C56,'РО - регионы'!$B$16:$I$104,8,0)</f>
        <v>0 / 0 / 1 из 1</v>
      </c>
      <c r="I56" s="237"/>
      <c r="J56" s="122"/>
      <c r="K56" s="94"/>
      <c r="L56" s="94"/>
      <c r="M56" s="98"/>
      <c r="N56" s="165">
        <f>VLOOKUP(C56,Спецтехника!$B$16:$J$104,4,0)</f>
        <v>259</v>
      </c>
      <c r="O56" s="168">
        <f>VLOOKUP(C56,Спецтехника!$B$16:$J$104,5,0)</f>
        <v>211</v>
      </c>
      <c r="P56" s="168">
        <f>VLOOKUP(C56,Спецтехника!$B$16:$J$104,6,0)</f>
        <v>48</v>
      </c>
      <c r="Q56" s="171">
        <f>VLOOKUP(C56,Спецтехника!$B$16:$J$104,7,0)</f>
        <v>0.18532818532818532</v>
      </c>
      <c r="R56" s="242"/>
      <c r="S56" s="122"/>
      <c r="T56" s="94"/>
      <c r="U56" s="94"/>
      <c r="V56" s="98"/>
      <c r="W56" s="164">
        <f>VLOOKUP($C56,МНО!$B$16:$AB$104,16,0)</f>
        <v>14342</v>
      </c>
      <c r="X56" s="167">
        <f>VLOOKUP($C56,МНО!$B$16:$AB$104,8,0)</f>
        <v>11788</v>
      </c>
      <c r="Y56" s="167">
        <f>VLOOKUP($C56,МНО!$B$16:$AB$104,11,0)</f>
        <v>2554</v>
      </c>
      <c r="Z56" s="172">
        <f>VLOOKUP($C56,МНО!$B$16:$AB$104,17,0)</f>
        <v>0.17807837121740344</v>
      </c>
      <c r="AA56" s="245"/>
      <c r="AB56" s="95">
        <f>VLOOKUP($C56,МНО!$B$16:$AB$104,13,0)</f>
        <v>10.500873380184425</v>
      </c>
      <c r="AC56" s="154">
        <f>VLOOKUP($C56,МНО!$B$16:$AB$104,18,0)</f>
        <v>0.8783250130392668</v>
      </c>
      <c r="AD56" s="164">
        <f>VLOOKUP($C56,Контейнеры!$B$16:$AB$104,16,0)</f>
        <v>24826</v>
      </c>
      <c r="AE56" s="167">
        <f>VLOOKUP($C56,Контейнеры!$B$16:$AB$104,8,0)</f>
        <v>19874</v>
      </c>
      <c r="AF56" s="167">
        <f>VLOOKUP($C56,Контейнеры!$B$16:$AB$104,11,0)</f>
        <v>4952</v>
      </c>
      <c r="AG56" s="172">
        <f>VLOOKUP($C56,Контейнеры!$B$16:$AB$104,17,0)</f>
        <v>0.19946829936357044</v>
      </c>
      <c r="AH56" s="245"/>
      <c r="AI56" s="95">
        <f>VLOOKUP($C56,Контейнеры!$B$16:$AB$104,13,0)</f>
        <v>19.222101644817652</v>
      </c>
      <c r="AJ56" s="154">
        <f>VLOOKUP($C56,Контейнеры!$B$16:$AB$104,18,0)</f>
        <v>1</v>
      </c>
      <c r="AK56" s="135"/>
      <c r="AL56" s="94"/>
      <c r="AM56" s="94"/>
      <c r="AN56" s="116"/>
      <c r="AO56" s="79">
        <f>VLOOKUP($C56,Обработка!$B$16:$L$104,6,0)</f>
        <v>0.13300000000000001</v>
      </c>
      <c r="AP56" s="76">
        <f t="shared" si="4"/>
        <v>-0.41000000000000003</v>
      </c>
      <c r="AQ56" s="75">
        <f>VLOOKUP($C56,Обработка!$B$16:$L$104,7,0)</f>
        <v>1</v>
      </c>
      <c r="AR56" s="178">
        <f t="shared" si="5"/>
        <v>0.19299999999999995</v>
      </c>
      <c r="AS56" s="180">
        <f>VLOOKUP($C56,Утилизация!$B$16:$L$104,6,0)</f>
        <v>2E-3</v>
      </c>
      <c r="AT56" s="76">
        <f t="shared" si="6"/>
        <v>-0.13700000000000001</v>
      </c>
      <c r="AU56" s="75">
        <f>VLOOKUP($C56,Утилизация!$B$16:$L$104,7,0)</f>
        <v>0.4</v>
      </c>
      <c r="AV56" s="185">
        <f t="shared" si="7"/>
        <v>0.11400000000000005</v>
      </c>
      <c r="AW56" s="160" t="str">
        <f>VLOOKUP(C56,Захоронение!$B$16:$Q$104,16,0)</f>
        <v>перегруз</v>
      </c>
      <c r="AX56" s="135"/>
      <c r="AY56" s="94"/>
      <c r="AZ56" s="94"/>
      <c r="BA56" s="98"/>
      <c r="BB56" s="127" t="str">
        <f>VLOOKUP(C56,'ДК ИП'!$B$16:$S$104,5,0)</f>
        <v>среднее</v>
      </c>
      <c r="BC56" s="224">
        <f>VLOOKUP(C56,'Радар олд'!$B$3:$E$87,4,0)</f>
        <v>6.6736691833169867E-2</v>
      </c>
      <c r="BD56" s="98"/>
      <c r="BI56" s="8">
        <f t="shared" si="8"/>
        <v>0</v>
      </c>
      <c r="BJ56" s="8">
        <f>VLOOKUP(C56,Штаб!$B$16:$C$104,2)</f>
        <v>1</v>
      </c>
      <c r="BK56" s="8">
        <f>VLOOKUP(C56,'РО - регионы'!$B$16:$C$104,2)</f>
        <v>0</v>
      </c>
      <c r="BL56" s="8">
        <f>VLOOKUP(C56,'РО - регионы'!$B$16:$L$104,11)</f>
        <v>0</v>
      </c>
      <c r="BM56" s="8">
        <f>VLOOKUP(C56,Спецтехника!$B$16:$C$104,2)</f>
        <v>2</v>
      </c>
      <c r="BN56" s="8">
        <f>VLOOKUP($C56,МНО!$B$16:$AB$104,6,0)</f>
        <v>0</v>
      </c>
      <c r="BO56" s="8">
        <f>VLOOKUP($C56,МНО!$B$16:$AB$104,4,0)</f>
        <v>0</v>
      </c>
      <c r="BP56" s="8">
        <f>VLOOKUP($C56,МНО!$B$16:$AB$104,5,0)</f>
        <v>0</v>
      </c>
      <c r="BQ56" s="8">
        <f>VLOOKUP($C56,Контейнеры!$B$16:$G$104,6,0)</f>
        <v>1</v>
      </c>
      <c r="BR56" s="8">
        <f>VLOOKUP($C56,Контейнеры!$B$16:$G$104,4,0)</f>
        <v>0</v>
      </c>
      <c r="BS56" s="8">
        <f>VLOOKUP($C56,Контейнеры!$B$16:$G$104,5,0)</f>
        <v>0</v>
      </c>
      <c r="BT56" s="8">
        <f>VLOOKUP($C56,'ДК МНО'!$B$16:$C$104,2,0)</f>
        <v>2</v>
      </c>
      <c r="BU56" s="8">
        <f>VLOOKUP($C56,Обработка!$B$16:$F$104,5,0)</f>
        <v>0</v>
      </c>
      <c r="BV56" s="8">
        <f>VLOOKUP($C56,Обработка!$B$16:$F$104,4,0)</f>
        <v>2</v>
      </c>
      <c r="BW56" s="8">
        <f>VLOOKUP($C56,Утилизация!$B$16:$F$104,5,0)</f>
        <v>0</v>
      </c>
      <c r="BX56" s="8">
        <f>VLOOKUP($C56,Утилизация!$B$16:$F$104,4,0)</f>
        <v>2</v>
      </c>
      <c r="BY56" s="8">
        <f>VLOOKUP($C56,Захоронение!$B$16:$C$104,2,0)</f>
        <v>1</v>
      </c>
      <c r="BZ56" s="8">
        <f>VLOOKUP($C56,'ДК ИП'!$B$16:$C$104,2,0)</f>
        <v>1</v>
      </c>
      <c r="CA56" s="8">
        <f t="shared" si="9"/>
        <v>0.7</v>
      </c>
    </row>
    <row r="57" spans="1:79" ht="30" customHeight="1">
      <c r="A57" s="9" t="s">
        <v>656</v>
      </c>
      <c r="B57" s="261">
        <f t="shared" si="3"/>
        <v>47</v>
      </c>
      <c r="C57" s="258" t="s">
        <v>57</v>
      </c>
      <c r="D57" s="227" t="str">
        <f>VLOOKUP($C57,Штаб!$B$16:$J$104,6,0)</f>
        <v/>
      </c>
      <c r="E57" s="228" t="str">
        <f>VLOOKUP($C57,Штаб!$B$16:$J$104,7,0)</f>
        <v/>
      </c>
      <c r="F57" s="228" t="str">
        <f>VLOOKUP($C57,Штаб!$B$16:$J$104,8,0)</f>
        <v>✔️</v>
      </c>
      <c r="G57" s="229" t="str">
        <f>VLOOKUP($C57,Штаб!$B$16:$J$104,9,0)</f>
        <v/>
      </c>
      <c r="H57" s="160" t="str">
        <f>VLOOKUP(C57,'РО - регионы'!$B$16:$I$104,8,0)</f>
        <v>0 / 1 / 0 из 1</v>
      </c>
      <c r="I57" s="237"/>
      <c r="J57" s="122"/>
      <c r="K57" s="94"/>
      <c r="L57" s="94"/>
      <c r="M57" s="98"/>
      <c r="N57" s="163">
        <f>VLOOKUP(C57,Спецтехника!$B$16:$J$104,4,0)</f>
        <v>66</v>
      </c>
      <c r="O57" s="166">
        <f>VLOOKUP(C57,Спецтехника!$B$16:$J$104,5,0)</f>
        <v>66</v>
      </c>
      <c r="P57" s="166">
        <f>VLOOKUP(C57,Спецтехника!$B$16:$J$104,6,0)</f>
        <v>0</v>
      </c>
      <c r="Q57" s="169">
        <f>VLOOKUP(C57,Спецтехника!$B$16:$J$104,7,0)</f>
        <v>0</v>
      </c>
      <c r="R57" s="242"/>
      <c r="S57" s="122"/>
      <c r="T57" s="94"/>
      <c r="U57" s="94"/>
      <c r="V57" s="98"/>
      <c r="W57" s="164">
        <f>VLOOKUP($C57,МНО!$B$16:$AB$104,16,0)</f>
        <v>1333</v>
      </c>
      <c r="X57" s="167">
        <f>VLOOKUP($C57,МНО!$B$16:$AB$104,8,0)</f>
        <v>1047</v>
      </c>
      <c r="Y57" s="167">
        <f>VLOOKUP($C57,МНО!$B$16:$AB$104,11,0)</f>
        <v>286</v>
      </c>
      <c r="Z57" s="172">
        <f>VLOOKUP($C57,МНО!$B$16:$AB$104,17,0)</f>
        <v>0.2145536384096024</v>
      </c>
      <c r="AA57" s="245"/>
      <c r="AB57" s="95">
        <f>VLOOKUP($C57,МНО!$B$16:$AB$104,13,0)</f>
        <v>3.9097349776961425</v>
      </c>
      <c r="AC57" s="154">
        <f>VLOOKUP($C57,МНО!$B$16:$AB$104,18,0)</f>
        <v>1</v>
      </c>
      <c r="AD57" s="164">
        <f>VLOOKUP($C57,Контейнеры!$B$16:$AB$104,16,0)</f>
        <v>3194</v>
      </c>
      <c r="AE57" s="167">
        <f>VLOOKUP($C57,Контейнеры!$B$16:$AB$104,8,0)</f>
        <v>2375</v>
      </c>
      <c r="AF57" s="167">
        <f>VLOOKUP($C57,Контейнеры!$B$16:$AB$104,11,0)</f>
        <v>819</v>
      </c>
      <c r="AG57" s="172">
        <f>VLOOKUP($C57,Контейнеры!$B$16:$AB$104,17,0)</f>
        <v>0.25641828428303071</v>
      </c>
      <c r="AH57" s="245"/>
      <c r="AI57" s="95">
        <f>VLOOKUP($C57,Контейнеры!$B$16:$AB$104,13,0)</f>
        <v>8.9028001649360888</v>
      </c>
      <c r="AJ57" s="154">
        <f>VLOOKUP($C57,Контейнеры!$B$16:$AB$104,18,0)</f>
        <v>1</v>
      </c>
      <c r="AK57" s="135"/>
      <c r="AL57" s="94"/>
      <c r="AM57" s="94"/>
      <c r="AN57" s="116"/>
      <c r="AO57" s="79">
        <f>VLOOKUP($C57,Обработка!$B$16:$L$104,6,0)</f>
        <v>0.92799999999999994</v>
      </c>
      <c r="AP57" s="76">
        <f t="shared" si="4"/>
        <v>0.3849999999999999</v>
      </c>
      <c r="AQ57" s="75">
        <f>VLOOKUP($C57,Обработка!$B$16:$L$104,7,0)</f>
        <v>1</v>
      </c>
      <c r="AR57" s="178">
        <f t="shared" si="5"/>
        <v>0.19299999999999995</v>
      </c>
      <c r="AS57" s="180">
        <f>VLOOKUP($C57,Утилизация!$B$16:$L$104,6,0)</f>
        <v>0</v>
      </c>
      <c r="AT57" s="76">
        <f t="shared" si="6"/>
        <v>-0.13900000000000001</v>
      </c>
      <c r="AU57" s="74">
        <f>VLOOKUP($C57,Утилизация!$B$16:$L$104,7,0)</f>
        <v>0.25</v>
      </c>
      <c r="AV57" s="186">
        <f t="shared" si="7"/>
        <v>-3.5999999999999976E-2</v>
      </c>
      <c r="AW57" s="161" t="str">
        <f>VLOOKUP(C57,Захоронение!$B$16:$Q$104,16,0)</f>
        <v/>
      </c>
      <c r="AX57" s="135"/>
      <c r="AY57" s="94"/>
      <c r="AZ57" s="94"/>
      <c r="BA57" s="98"/>
      <c r="BB57" s="127" t="str">
        <f>VLOOKUP(C57,'ДК ИП'!$B$16:$S$104,5,0)</f>
        <v>среднее</v>
      </c>
      <c r="BC57" s="224">
        <f>VLOOKUP(C57,'Радар олд'!$B$3:$E$87,4,0)</f>
        <v>9.7462233384563474E-2</v>
      </c>
      <c r="BD57" s="98"/>
      <c r="BI57" s="8">
        <f t="shared" si="8"/>
        <v>1</v>
      </c>
      <c r="BJ57" s="8">
        <f>VLOOKUP(C57,Штаб!$B$16:$C$104,2)</f>
        <v>1</v>
      </c>
      <c r="BK57" s="8">
        <f>VLOOKUP(C57,'РО - регионы'!$B$16:$C$104,2)</f>
        <v>1</v>
      </c>
      <c r="BL57" s="8">
        <f>VLOOKUP(C57,'РО - регионы'!$B$16:$L$104,11)</f>
        <v>2</v>
      </c>
      <c r="BM57" s="8">
        <f>VLOOKUP(C57,Спецтехника!$B$16:$C$104,2)</f>
        <v>0</v>
      </c>
      <c r="BN57" s="8">
        <f>VLOOKUP($C57,МНО!$B$16:$AB$104,6,0)</f>
        <v>1</v>
      </c>
      <c r="BO57" s="8">
        <f>VLOOKUP($C57,МНО!$B$16:$AB$104,4,0)</f>
        <v>1</v>
      </c>
      <c r="BP57" s="8">
        <f>VLOOKUP($C57,МНО!$B$16:$AB$104,5,0)</f>
        <v>0</v>
      </c>
      <c r="BQ57" s="8">
        <f>VLOOKUP($C57,Контейнеры!$B$16:$G$104,6,0)</f>
        <v>1</v>
      </c>
      <c r="BR57" s="8">
        <f>VLOOKUP($C57,Контейнеры!$B$16:$G$104,4,0)</f>
        <v>2</v>
      </c>
      <c r="BS57" s="8">
        <f>VLOOKUP($C57,Контейнеры!$B$16:$G$104,5,0)</f>
        <v>0</v>
      </c>
      <c r="BT57" s="8">
        <f>VLOOKUP($C57,'ДК МНО'!$B$16:$C$104,2,0)</f>
        <v>2</v>
      </c>
      <c r="BU57" s="8">
        <f>VLOOKUP($C57,Обработка!$B$16:$F$104,5,0)</f>
        <v>0</v>
      </c>
      <c r="BV57" s="8">
        <f>VLOOKUP($C57,Обработка!$B$16:$F$104,4,0)</f>
        <v>2</v>
      </c>
      <c r="BW57" s="8">
        <f>VLOOKUP($C57,Утилизация!$B$16:$F$104,5,0)</f>
        <v>1</v>
      </c>
      <c r="BX57" s="8">
        <f>VLOOKUP($C57,Утилизация!$B$16:$F$104,4,0)</f>
        <v>2</v>
      </c>
      <c r="BY57" s="8">
        <f>VLOOKUP($C57,Захоронение!$B$16:$C$104,2,0)</f>
        <v>0</v>
      </c>
      <c r="BZ57" s="8">
        <f>VLOOKUP($C57,'ДК ИП'!$B$16:$C$104,2,0)</f>
        <v>1</v>
      </c>
      <c r="CA57" s="8">
        <f t="shared" si="9"/>
        <v>0.79999999999999993</v>
      </c>
    </row>
    <row r="58" spans="1:79" ht="30" customHeight="1">
      <c r="A58" s="9" t="s">
        <v>656</v>
      </c>
      <c r="B58" s="261">
        <f t="shared" si="3"/>
        <v>48</v>
      </c>
      <c r="C58" s="258" t="s">
        <v>2</v>
      </c>
      <c r="D58" s="227" t="str">
        <f>VLOOKUP($C58,Штаб!$B$16:$J$104,6,0)</f>
        <v/>
      </c>
      <c r="E58" s="228" t="str">
        <f>VLOOKUP($C58,Штаб!$B$16:$J$104,7,0)</f>
        <v/>
      </c>
      <c r="F58" s="228" t="str">
        <f>VLOOKUP($C58,Штаб!$B$16:$J$104,8,0)</f>
        <v>✔️</v>
      </c>
      <c r="G58" s="229" t="str">
        <f>VLOOKUP($C58,Штаб!$B$16:$J$104,9,0)</f>
        <v/>
      </c>
      <c r="H58" s="161" t="str">
        <f>VLOOKUP(C58,'РО - регионы'!$B$16:$I$104,8,0)</f>
        <v>0 / 0 / 2 из 2</v>
      </c>
      <c r="I58" s="237"/>
      <c r="J58" s="122"/>
      <c r="K58" s="94"/>
      <c r="L58" s="94"/>
      <c r="M58" s="98"/>
      <c r="N58" s="163">
        <f>VLOOKUP(C58,Спецтехника!$B$16:$J$104,4,0)</f>
        <v>127</v>
      </c>
      <c r="O58" s="166">
        <f>VLOOKUP(C58,Спецтехника!$B$16:$J$104,5,0)</f>
        <v>127</v>
      </c>
      <c r="P58" s="166">
        <f>VLOOKUP(C58,Спецтехника!$B$16:$J$104,6,0)</f>
        <v>0</v>
      </c>
      <c r="Q58" s="169">
        <f>VLOOKUP(C58,Спецтехника!$B$16:$J$104,7,0)</f>
        <v>0</v>
      </c>
      <c r="R58" s="242"/>
      <c r="S58" s="122"/>
      <c r="T58" s="94"/>
      <c r="U58" s="94"/>
      <c r="V58" s="98"/>
      <c r="W58" s="165">
        <f>VLOOKUP($C58,МНО!$B$16:$AB$104,16,0)</f>
        <v>4217</v>
      </c>
      <c r="X58" s="168">
        <f>VLOOKUP($C58,МНО!$B$16:$AB$104,8,0)</f>
        <v>4098</v>
      </c>
      <c r="Y58" s="168">
        <f>VLOOKUP($C58,МНО!$B$16:$AB$104,11,0)</f>
        <v>119</v>
      </c>
      <c r="Z58" s="174">
        <f>VLOOKUP($C58,МНО!$B$16:$AB$104,17,0)</f>
        <v>2.8219113113587858E-2</v>
      </c>
      <c r="AA58" s="245"/>
      <c r="AB58" s="95">
        <f>VLOOKUP($C58,МНО!$B$16:$AB$104,13,0)</f>
        <v>4.2824131551336659</v>
      </c>
      <c r="AC58" s="154">
        <f>VLOOKUP($C58,МНО!$B$16:$AB$104,18,0)</f>
        <v>0.31455326988025789</v>
      </c>
      <c r="AD58" s="165">
        <f>VLOOKUP($C58,Контейнеры!$B$16:$AB$104,16,0)</f>
        <v>8364</v>
      </c>
      <c r="AE58" s="168">
        <f>VLOOKUP($C58,Контейнеры!$B$16:$AB$104,8,0)</f>
        <v>6951</v>
      </c>
      <c r="AF58" s="168">
        <f>VLOOKUP($C58,Контейнеры!$B$16:$AB$104,11,0)</f>
        <v>1413</v>
      </c>
      <c r="AG58" s="174">
        <f>VLOOKUP($C58,Контейнеры!$B$16:$AB$104,17,0)</f>
        <v>0.16893830703012913</v>
      </c>
      <c r="AH58" s="245"/>
      <c r="AI58" s="95">
        <f>VLOOKUP($C58,Контейнеры!$B$16:$AB$104,13,0)</f>
        <v>7.3444495044002238</v>
      </c>
      <c r="AJ58" s="154">
        <f>VLOOKUP($C58,Контейнеры!$B$16:$AB$104,18,0)</f>
        <v>0.29712746858168759</v>
      </c>
      <c r="AK58" s="135"/>
      <c r="AL58" s="94"/>
      <c r="AM58" s="94"/>
      <c r="AN58" s="116"/>
      <c r="AO58" s="78">
        <f>VLOOKUP($C58,Обработка!$B$16:$L$104,6,0)</f>
        <v>0.72099999999999997</v>
      </c>
      <c r="AP58" s="75">
        <f t="shared" si="4"/>
        <v>0.17799999999999994</v>
      </c>
      <c r="AQ58" s="75">
        <f>VLOOKUP($C58,Обработка!$B$16:$L$104,7,0)</f>
        <v>0.9</v>
      </c>
      <c r="AR58" s="178">
        <f t="shared" si="5"/>
        <v>9.2999999999999972E-2</v>
      </c>
      <c r="AS58" s="181">
        <f>VLOOKUP($C58,Утилизация!$B$16:$L$104,6,0)</f>
        <v>0.13</v>
      </c>
      <c r="AT58" s="74">
        <f t="shared" si="6"/>
        <v>-9.000000000000008E-3</v>
      </c>
      <c r="AU58" s="74">
        <f>VLOOKUP($C58,Утилизация!$B$16:$L$104,7,0)</f>
        <v>0.251</v>
      </c>
      <c r="AV58" s="186">
        <f t="shared" si="7"/>
        <v>-3.4999999999999976E-2</v>
      </c>
      <c r="AW58" s="160" t="str">
        <f>VLOOKUP(C58,Захоронение!$B$16:$Q$104,16,0)</f>
        <v>перегруз</v>
      </c>
      <c r="AX58" s="135"/>
      <c r="AY58" s="94"/>
      <c r="AZ58" s="94"/>
      <c r="BA58" s="98"/>
      <c r="BB58" s="127" t="str">
        <f>VLOOKUP(C58,'ДК ИП'!$B$16:$S$104,5,0)</f>
        <v>существенное</v>
      </c>
      <c r="BC58" s="224">
        <f>VLOOKUP(C58,'Радар олд'!$B$3:$E$87,4,0)</f>
        <v>0.14898106461234809</v>
      </c>
      <c r="BD58" s="98"/>
      <c r="BI58" s="8">
        <f t="shared" si="8"/>
        <v>0</v>
      </c>
      <c r="BJ58" s="8">
        <f>VLOOKUP(C58,Штаб!$B$16:$C$104,2)</f>
        <v>1</v>
      </c>
      <c r="BK58" s="8">
        <f>VLOOKUP(C58,'РО - регионы'!$B$16:$C$104,2)</f>
        <v>0</v>
      </c>
      <c r="BL58" s="8">
        <f>VLOOKUP(C58,'РО - регионы'!$B$16:$L$104,11)</f>
        <v>0</v>
      </c>
      <c r="BM58" s="8">
        <f>VLOOKUP(C58,Спецтехника!$B$16:$C$104,2)</f>
        <v>0</v>
      </c>
      <c r="BN58" s="8">
        <f>VLOOKUP($C58,МНО!$B$16:$AB$104,6,0)</f>
        <v>0</v>
      </c>
      <c r="BO58" s="8">
        <f>VLOOKUP($C58,МНО!$B$16:$AB$104,4,0)</f>
        <v>1</v>
      </c>
      <c r="BP58" s="8">
        <f>VLOOKUP($C58,МНО!$B$16:$AB$104,5,0)</f>
        <v>2</v>
      </c>
      <c r="BQ58" s="8">
        <f>VLOOKUP($C58,Контейнеры!$B$16:$G$104,6,0)</f>
        <v>1</v>
      </c>
      <c r="BR58" s="8">
        <f>VLOOKUP($C58,Контейнеры!$B$16:$G$104,4,0)</f>
        <v>0</v>
      </c>
      <c r="BS58" s="8">
        <f>VLOOKUP($C58,Контейнеры!$B$16:$G$104,5,0)</f>
        <v>2</v>
      </c>
      <c r="BT58" s="8">
        <f>VLOOKUP($C58,'ДК МНО'!$B$16:$C$104,2,0)</f>
        <v>2</v>
      </c>
      <c r="BU58" s="8">
        <f>VLOOKUP($C58,Обработка!$B$16:$F$104,5,0)</f>
        <v>0</v>
      </c>
      <c r="BV58" s="8">
        <f>VLOOKUP($C58,Обработка!$B$16:$F$104,4,0)</f>
        <v>0</v>
      </c>
      <c r="BW58" s="8">
        <f>VLOOKUP($C58,Утилизация!$B$16:$F$104,5,0)</f>
        <v>1</v>
      </c>
      <c r="BX58" s="8">
        <f>VLOOKUP($C58,Утилизация!$B$16:$F$104,4,0)</f>
        <v>1</v>
      </c>
      <c r="BY58" s="8">
        <f>VLOOKUP($C58,Захоронение!$B$16:$C$104,2,0)</f>
        <v>1</v>
      </c>
      <c r="BZ58" s="8">
        <f>VLOOKUP($C58,'ДК ИП'!$B$16:$C$104,2,0)</f>
        <v>2</v>
      </c>
      <c r="CA58" s="8">
        <f t="shared" si="9"/>
        <v>0.65</v>
      </c>
    </row>
    <row r="59" spans="1:79" ht="30" customHeight="1">
      <c r="A59" s="9" t="s">
        <v>660</v>
      </c>
      <c r="B59" s="261">
        <f t="shared" si="3"/>
        <v>49</v>
      </c>
      <c r="C59" s="258" t="s">
        <v>73</v>
      </c>
      <c r="D59" s="227" t="str">
        <f>VLOOKUP($C59,Штаб!$B$16:$J$104,6,0)</f>
        <v/>
      </c>
      <c r="E59" s="228" t="str">
        <f>VLOOKUP($C59,Штаб!$B$16:$J$104,7,0)</f>
        <v>✔️</v>
      </c>
      <c r="F59" s="228" t="str">
        <f>VLOOKUP($C59,Штаб!$B$16:$J$104,8,0)</f>
        <v/>
      </c>
      <c r="G59" s="229" t="str">
        <f>VLOOKUP($C59,Штаб!$B$16:$J$104,9,0)</f>
        <v/>
      </c>
      <c r="H59" s="161" t="str">
        <f>VLOOKUP(C59,'РО - регионы'!$B$16:$I$104,8,0)</f>
        <v>0 / 1 / 2 из 3</v>
      </c>
      <c r="I59" s="237"/>
      <c r="J59" s="122"/>
      <c r="K59" s="94"/>
      <c r="L59" s="94"/>
      <c r="M59" s="98"/>
      <c r="N59" s="163">
        <f>VLOOKUP(C59,Спецтехника!$B$16:$J$104,4,0)</f>
        <v>682</v>
      </c>
      <c r="O59" s="166">
        <f>VLOOKUP(C59,Спецтехника!$B$16:$J$104,5,0)</f>
        <v>664</v>
      </c>
      <c r="P59" s="166">
        <f>VLOOKUP(C59,Спецтехника!$B$16:$J$104,6,0)</f>
        <v>18</v>
      </c>
      <c r="Q59" s="169">
        <f>VLOOKUP(C59,Спецтехника!$B$16:$J$104,7,0)</f>
        <v>2.6392961876832845E-2</v>
      </c>
      <c r="R59" s="242"/>
      <c r="S59" s="122"/>
      <c r="T59" s="94"/>
      <c r="U59" s="94"/>
      <c r="V59" s="98"/>
      <c r="W59" s="163">
        <f>VLOOKUP($C59,МНО!$B$16:$AB$104,16,0)</f>
        <v>41954</v>
      </c>
      <c r="X59" s="166">
        <f>VLOOKUP($C59,МНО!$B$16:$AB$104,8,0)</f>
        <v>37469</v>
      </c>
      <c r="Y59" s="166">
        <f>VLOOKUP($C59,МНО!$B$16:$AB$104,11,0)</f>
        <v>4485</v>
      </c>
      <c r="Z59" s="173">
        <f>VLOOKUP($C59,МНО!$B$16:$AB$104,17,0)</f>
        <v>0.10690279830290318</v>
      </c>
      <c r="AA59" s="245"/>
      <c r="AB59" s="95">
        <f>VLOOKUP($C59,МНО!$B$16:$AB$104,13,0)</f>
        <v>8.4000857272429101</v>
      </c>
      <c r="AC59" s="154">
        <f>VLOOKUP($C59,МНО!$B$16:$AB$104,18,0)</f>
        <v>0.98631182710784704</v>
      </c>
      <c r="AD59" s="164">
        <f>VLOOKUP($C59,Контейнеры!$B$16:$AB$104,16,0)</f>
        <v>98886</v>
      </c>
      <c r="AE59" s="167">
        <f>VLOOKUP($C59,Контейнеры!$B$16:$AB$104,8,0)</f>
        <v>90015</v>
      </c>
      <c r="AF59" s="167">
        <f>VLOOKUP($C59,Контейнеры!$B$16:$AB$104,11,0)</f>
        <v>8871</v>
      </c>
      <c r="AG59" s="172">
        <f>VLOOKUP($C59,Контейнеры!$B$16:$AB$104,17,0)</f>
        <v>8.9709362295977188E-2</v>
      </c>
      <c r="AH59" s="245"/>
      <c r="AI59" s="95">
        <f>VLOOKUP($C59,Контейнеры!$B$16:$AB$104,13,0)</f>
        <v>21.316955167256928</v>
      </c>
      <c r="AJ59" s="154">
        <f>VLOOKUP($C59,Контейнеры!$B$16:$AB$104,18,0)</f>
        <v>0.76473136915077988</v>
      </c>
      <c r="AK59" s="135"/>
      <c r="AL59" s="94"/>
      <c r="AM59" s="94"/>
      <c r="AN59" s="116"/>
      <c r="AO59" s="79">
        <f>VLOOKUP($C59,Обработка!$B$16:$L$104,6,0)</f>
        <v>0.17399999999999999</v>
      </c>
      <c r="AP59" s="76">
        <f t="shared" si="4"/>
        <v>-0.36900000000000005</v>
      </c>
      <c r="AQ59" s="74">
        <f>VLOOKUP($C59,Обработка!$B$16:$L$104,7,0)</f>
        <v>0.41</v>
      </c>
      <c r="AR59" s="179">
        <f t="shared" si="5"/>
        <v>-0.39700000000000008</v>
      </c>
      <c r="AS59" s="180">
        <f>VLOOKUP($C59,Утилизация!$B$16:$L$104,6,0)</f>
        <v>1.1000000000000001E-2</v>
      </c>
      <c r="AT59" s="76">
        <f t="shared" si="6"/>
        <v>-0.128</v>
      </c>
      <c r="AU59" s="74">
        <f>VLOOKUP($C59,Утилизация!$B$16:$L$104,7,0)</f>
        <v>0.2</v>
      </c>
      <c r="AV59" s="186">
        <f t="shared" si="7"/>
        <v>-8.5999999999999965E-2</v>
      </c>
      <c r="AW59" s="160" t="str">
        <f>VLOOKUP(C59,Захоронение!$B$16:$Q$104,16,0)</f>
        <v>765 приказ</v>
      </c>
      <c r="AX59" s="135"/>
      <c r="AY59" s="94"/>
      <c r="AZ59" s="94"/>
      <c r="BA59" s="98"/>
      <c r="BB59" s="127" t="str">
        <f>VLOOKUP(C59,'ДК ИП'!$B$16:$S$104,5,0)</f>
        <v>существенное</v>
      </c>
      <c r="BC59" s="224">
        <f>VLOOKUP(C59,'Радар олд'!$B$3:$E$87,4,0)</f>
        <v>0.12811723318875742</v>
      </c>
      <c r="BD59" s="98"/>
      <c r="BI59" s="8">
        <f t="shared" si="8"/>
        <v>1</v>
      </c>
      <c r="BJ59" s="8">
        <f>VLOOKUP(C59,Штаб!$B$16:$C$104,2)</f>
        <v>1</v>
      </c>
      <c r="BK59" s="8">
        <f>VLOOKUP(C59,'РО - регионы'!$B$16:$C$104,2)</f>
        <v>1</v>
      </c>
      <c r="BL59" s="8">
        <f>VLOOKUP(C59,'РО - регионы'!$B$16:$L$104,11)</f>
        <v>2</v>
      </c>
      <c r="BM59" s="8">
        <f>VLOOKUP(C59,Спецтехника!$B$16:$C$104,2)</f>
        <v>0</v>
      </c>
      <c r="BN59" s="8">
        <f>VLOOKUP($C59,МНО!$B$16:$AB$104,6,0)</f>
        <v>0</v>
      </c>
      <c r="BO59" s="8">
        <f>VLOOKUP($C59,МНО!$B$16:$AB$104,4,0)</f>
        <v>0</v>
      </c>
      <c r="BP59" s="8">
        <f>VLOOKUP($C59,МНО!$B$16:$AB$104,5,0)</f>
        <v>0</v>
      </c>
      <c r="BQ59" s="8">
        <f>VLOOKUP($C59,Контейнеры!$B$16:$G$104,6,0)</f>
        <v>0</v>
      </c>
      <c r="BR59" s="8">
        <f>VLOOKUP($C59,Контейнеры!$B$16:$G$104,4,0)</f>
        <v>0</v>
      </c>
      <c r="BS59" s="8">
        <f>VLOOKUP($C59,Контейнеры!$B$16:$G$104,5,0)</f>
        <v>2</v>
      </c>
      <c r="BT59" s="8">
        <f>VLOOKUP($C59,'ДК МНО'!$B$16:$C$104,2,0)</f>
        <v>2</v>
      </c>
      <c r="BU59" s="8">
        <f>VLOOKUP($C59,Обработка!$B$16:$F$104,5,0)</f>
        <v>1</v>
      </c>
      <c r="BV59" s="8">
        <f>VLOOKUP($C59,Обработка!$B$16:$F$104,4,0)</f>
        <v>2</v>
      </c>
      <c r="BW59" s="8">
        <f>VLOOKUP($C59,Утилизация!$B$16:$F$104,5,0)</f>
        <v>1</v>
      </c>
      <c r="BX59" s="8">
        <f>VLOOKUP($C59,Утилизация!$B$16:$F$104,4,0)</f>
        <v>2</v>
      </c>
      <c r="BY59" s="8">
        <f>VLOOKUP($C59,Захоронение!$B$16:$C$104,2,0)</f>
        <v>1</v>
      </c>
      <c r="BZ59" s="8">
        <f>VLOOKUP($C59,'ДК ИП'!$B$16:$C$104,2,0)</f>
        <v>2</v>
      </c>
      <c r="CA59" s="8">
        <f t="shared" si="9"/>
        <v>0.95</v>
      </c>
    </row>
    <row r="60" spans="1:79" ht="30" customHeight="1">
      <c r="A60" s="9" t="s">
        <v>653</v>
      </c>
      <c r="B60" s="261">
        <f t="shared" si="3"/>
        <v>50</v>
      </c>
      <c r="C60" s="258" t="s">
        <v>44</v>
      </c>
      <c r="D60" s="227" t="str">
        <f>VLOOKUP($C60,Штаб!$B$16:$J$104,6,0)</f>
        <v/>
      </c>
      <c r="E60" s="228" t="str">
        <f>VLOOKUP($C60,Штаб!$B$16:$J$104,7,0)</f>
        <v/>
      </c>
      <c r="F60" s="228" t="str">
        <f>VLOOKUP($C60,Штаб!$B$16:$J$104,8,0)</f>
        <v/>
      </c>
      <c r="G60" s="229" t="str">
        <f>VLOOKUP($C60,Штаб!$B$16:$J$104,9,0)</f>
        <v>✔️</v>
      </c>
      <c r="H60" s="161" t="str">
        <f>VLOOKUP(C60,'РО - регионы'!$B$16:$I$104,8,0)</f>
        <v>0 / 0 / 1 из 1</v>
      </c>
      <c r="I60" s="237"/>
      <c r="J60" s="122"/>
      <c r="K60" s="94"/>
      <c r="L60" s="94"/>
      <c r="M60" s="98"/>
      <c r="N60" s="163">
        <f>VLOOKUP(C60,Спецтехника!$B$16:$J$104,4,0)</f>
        <v>631</v>
      </c>
      <c r="O60" s="166">
        <f>VLOOKUP(C60,Спецтехника!$B$16:$J$104,5,0)</f>
        <v>597</v>
      </c>
      <c r="P60" s="166">
        <f>VLOOKUP(C60,Спецтехника!$B$16:$J$104,6,0)</f>
        <v>34</v>
      </c>
      <c r="Q60" s="169">
        <f>VLOOKUP(C60,Спецтехника!$B$16:$J$104,7,0)</f>
        <v>5.388272583201268E-2</v>
      </c>
      <c r="R60" s="242"/>
      <c r="S60" s="122"/>
      <c r="T60" s="94"/>
      <c r="U60" s="94"/>
      <c r="V60" s="98"/>
      <c r="W60" s="163">
        <f>VLOOKUP($C60,МНО!$B$16:$AB$104,16,0)</f>
        <v>18031</v>
      </c>
      <c r="X60" s="166">
        <f>VLOOKUP($C60,МНО!$B$16:$AB$104,8,0)</f>
        <v>16196</v>
      </c>
      <c r="Y60" s="166">
        <f>VLOOKUP($C60,МНО!$B$16:$AB$104,11,0)</f>
        <v>1835</v>
      </c>
      <c r="Z60" s="173">
        <f>VLOOKUP($C60,МНО!$B$16:$AB$104,17,0)</f>
        <v>0.10176917530918973</v>
      </c>
      <c r="AA60" s="245"/>
      <c r="AB60" s="95">
        <f>VLOOKUP($C60,МНО!$B$16:$AB$104,13,0)</f>
        <v>3.6131508797891545</v>
      </c>
      <c r="AC60" s="154">
        <f>VLOOKUP($C60,МНО!$B$16:$AB$104,18,0)</f>
        <v>1</v>
      </c>
      <c r="AD60" s="164">
        <f>VLOOKUP($C60,Контейнеры!$B$16:$AB$104,16,0)</f>
        <v>42807</v>
      </c>
      <c r="AE60" s="167">
        <f>VLOOKUP($C60,Контейнеры!$B$16:$AB$104,8,0)</f>
        <v>38649</v>
      </c>
      <c r="AF60" s="167">
        <f>VLOOKUP($C60,Контейнеры!$B$16:$AB$104,11,0)</f>
        <v>4158</v>
      </c>
      <c r="AG60" s="172">
        <f>VLOOKUP($C60,Контейнеры!$B$16:$AB$104,17,0)</f>
        <v>9.7133646366248508E-2</v>
      </c>
      <c r="AH60" s="245"/>
      <c r="AI60" s="95">
        <f>VLOOKUP($C60,Контейнеры!$B$16:$AB$104,13,0)</f>
        <v>13.855012238612067</v>
      </c>
      <c r="AJ60" s="154">
        <f>VLOOKUP($C60,Контейнеры!$B$16:$AB$104,18,0)</f>
        <v>1</v>
      </c>
      <c r="AK60" s="135"/>
      <c r="AL60" s="94"/>
      <c r="AM60" s="94"/>
      <c r="AN60" s="116"/>
      <c r="AO60" s="79">
        <f>VLOOKUP($C60,Обработка!$B$16:$L$104,6,0)</f>
        <v>9.6000000000000002E-2</v>
      </c>
      <c r="AP60" s="76">
        <f t="shared" si="4"/>
        <v>-0.44700000000000006</v>
      </c>
      <c r="AQ60" s="74">
        <f>VLOOKUP($C60,Обработка!$B$16:$L$104,7,0)</f>
        <v>0.8</v>
      </c>
      <c r="AR60" s="179">
        <f t="shared" si="5"/>
        <v>-7.0000000000000062E-3</v>
      </c>
      <c r="AS60" s="180">
        <f>VLOOKUP($C60,Утилизация!$B$16:$L$104,6,0)</f>
        <v>2.4E-2</v>
      </c>
      <c r="AT60" s="76">
        <f t="shared" si="6"/>
        <v>-0.11500000000000002</v>
      </c>
      <c r="AU60" s="75">
        <f>VLOOKUP($C60,Утилизация!$B$16:$L$104,7,0)</f>
        <v>0.43200000000000005</v>
      </c>
      <c r="AV60" s="185">
        <f t="shared" si="7"/>
        <v>0.14600000000000007</v>
      </c>
      <c r="AW60" s="162" t="str">
        <f>VLOOKUP(C60,Захоронение!$B$16:$Q$104,16,0)</f>
        <v>765 приказ</v>
      </c>
      <c r="AX60" s="135"/>
      <c r="AY60" s="94"/>
      <c r="AZ60" s="94"/>
      <c r="BA60" s="98"/>
      <c r="BB60" s="127" t="str">
        <f>VLOOKUP(C60,'ДК ИП'!$B$16:$S$104,5,0)</f>
        <v>небольшое</v>
      </c>
      <c r="BC60" s="224">
        <f>VLOOKUP(C60,'Радар олд'!$B$3:$E$87,4,0)</f>
        <v>4.1225553246924576E-2</v>
      </c>
      <c r="BD60" s="98"/>
      <c r="BI60" s="8">
        <f t="shared" si="8"/>
        <v>1</v>
      </c>
      <c r="BJ60" s="8">
        <f>VLOOKUP(C60,Штаб!$B$16:$C$104,2)</f>
        <v>2</v>
      </c>
      <c r="BK60" s="8">
        <f>VLOOKUP(C60,'РО - регионы'!$B$16:$C$104,2)</f>
        <v>0</v>
      </c>
      <c r="BL60" s="8">
        <f>VLOOKUP(C60,'РО - регионы'!$B$16:$L$104,11)</f>
        <v>0</v>
      </c>
      <c r="BM60" s="8">
        <f>VLOOKUP(C60,Спецтехника!$B$16:$C$104,2)</f>
        <v>0</v>
      </c>
      <c r="BN60" s="8">
        <f>VLOOKUP($C60,МНО!$B$16:$AB$104,6,0)</f>
        <v>0</v>
      </c>
      <c r="BO60" s="8">
        <f>VLOOKUP($C60,МНО!$B$16:$AB$104,4,0)</f>
        <v>1</v>
      </c>
      <c r="BP60" s="8">
        <f>VLOOKUP($C60,МНО!$B$16:$AB$104,5,0)</f>
        <v>0</v>
      </c>
      <c r="BQ60" s="8">
        <f>VLOOKUP($C60,Контейнеры!$B$16:$G$104,6,0)</f>
        <v>0</v>
      </c>
      <c r="BR60" s="8">
        <f>VLOOKUP($C60,Контейнеры!$B$16:$G$104,4,0)</f>
        <v>0</v>
      </c>
      <c r="BS60" s="8">
        <f>VLOOKUP($C60,Контейнеры!$B$16:$G$104,5,0)</f>
        <v>0</v>
      </c>
      <c r="BT60" s="8">
        <f>VLOOKUP($C60,'ДК МНО'!$B$16:$C$104,2,0)</f>
        <v>2</v>
      </c>
      <c r="BU60" s="8">
        <f>VLOOKUP($C60,Обработка!$B$16:$F$104,5,0)</f>
        <v>1</v>
      </c>
      <c r="BV60" s="8">
        <f>VLOOKUP($C60,Обработка!$B$16:$F$104,4,0)</f>
        <v>2</v>
      </c>
      <c r="BW60" s="8">
        <f>VLOOKUP($C60,Утилизация!$B$16:$F$104,5,0)</f>
        <v>0</v>
      </c>
      <c r="BX60" s="8">
        <f>VLOOKUP($C60,Утилизация!$B$16:$F$104,4,0)</f>
        <v>2</v>
      </c>
      <c r="BY60" s="8">
        <f>VLOOKUP($C60,Захоронение!$B$16:$C$104,2,0)</f>
        <v>2</v>
      </c>
      <c r="BZ60" s="8">
        <f>VLOOKUP($C60,'ДК ИП'!$B$16:$C$104,2,0)</f>
        <v>0</v>
      </c>
      <c r="CA60" s="8">
        <f t="shared" si="9"/>
        <v>0.8</v>
      </c>
    </row>
    <row r="61" spans="1:79" ht="30" customHeight="1">
      <c r="A61" s="9" t="s">
        <v>659</v>
      </c>
      <c r="B61" s="261">
        <f t="shared" si="3"/>
        <v>51</v>
      </c>
      <c r="C61" s="258" t="s">
        <v>48</v>
      </c>
      <c r="D61" s="227" t="str">
        <f>VLOOKUP($C61,Штаб!$B$16:$J$104,6,0)</f>
        <v>✔️</v>
      </c>
      <c r="E61" s="228" t="str">
        <f>VLOOKUP($C61,Штаб!$B$16:$J$104,7,0)</f>
        <v/>
      </c>
      <c r="F61" s="228" t="str">
        <f>VLOOKUP($C61,Штаб!$B$16:$J$104,8,0)</f>
        <v/>
      </c>
      <c r="G61" s="229" t="str">
        <f>VLOOKUP($C61,Штаб!$B$16:$J$104,9,0)</f>
        <v/>
      </c>
      <c r="H61" s="161" t="str">
        <f>VLOOKUP(C61,'РО - регионы'!$B$16:$I$104,8,0)</f>
        <v>0 / 0 / 4 из 4</v>
      </c>
      <c r="I61" s="237"/>
      <c r="J61" s="122"/>
      <c r="K61" s="94"/>
      <c r="L61" s="94"/>
      <c r="M61" s="98"/>
      <c r="N61" s="163">
        <f>VLOOKUP(C61,Спецтехника!$B$16:$J$104,4,0)</f>
        <v>260</v>
      </c>
      <c r="O61" s="166">
        <f>VLOOKUP(C61,Спецтехника!$B$16:$J$104,5,0)</f>
        <v>239</v>
      </c>
      <c r="P61" s="166">
        <f>VLOOKUP(C61,Спецтехника!$B$16:$J$104,6,0)</f>
        <v>21</v>
      </c>
      <c r="Q61" s="169">
        <f>VLOOKUP(C61,Спецтехника!$B$16:$J$104,7,0)</f>
        <v>8.0769230769230774E-2</v>
      </c>
      <c r="R61" s="242"/>
      <c r="S61" s="122"/>
      <c r="T61" s="94"/>
      <c r="U61" s="94"/>
      <c r="V61" s="98"/>
      <c r="W61" s="163">
        <f>VLOOKUP($C61,МНО!$B$16:$AB$104,16,0)</f>
        <v>11847</v>
      </c>
      <c r="X61" s="166">
        <f>VLOOKUP($C61,МНО!$B$16:$AB$104,8,0)</f>
        <v>11623</v>
      </c>
      <c r="Y61" s="166">
        <f>VLOOKUP($C61,МНО!$B$16:$AB$104,11,0)</f>
        <v>224</v>
      </c>
      <c r="Z61" s="173">
        <f>VLOOKUP($C61,МНО!$B$16:$AB$104,17,0)</f>
        <v>1.8907740356208323E-2</v>
      </c>
      <c r="AA61" s="245"/>
      <c r="AB61" s="95">
        <f>VLOOKUP($C61,МНО!$B$16:$AB$104,13,0)</f>
        <v>7.2080788730480139</v>
      </c>
      <c r="AC61" s="154">
        <f>VLOOKUP($C61,МНО!$B$16:$AB$104,18,0)</f>
        <v>1</v>
      </c>
      <c r="AD61" s="164">
        <f>VLOOKUP($C61,Контейнеры!$B$16:$AB$104,16,0)</f>
        <v>19932</v>
      </c>
      <c r="AE61" s="167">
        <f>VLOOKUP($C61,Контейнеры!$B$16:$AB$104,8,0)</f>
        <v>16381</v>
      </c>
      <c r="AF61" s="167">
        <f>VLOOKUP($C61,Контейнеры!$B$16:$AB$104,11,0)</f>
        <v>3551</v>
      </c>
      <c r="AG61" s="172">
        <f>VLOOKUP($C61,Контейнеры!$B$16:$AB$104,17,0)</f>
        <v>0.17815572948023278</v>
      </c>
      <c r="AH61" s="245"/>
      <c r="AI61" s="95">
        <f>VLOOKUP($C61,Контейнеры!$B$16:$AB$104,13,0)</f>
        <v>13.252024693535299</v>
      </c>
      <c r="AJ61" s="154">
        <f>VLOOKUP($C61,Контейнеры!$B$16:$AB$104,18,0)</f>
        <v>0.85759907858227313</v>
      </c>
      <c r="AK61" s="135"/>
      <c r="AL61" s="94"/>
      <c r="AM61" s="94"/>
      <c r="AN61" s="116"/>
      <c r="AO61" s="79">
        <f>VLOOKUP($C61,Обработка!$B$16:$L$104,6,0)</f>
        <v>0.184</v>
      </c>
      <c r="AP61" s="76">
        <f t="shared" si="4"/>
        <v>-0.35900000000000004</v>
      </c>
      <c r="AQ61" s="76">
        <f>VLOOKUP($C61,Обработка!$B$16:$L$104,7,0)</f>
        <v>0.182</v>
      </c>
      <c r="AR61" s="177">
        <f t="shared" si="5"/>
        <v>-0.625</v>
      </c>
      <c r="AS61" s="180">
        <f>VLOOKUP($C61,Утилизация!$B$16:$L$104,6,0)</f>
        <v>1.6E-2</v>
      </c>
      <c r="AT61" s="76">
        <f t="shared" si="6"/>
        <v>-0.12300000000000001</v>
      </c>
      <c r="AU61" s="76">
        <f>VLOOKUP($C61,Утилизация!$B$16:$L$104,7,0)</f>
        <v>1.4999999999999999E-2</v>
      </c>
      <c r="AV61" s="184">
        <f t="shared" si="7"/>
        <v>-0.27099999999999996</v>
      </c>
      <c r="AW61" s="160" t="str">
        <f>VLOOKUP(C61,Захоронение!$B$16:$Q$104,16,0)</f>
        <v>перегруз</v>
      </c>
      <c r="AX61" s="135"/>
      <c r="AY61" s="94"/>
      <c r="AZ61" s="94"/>
      <c r="BA61" s="98"/>
      <c r="BB61" s="127" t="str">
        <f>VLOOKUP(C61,'ДК ИП'!$B$16:$S$104,5,0)</f>
        <v>среднее</v>
      </c>
      <c r="BC61" s="224">
        <f>VLOOKUP(C61,'Радар олд'!$B$3:$E$87,4,0)</f>
        <v>6.0674064587946247E-2</v>
      </c>
      <c r="BD61" s="98"/>
      <c r="BI61" s="8">
        <f t="shared" si="8"/>
        <v>1</v>
      </c>
      <c r="BJ61" s="8">
        <f>VLOOKUP(C61,Штаб!$B$16:$C$104,2)</f>
        <v>0</v>
      </c>
      <c r="BK61" s="8">
        <f>VLOOKUP(C61,'РО - регионы'!$B$16:$C$104,2)</f>
        <v>0</v>
      </c>
      <c r="BL61" s="8">
        <f>VLOOKUP(C61,'РО - регионы'!$B$16:$L$104,11)</f>
        <v>0</v>
      </c>
      <c r="BM61" s="8">
        <f>VLOOKUP(C61,Спецтехника!$B$16:$C$104,2)</f>
        <v>0</v>
      </c>
      <c r="BN61" s="8">
        <f>VLOOKUP($C61,МНО!$B$16:$AB$104,6,0)</f>
        <v>0</v>
      </c>
      <c r="BO61" s="8">
        <f>VLOOKUP($C61,МНО!$B$16:$AB$104,4,0)</f>
        <v>0</v>
      </c>
      <c r="BP61" s="8">
        <f>VLOOKUP($C61,МНО!$B$16:$AB$104,5,0)</f>
        <v>0</v>
      </c>
      <c r="BQ61" s="8">
        <f>VLOOKUP($C61,Контейнеры!$B$16:$G$104,6,0)</f>
        <v>1</v>
      </c>
      <c r="BR61" s="8">
        <f>VLOOKUP($C61,Контейнеры!$B$16:$G$104,4,0)</f>
        <v>0</v>
      </c>
      <c r="BS61" s="8">
        <f>VLOOKUP($C61,Контейнеры!$B$16:$G$104,5,0)</f>
        <v>1</v>
      </c>
      <c r="BT61" s="8">
        <f>VLOOKUP($C61,'ДК МНО'!$B$16:$C$104,2,0)</f>
        <v>2</v>
      </c>
      <c r="BU61" s="8">
        <f>VLOOKUP($C61,Обработка!$B$16:$F$104,5,0)</f>
        <v>2</v>
      </c>
      <c r="BV61" s="8">
        <f>VLOOKUP($C61,Обработка!$B$16:$F$104,4,0)</f>
        <v>2</v>
      </c>
      <c r="BW61" s="8">
        <f>VLOOKUP($C61,Утилизация!$B$16:$F$104,5,0)</f>
        <v>2</v>
      </c>
      <c r="BX61" s="8">
        <f>VLOOKUP($C61,Утилизация!$B$16:$F$104,4,0)</f>
        <v>2</v>
      </c>
      <c r="BY61" s="8">
        <f>VLOOKUP($C61,Захоронение!$B$16:$C$104,2,0)</f>
        <v>1</v>
      </c>
      <c r="BZ61" s="8">
        <f>VLOOKUP($C61,'ДК ИП'!$B$16:$C$104,2,0)</f>
        <v>1</v>
      </c>
      <c r="CA61" s="8">
        <f t="shared" si="9"/>
        <v>0.79999999999999993</v>
      </c>
    </row>
    <row r="62" spans="1:79" ht="30" customHeight="1">
      <c r="A62" s="9" t="s">
        <v>657</v>
      </c>
      <c r="B62" s="261">
        <f t="shared" si="3"/>
        <v>52</v>
      </c>
      <c r="C62" s="258" t="s">
        <v>76</v>
      </c>
      <c r="D62" s="227" t="str">
        <f>VLOOKUP($C62,Штаб!$B$16:$J$104,6,0)</f>
        <v>✔️</v>
      </c>
      <c r="E62" s="228" t="str">
        <f>VLOOKUP($C62,Штаб!$B$16:$J$104,7,0)</f>
        <v/>
      </c>
      <c r="F62" s="228" t="str">
        <f>VLOOKUP($C62,Штаб!$B$16:$J$104,8,0)</f>
        <v/>
      </c>
      <c r="G62" s="229" t="str">
        <f>VLOOKUP($C62,Штаб!$B$16:$J$104,9,0)</f>
        <v/>
      </c>
      <c r="H62" s="161" t="str">
        <f>VLOOKUP(C62,'РО - регионы'!$B$16:$I$104,8,0)</f>
        <v>0 / 0 / 1 из 1</v>
      </c>
      <c r="I62" s="237"/>
      <c r="J62" s="122"/>
      <c r="K62" s="94"/>
      <c r="L62" s="94"/>
      <c r="M62" s="98"/>
      <c r="N62" s="163">
        <f>VLOOKUP(C62,Спецтехника!$B$16:$J$104,4,0)</f>
        <v>227</v>
      </c>
      <c r="O62" s="166">
        <f>VLOOKUP(C62,Спецтехника!$B$16:$J$104,5,0)</f>
        <v>215</v>
      </c>
      <c r="P62" s="166">
        <f>VLOOKUP(C62,Спецтехника!$B$16:$J$104,6,0)</f>
        <v>12</v>
      </c>
      <c r="Q62" s="169">
        <f>VLOOKUP(C62,Спецтехника!$B$16:$J$104,7,0)</f>
        <v>5.2863436123348019E-2</v>
      </c>
      <c r="R62" s="242"/>
      <c r="S62" s="122"/>
      <c r="T62" s="94"/>
      <c r="U62" s="94"/>
      <c r="V62" s="98"/>
      <c r="W62" s="165">
        <f>VLOOKUP($C62,МНО!$B$16:$AB$104,16,0)</f>
        <v>17308</v>
      </c>
      <c r="X62" s="168">
        <f>VLOOKUP($C62,МНО!$B$16:$AB$104,8,0)</f>
        <v>9197</v>
      </c>
      <c r="Y62" s="168">
        <f>VLOOKUP($C62,МНО!$B$16:$AB$104,11,0)</f>
        <v>8111</v>
      </c>
      <c r="Z62" s="174">
        <f>VLOOKUP($C62,МНО!$B$16:$AB$104,17,0)</f>
        <v>0.46862722440489946</v>
      </c>
      <c r="AA62" s="245"/>
      <c r="AB62" s="95">
        <f>VLOOKUP($C62,МНО!$B$16:$AB$104,13,0)</f>
        <v>5.8454948906819251</v>
      </c>
      <c r="AC62" s="154">
        <f>VLOOKUP($C62,МНО!$B$16:$AB$104,18,0)</f>
        <v>1</v>
      </c>
      <c r="AD62" s="165">
        <f>VLOOKUP($C62,Контейнеры!$B$16:$AB$104,16,0)</f>
        <v>24942</v>
      </c>
      <c r="AE62" s="168">
        <f>VLOOKUP($C62,Контейнеры!$B$16:$AB$104,8,0)</f>
        <v>10692</v>
      </c>
      <c r="AF62" s="168">
        <f>VLOOKUP($C62,Контейнеры!$B$16:$AB$104,11,0)</f>
        <v>14250</v>
      </c>
      <c r="AG62" s="174">
        <f>VLOOKUP($C62,Контейнеры!$B$16:$AB$104,17,0)</f>
        <v>0.57132547510223719</v>
      </c>
      <c r="AH62" s="245"/>
      <c r="AI62" s="95">
        <f>VLOOKUP($C62,Контейнеры!$B$16:$AB$104,13,0)</f>
        <v>11.180685397347252</v>
      </c>
      <c r="AJ62" s="154">
        <f>VLOOKUP($C62,Контейнеры!$B$16:$AB$104,18,0)</f>
        <v>0.76072572038420494</v>
      </c>
      <c r="AK62" s="135"/>
      <c r="AL62" s="94"/>
      <c r="AM62" s="94"/>
      <c r="AN62" s="116"/>
      <c r="AO62" s="78">
        <f>VLOOKUP($C62,Обработка!$B$16:$L$104,6,0)</f>
        <v>0.80900000000000005</v>
      </c>
      <c r="AP62" s="75">
        <f t="shared" si="4"/>
        <v>0.26600000000000001</v>
      </c>
      <c r="AQ62" s="75">
        <f>VLOOKUP($C62,Обработка!$B$16:$L$104,7,0)</f>
        <v>1</v>
      </c>
      <c r="AR62" s="178">
        <f t="shared" si="5"/>
        <v>0.19299999999999995</v>
      </c>
      <c r="AS62" s="180">
        <f>VLOOKUP($C62,Утилизация!$B$16:$L$104,6,0)</f>
        <v>2.3E-2</v>
      </c>
      <c r="AT62" s="76">
        <f t="shared" si="6"/>
        <v>-0.11600000000000002</v>
      </c>
      <c r="AU62" s="75">
        <f>VLOOKUP($C62,Утилизация!$B$16:$L$104,7,0)</f>
        <v>0.5</v>
      </c>
      <c r="AV62" s="185">
        <f t="shared" si="7"/>
        <v>0.21400000000000002</v>
      </c>
      <c r="AW62" s="162">
        <f>VLOOKUP(C62,Захоронение!$B$16:$Q$104,16,0)</f>
        <v>0</v>
      </c>
      <c r="AX62" s="135"/>
      <c r="AY62" s="94"/>
      <c r="AZ62" s="94"/>
      <c r="BA62" s="98"/>
      <c r="BB62" s="127" t="str">
        <f>VLOOKUP(C62,'ДК ИП'!$B$16:$S$104,5,0)</f>
        <v>небольшое</v>
      </c>
      <c r="BC62" s="224">
        <f>VLOOKUP(C62,'Радар олд'!$B$3:$E$87,4,0)</f>
        <v>0.11398192183977279</v>
      </c>
      <c r="BD62" s="98"/>
      <c r="BI62" s="8">
        <f t="shared" si="8"/>
        <v>1</v>
      </c>
      <c r="BJ62" s="8">
        <f>VLOOKUP(C62,Штаб!$B$16:$C$104,2)</f>
        <v>0</v>
      </c>
      <c r="BK62" s="8">
        <f>VLOOKUP(C62,'РО - регионы'!$B$16:$C$104,2)</f>
        <v>0</v>
      </c>
      <c r="BL62" s="8">
        <f>VLOOKUP(C62,'РО - регионы'!$B$16:$L$104,11)</f>
        <v>0</v>
      </c>
      <c r="BM62" s="8">
        <f>VLOOKUP(C62,Спецтехника!$B$16:$C$104,2)</f>
        <v>0</v>
      </c>
      <c r="BN62" s="8">
        <f>VLOOKUP($C62,МНО!$B$16:$AB$104,6,0)</f>
        <v>2</v>
      </c>
      <c r="BO62" s="8">
        <f>VLOOKUP($C62,МНО!$B$16:$AB$104,4,0)</f>
        <v>1</v>
      </c>
      <c r="BP62" s="8">
        <f>VLOOKUP($C62,МНО!$B$16:$AB$104,5,0)</f>
        <v>0</v>
      </c>
      <c r="BQ62" s="8">
        <f>VLOOKUP($C62,Контейнеры!$B$16:$G$104,6,0)</f>
        <v>2</v>
      </c>
      <c r="BR62" s="8">
        <f>VLOOKUP($C62,Контейнеры!$B$16:$G$104,4,0)</f>
        <v>0</v>
      </c>
      <c r="BS62" s="8">
        <f>VLOOKUP($C62,Контейнеры!$B$16:$G$104,5,0)</f>
        <v>2</v>
      </c>
      <c r="BT62" s="8">
        <f>VLOOKUP($C62,'ДК МНО'!$B$16:$C$104,2,0)</f>
        <v>2</v>
      </c>
      <c r="BU62" s="8">
        <f>VLOOKUP($C62,Обработка!$B$16:$F$104,5,0)</f>
        <v>0</v>
      </c>
      <c r="BV62" s="8">
        <f>VLOOKUP($C62,Обработка!$B$16:$F$104,4,0)</f>
        <v>0</v>
      </c>
      <c r="BW62" s="8">
        <f>VLOOKUP($C62,Утилизация!$B$16:$F$104,5,0)</f>
        <v>0</v>
      </c>
      <c r="BX62" s="8">
        <f>VLOOKUP($C62,Утилизация!$B$16:$F$104,4,0)</f>
        <v>2</v>
      </c>
      <c r="BY62" s="8">
        <f>VLOOKUP($C62,Захоронение!$B$16:$C$104,2,0)</f>
        <v>2</v>
      </c>
      <c r="BZ62" s="8">
        <f>VLOOKUP($C62,'ДК ИП'!$B$16:$C$104,2,0)</f>
        <v>0</v>
      </c>
      <c r="CA62" s="8">
        <f t="shared" si="9"/>
        <v>0.85</v>
      </c>
    </row>
    <row r="63" spans="1:79" ht="30" customHeight="1">
      <c r="A63" s="9" t="s">
        <v>658</v>
      </c>
      <c r="B63" s="261">
        <f t="shared" si="3"/>
        <v>53</v>
      </c>
      <c r="C63" s="258" t="s">
        <v>24</v>
      </c>
      <c r="D63" s="227" t="str">
        <f>VLOOKUP($C63,Штаб!$B$16:$J$104,6,0)</f>
        <v/>
      </c>
      <c r="E63" s="228" t="str">
        <f>VLOOKUP($C63,Штаб!$B$16:$J$104,7,0)</f>
        <v/>
      </c>
      <c r="F63" s="228" t="str">
        <f>VLOOKUP($C63,Штаб!$B$16:$J$104,8,0)</f>
        <v>✔️</v>
      </c>
      <c r="G63" s="229" t="str">
        <f>VLOOKUP($C63,Штаб!$B$16:$J$104,9,0)</f>
        <v/>
      </c>
      <c r="H63" s="160" t="str">
        <f>VLOOKUP(C63,'РО - регионы'!$B$16:$I$104,8,0)</f>
        <v>0 / 3 / 0 из 3</v>
      </c>
      <c r="I63" s="237"/>
      <c r="J63" s="122"/>
      <c r="K63" s="94"/>
      <c r="L63" s="94"/>
      <c r="M63" s="98"/>
      <c r="N63" s="164">
        <f>VLOOKUP(C63,Спецтехника!$B$16:$J$104,4,0)</f>
        <v>65</v>
      </c>
      <c r="O63" s="167">
        <f>VLOOKUP(C63,Спецтехника!$B$16:$J$104,5,0)</f>
        <v>56</v>
      </c>
      <c r="P63" s="167">
        <f>VLOOKUP(C63,Спецтехника!$B$16:$J$104,6,0)</f>
        <v>9</v>
      </c>
      <c r="Q63" s="170">
        <f>VLOOKUP(C63,Спецтехника!$B$16:$J$104,7,0)</f>
        <v>0.13846153846153847</v>
      </c>
      <c r="R63" s="242"/>
      <c r="S63" s="122"/>
      <c r="T63" s="94"/>
      <c r="U63" s="94"/>
      <c r="V63" s="98"/>
      <c r="W63" s="165">
        <f>VLOOKUP($C63,МНО!$B$16:$AB$104,16,0)</f>
        <v>2337</v>
      </c>
      <c r="X63" s="168">
        <f>VLOOKUP($C63,МНО!$B$16:$AB$104,8,0)</f>
        <v>2337</v>
      </c>
      <c r="Y63" s="168">
        <f>VLOOKUP($C63,МНО!$B$16:$AB$104,11,0)</f>
        <v>0</v>
      </c>
      <c r="Z63" s="174">
        <f>VLOOKUP($C63,МНО!$B$16:$AB$104,17,0)</f>
        <v>0</v>
      </c>
      <c r="AA63" s="245"/>
      <c r="AB63" s="95">
        <f>VLOOKUP($C63,МНО!$B$16:$AB$104,13,0)</f>
        <v>2.0078103602131065</v>
      </c>
      <c r="AC63" s="154">
        <f>VLOOKUP($C63,МНО!$B$16:$AB$104,18,0)</f>
        <v>0.57111436950146632</v>
      </c>
      <c r="AD63" s="165">
        <f>VLOOKUP($C63,Контейнеры!$B$16:$AB$104,16,0)</f>
        <v>3147</v>
      </c>
      <c r="AE63" s="168">
        <f>VLOOKUP($C63,Контейнеры!$B$16:$AB$104,8,0)</f>
        <v>3147</v>
      </c>
      <c r="AF63" s="168">
        <f>VLOOKUP($C63,Контейнеры!$B$16:$AB$104,11,0)</f>
        <v>0</v>
      </c>
      <c r="AG63" s="174">
        <f>VLOOKUP($C63,Контейнеры!$B$16:$AB$104,17,0)</f>
        <v>0</v>
      </c>
      <c r="AH63" s="245"/>
      <c r="AI63" s="95">
        <f>VLOOKUP($C63,Контейнеры!$B$16:$AB$104,13,0)</f>
        <v>3.4755661185867135</v>
      </c>
      <c r="AJ63" s="154">
        <f>VLOOKUP($C63,Контейнеры!$B$16:$AB$104,18,0)</f>
        <v>0.40538451629524669</v>
      </c>
      <c r="AK63" s="135"/>
      <c r="AL63" s="94"/>
      <c r="AM63" s="94"/>
      <c r="AN63" s="116"/>
      <c r="AO63" s="80">
        <f>VLOOKUP($C63,Обработка!$B$16:$L$104,6,0)</f>
        <v>0.40799999999999997</v>
      </c>
      <c r="AP63" s="74">
        <f t="shared" si="4"/>
        <v>-0.13500000000000006</v>
      </c>
      <c r="AQ63" s="76">
        <f>VLOOKUP($C63,Обработка!$B$16:$L$104,7,0)</f>
        <v>0.39</v>
      </c>
      <c r="AR63" s="177">
        <f t="shared" si="5"/>
        <v>-0.41700000000000004</v>
      </c>
      <c r="AS63" s="180">
        <f>VLOOKUP($C63,Утилизация!$B$16:$L$104,6,0)</f>
        <v>5.2000000000000005E-2</v>
      </c>
      <c r="AT63" s="76">
        <f t="shared" si="6"/>
        <v>-8.7000000000000008E-2</v>
      </c>
      <c r="AU63" s="76">
        <f>VLOOKUP($C63,Утилизация!$B$16:$L$104,7,0)</f>
        <v>0.05</v>
      </c>
      <c r="AV63" s="184">
        <f t="shared" si="7"/>
        <v>-0.23599999999999999</v>
      </c>
      <c r="AW63" s="161" t="str">
        <f>VLOOKUP(C63,Захоронение!$B$16:$Q$104,16,0)</f>
        <v/>
      </c>
      <c r="AX63" s="135"/>
      <c r="AY63" s="94"/>
      <c r="AZ63" s="94"/>
      <c r="BA63" s="98"/>
      <c r="BB63" s="127" t="str">
        <f>VLOOKUP(C63,'ДК ИП'!$B$16:$S$104,5,0)</f>
        <v>небольшое</v>
      </c>
      <c r="BC63" s="224">
        <f>VLOOKUP(C63,'Радар олд'!$B$3:$E$87,4,0)</f>
        <v>2.0983716635890548E-2</v>
      </c>
      <c r="BD63" s="98"/>
      <c r="BI63" s="8">
        <f t="shared" si="8"/>
        <v>1</v>
      </c>
      <c r="BJ63" s="8">
        <f>VLOOKUP(C63,Штаб!$B$16:$C$104,2)</f>
        <v>1</v>
      </c>
      <c r="BK63" s="8">
        <f>VLOOKUP(C63,'РО - регионы'!$B$16:$C$104,2)</f>
        <v>1</v>
      </c>
      <c r="BL63" s="8">
        <f>VLOOKUP(C63,'РО - регионы'!$B$16:$L$104,11)</f>
        <v>2</v>
      </c>
      <c r="BM63" s="8">
        <f>VLOOKUP(C63,Спецтехника!$B$16:$C$104,2)</f>
        <v>1</v>
      </c>
      <c r="BN63" s="8">
        <f>VLOOKUP($C63,МНО!$B$16:$AB$104,6,0)</f>
        <v>2</v>
      </c>
      <c r="BO63" s="8">
        <f>VLOOKUP($C63,МНО!$B$16:$AB$104,4,0)</f>
        <v>2</v>
      </c>
      <c r="BP63" s="8">
        <f>VLOOKUP($C63,МНО!$B$16:$AB$104,5,0)</f>
        <v>2</v>
      </c>
      <c r="BQ63" s="8">
        <f>VLOOKUP($C63,Контейнеры!$B$16:$G$104,6,0)</f>
        <v>2</v>
      </c>
      <c r="BR63" s="8">
        <f>VLOOKUP($C63,Контейнеры!$B$16:$G$104,4,0)</f>
        <v>0</v>
      </c>
      <c r="BS63" s="8">
        <f>VLOOKUP($C63,Контейнеры!$B$16:$G$104,5,0)</f>
        <v>2</v>
      </c>
      <c r="BT63" s="8">
        <f>VLOOKUP($C63,'ДК МНО'!$B$16:$C$104,2,0)</f>
        <v>2</v>
      </c>
      <c r="BU63" s="8">
        <f>VLOOKUP($C63,Обработка!$B$16:$F$104,5,0)</f>
        <v>2</v>
      </c>
      <c r="BV63" s="8">
        <f>VLOOKUP($C63,Обработка!$B$16:$F$104,4,0)</f>
        <v>1</v>
      </c>
      <c r="BW63" s="8">
        <f>VLOOKUP($C63,Утилизация!$B$16:$F$104,5,0)</f>
        <v>2</v>
      </c>
      <c r="BX63" s="8">
        <f>VLOOKUP($C63,Утилизация!$B$16:$F$104,4,0)</f>
        <v>2</v>
      </c>
      <c r="BY63" s="8">
        <f>VLOOKUP($C63,Захоронение!$B$16:$C$104,2,0)</f>
        <v>0</v>
      </c>
      <c r="BZ63" s="8">
        <f>VLOOKUP($C63,'ДК ИП'!$B$16:$C$104,2,0)</f>
        <v>0</v>
      </c>
      <c r="CA63" s="8">
        <f t="shared" si="9"/>
        <v>0.89999999999999991</v>
      </c>
    </row>
    <row r="64" spans="1:79" ht="30" customHeight="1">
      <c r="A64" s="9" t="s">
        <v>655</v>
      </c>
      <c r="B64" s="261">
        <f t="shared" si="3"/>
        <v>54</v>
      </c>
      <c r="C64" s="258" t="s">
        <v>41</v>
      </c>
      <c r="D64" s="227" t="str">
        <f>VLOOKUP($C64,Штаб!$B$16:$J$104,6,0)</f>
        <v/>
      </c>
      <c r="E64" s="228" t="str">
        <f>VLOOKUP($C64,Штаб!$B$16:$J$104,7,0)</f>
        <v/>
      </c>
      <c r="F64" s="228" t="str">
        <f>VLOOKUP($C64,Штаб!$B$16:$J$104,8,0)</f>
        <v/>
      </c>
      <c r="G64" s="229" t="str">
        <f>VLOOKUP($C64,Штаб!$B$16:$J$104,9,0)</f>
        <v>✔️</v>
      </c>
      <c r="H64" s="161" t="str">
        <f>VLOOKUP(C64,'РО - регионы'!$B$16:$I$104,8,0)</f>
        <v>0 / 0 / 2 из 2</v>
      </c>
      <c r="I64" s="237"/>
      <c r="J64" s="122"/>
      <c r="K64" s="94"/>
      <c r="L64" s="94"/>
      <c r="M64" s="98"/>
      <c r="N64" s="164">
        <f>VLOOKUP(C64,Спецтехника!$B$16:$J$104,4,0)</f>
        <v>41</v>
      </c>
      <c r="O64" s="167">
        <f>VLOOKUP(C64,Спецтехника!$B$16:$J$104,5,0)</f>
        <v>37</v>
      </c>
      <c r="P64" s="167">
        <f>VLOOKUP(C64,Спецтехника!$B$16:$J$104,6,0)</f>
        <v>4</v>
      </c>
      <c r="Q64" s="170">
        <f>VLOOKUP(C64,Спецтехника!$B$16:$J$104,7,0)</f>
        <v>9.7560975609756101E-2</v>
      </c>
      <c r="R64" s="242"/>
      <c r="S64" s="122"/>
      <c r="T64" s="94"/>
      <c r="U64" s="94"/>
      <c r="V64" s="98"/>
      <c r="W64" s="163">
        <f>VLOOKUP($C64,МНО!$B$16:$AB$104,16,0)</f>
        <v>904</v>
      </c>
      <c r="X64" s="166">
        <f>VLOOKUP($C64,МНО!$B$16:$AB$104,8,0)</f>
        <v>826</v>
      </c>
      <c r="Y64" s="166">
        <f>VLOOKUP($C64,МНО!$B$16:$AB$104,11,0)</f>
        <v>78</v>
      </c>
      <c r="Z64" s="173">
        <f>VLOOKUP($C64,МНО!$B$16:$AB$104,17,0)</f>
        <v>8.628318584070796E-2</v>
      </c>
      <c r="AA64" s="245"/>
      <c r="AB64" s="95">
        <f>VLOOKUP($C64,МНО!$B$16:$AB$104,13,0)</f>
        <v>18.662372110647972</v>
      </c>
      <c r="AC64" s="154">
        <f>VLOOKUP($C64,МНО!$B$16:$AB$104,18,0)</f>
        <v>1</v>
      </c>
      <c r="AD64" s="163">
        <f>VLOOKUP($C64,Контейнеры!$B$16:$AB$104,16,0)</f>
        <v>1592</v>
      </c>
      <c r="AE64" s="166">
        <f>VLOOKUP($C64,Контейнеры!$B$16:$AB$104,8,0)</f>
        <v>1580</v>
      </c>
      <c r="AF64" s="166">
        <f>VLOOKUP($C64,Контейнеры!$B$16:$AB$104,11,0)</f>
        <v>12</v>
      </c>
      <c r="AG64" s="173">
        <f>VLOOKUP($C64,Контейнеры!$B$16:$AB$104,17,0)</f>
        <v>7.537688442211055E-3</v>
      </c>
      <c r="AH64" s="245"/>
      <c r="AI64" s="95">
        <f>VLOOKUP($C64,Контейнеры!$B$16:$AB$104,13,0)</f>
        <v>37.419477074649485</v>
      </c>
      <c r="AJ64" s="154">
        <f>VLOOKUP($C64,Контейнеры!$B$16:$AB$104,18,0)</f>
        <v>1</v>
      </c>
      <c r="AK64" s="135"/>
      <c r="AL64" s="94"/>
      <c r="AM64" s="94"/>
      <c r="AN64" s="116"/>
      <c r="AO64" s="79">
        <f>VLOOKUP($C64,Обработка!$B$16:$L$104,6,0)</f>
        <v>0.128</v>
      </c>
      <c r="AP64" s="76">
        <f t="shared" si="4"/>
        <v>-0.41500000000000004</v>
      </c>
      <c r="AQ64" s="76">
        <f>VLOOKUP($C64,Обработка!$B$16:$L$104,7,0)</f>
        <v>0.1</v>
      </c>
      <c r="AR64" s="177">
        <f t="shared" si="5"/>
        <v>-0.70700000000000007</v>
      </c>
      <c r="AS64" s="181">
        <f>VLOOKUP($C64,Утилизация!$B$16:$L$104,6,0)</f>
        <v>9.0999999999999998E-2</v>
      </c>
      <c r="AT64" s="74">
        <f t="shared" si="6"/>
        <v>-4.8000000000000015E-2</v>
      </c>
      <c r="AU64" s="76">
        <f>VLOOKUP($C64,Утилизация!$B$16:$L$104,7,0)</f>
        <v>7.0000000000000007E-2</v>
      </c>
      <c r="AV64" s="184">
        <f t="shared" si="7"/>
        <v>-0.21599999999999997</v>
      </c>
      <c r="AW64" s="162" t="str">
        <f>VLOOKUP(C64,Захоронение!$B$16:$Q$104,16,0)</f>
        <v>белые пятна</v>
      </c>
      <c r="AX64" s="135"/>
      <c r="AY64" s="94"/>
      <c r="AZ64" s="94"/>
      <c r="BA64" s="98"/>
      <c r="BB64" s="127" t="str">
        <f>VLOOKUP(C64,'ДК ИП'!$B$16:$S$104,5,0)</f>
        <v>нет</v>
      </c>
      <c r="BC64" s="224" t="e">
        <f>VLOOKUP(C64,'Радар олд'!$B$3:$E$87,4,0)</f>
        <v>#N/A</v>
      </c>
      <c r="BD64" s="98"/>
      <c r="BI64" s="8">
        <f t="shared" si="8"/>
        <v>1</v>
      </c>
      <c r="BJ64" s="8">
        <f>VLOOKUP(C64,Штаб!$B$16:$C$104,2)</f>
        <v>2</v>
      </c>
      <c r="BK64" s="8">
        <f>VLOOKUP(C64,'РО - регионы'!$B$16:$C$104,2)</f>
        <v>0</v>
      </c>
      <c r="BL64" s="8">
        <f>VLOOKUP(C64,'РО - регионы'!$B$16:$L$104,11)</f>
        <v>0</v>
      </c>
      <c r="BM64" s="8">
        <f>VLOOKUP(C64,Спецтехника!$B$16:$C$104,2)</f>
        <v>1</v>
      </c>
      <c r="BN64" s="8">
        <f>VLOOKUP($C64,МНО!$B$16:$AB$104,6,0)</f>
        <v>0</v>
      </c>
      <c r="BO64" s="8">
        <f>VLOOKUP($C64,МНО!$B$16:$AB$104,4,0)</f>
        <v>0</v>
      </c>
      <c r="BP64" s="8">
        <f>VLOOKUP($C64,МНО!$B$16:$AB$104,5,0)</f>
        <v>0</v>
      </c>
      <c r="BQ64" s="8">
        <f>VLOOKUP($C64,Контейнеры!$B$16:$G$104,6,0)</f>
        <v>0</v>
      </c>
      <c r="BR64" s="8">
        <f>VLOOKUP($C64,Контейнеры!$B$16:$G$104,4,0)</f>
        <v>0</v>
      </c>
      <c r="BS64" s="8">
        <f>VLOOKUP($C64,Контейнеры!$B$16:$G$104,5,0)</f>
        <v>0</v>
      </c>
      <c r="BT64" s="8">
        <f>VLOOKUP($C64,'ДК МНО'!$B$16:$C$104,2,0)</f>
        <v>2</v>
      </c>
      <c r="BU64" s="8">
        <f>VLOOKUP($C64,Обработка!$B$16:$F$104,5,0)</f>
        <v>2</v>
      </c>
      <c r="BV64" s="8">
        <f>VLOOKUP($C64,Обработка!$B$16:$F$104,4,0)</f>
        <v>2</v>
      </c>
      <c r="BW64" s="8">
        <f>VLOOKUP($C64,Утилизация!$B$16:$F$104,5,0)</f>
        <v>2</v>
      </c>
      <c r="BX64" s="8">
        <f>VLOOKUP($C64,Утилизация!$B$16:$F$104,4,0)</f>
        <v>1</v>
      </c>
      <c r="BY64" s="8">
        <f>VLOOKUP($C64,Захоронение!$B$16:$C$104,2,0)</f>
        <v>2</v>
      </c>
      <c r="BZ64" s="8">
        <f>VLOOKUP($C64,'ДК ИП'!$B$16:$C$104,2,0)</f>
        <v>0</v>
      </c>
      <c r="CA64" s="8">
        <f t="shared" si="9"/>
        <v>0.89999999999999991</v>
      </c>
    </row>
    <row r="65" spans="1:79" ht="30" customHeight="1">
      <c r="A65" s="9" t="s">
        <v>659</v>
      </c>
      <c r="B65" s="261">
        <f t="shared" si="3"/>
        <v>55</v>
      </c>
      <c r="C65" s="258" t="s">
        <v>82</v>
      </c>
      <c r="D65" s="227" t="str">
        <f>VLOOKUP($C65,Штаб!$B$16:$J$104,6,0)</f>
        <v>✔️</v>
      </c>
      <c r="E65" s="228" t="str">
        <f>VLOOKUP($C65,Штаб!$B$16:$J$104,7,0)</f>
        <v/>
      </c>
      <c r="F65" s="228" t="str">
        <f>VLOOKUP($C65,Штаб!$B$16:$J$104,8,0)</f>
        <v/>
      </c>
      <c r="G65" s="229" t="str">
        <f>VLOOKUP($C65,Штаб!$B$16:$J$104,9,0)</f>
        <v/>
      </c>
      <c r="H65" s="160" t="str">
        <f>VLOOKUP(C65,'РО - регионы'!$B$16:$I$104,8,0)</f>
        <v>0 / 1 / 4 из 5</v>
      </c>
      <c r="I65" s="237"/>
      <c r="J65" s="122"/>
      <c r="K65" s="94"/>
      <c r="L65" s="94"/>
      <c r="M65" s="98"/>
      <c r="N65" s="163">
        <f>VLOOKUP(C65,Спецтехника!$B$16:$J$104,4,0)</f>
        <v>151</v>
      </c>
      <c r="O65" s="166">
        <f>VLOOKUP(C65,Спецтехника!$B$16:$J$104,5,0)</f>
        <v>140</v>
      </c>
      <c r="P65" s="166">
        <f>VLOOKUP(C65,Спецтехника!$B$16:$J$104,6,0)</f>
        <v>11</v>
      </c>
      <c r="Q65" s="169">
        <f>VLOOKUP(C65,Спецтехника!$B$16:$J$104,7,0)</f>
        <v>7.2847682119205295E-2</v>
      </c>
      <c r="R65" s="242"/>
      <c r="S65" s="122"/>
      <c r="T65" s="94"/>
      <c r="U65" s="94"/>
      <c r="V65" s="98"/>
      <c r="W65" s="163">
        <f>VLOOKUP($C65,МНО!$B$16:$AB$104,16,0)</f>
        <v>10527</v>
      </c>
      <c r="X65" s="166">
        <f>VLOOKUP($C65,МНО!$B$16:$AB$104,8,0)</f>
        <v>10477</v>
      </c>
      <c r="Y65" s="166">
        <f>VLOOKUP($C65,МНО!$B$16:$AB$104,11,0)</f>
        <v>50</v>
      </c>
      <c r="Z65" s="173">
        <f>VLOOKUP($C65,МНО!$B$16:$AB$104,17,0)</f>
        <v>4.7496912700674453E-3</v>
      </c>
      <c r="AA65" s="245"/>
      <c r="AB65" s="95">
        <f>VLOOKUP($C65,МНО!$B$16:$AB$104,13,0)</f>
        <v>7.9119563567653666</v>
      </c>
      <c r="AC65" s="154">
        <f>VLOOKUP($C65,МНО!$B$16:$AB$104,18,0)</f>
        <v>0.83276369128050232</v>
      </c>
      <c r="AD65" s="163">
        <f>VLOOKUP($C65,Контейнеры!$B$16:$AB$104,16,0)</f>
        <v>15247</v>
      </c>
      <c r="AE65" s="166">
        <f>VLOOKUP($C65,Контейнеры!$B$16:$AB$104,8,0)</f>
        <v>15166</v>
      </c>
      <c r="AF65" s="166">
        <f>VLOOKUP($C65,Контейнеры!$B$16:$AB$104,11,0)</f>
        <v>81</v>
      </c>
      <c r="AG65" s="173">
        <f>VLOOKUP($C65,Контейнеры!$B$16:$AB$104,17,0)</f>
        <v>5.3125204958352464E-3</v>
      </c>
      <c r="AH65" s="245"/>
      <c r="AI65" s="95">
        <f>VLOOKUP($C65,Контейнеры!$B$16:$AB$104,13,0)</f>
        <v>12.93164458526819</v>
      </c>
      <c r="AJ65" s="154">
        <f>VLOOKUP($C65,Контейнеры!$B$16:$AB$104,18,0)</f>
        <v>0.78511155976600921</v>
      </c>
      <c r="AK65" s="135"/>
      <c r="AL65" s="94"/>
      <c r="AM65" s="94"/>
      <c r="AN65" s="116"/>
      <c r="AO65" s="78">
        <f>VLOOKUP($C65,Обработка!$B$16:$L$104,6,0)</f>
        <v>0.86299999999999999</v>
      </c>
      <c r="AP65" s="75">
        <f t="shared" si="4"/>
        <v>0.31999999999999995</v>
      </c>
      <c r="AQ65" s="74">
        <f>VLOOKUP($C65,Обработка!$B$16:$L$104,7,0)</f>
        <v>0.6</v>
      </c>
      <c r="AR65" s="179">
        <f t="shared" si="5"/>
        <v>-0.20700000000000007</v>
      </c>
      <c r="AS65" s="180">
        <f>VLOOKUP($C65,Утилизация!$B$16:$L$104,6,0)</f>
        <v>0.34200000000000003</v>
      </c>
      <c r="AT65" s="76">
        <f t="shared" si="6"/>
        <v>0.20300000000000001</v>
      </c>
      <c r="AU65" s="76">
        <f>VLOOKUP($C65,Утилизация!$B$16:$L$104,7,0)</f>
        <v>0.1</v>
      </c>
      <c r="AV65" s="184">
        <f t="shared" si="7"/>
        <v>-0.18599999999999997</v>
      </c>
      <c r="AW65" s="160" t="str">
        <f>VLOOKUP(C65,Захоронение!$B$16:$Q$104,16,0)</f>
        <v>перегруз</v>
      </c>
      <c r="AX65" s="135"/>
      <c r="AY65" s="94"/>
      <c r="AZ65" s="94"/>
      <c r="BA65" s="98"/>
      <c r="BB65" s="127" t="str">
        <f>VLOOKUP(C65,'ДК ИП'!$B$16:$S$104,5,0)</f>
        <v>существенное</v>
      </c>
      <c r="BC65" s="224">
        <f>VLOOKUP(C65,'Радар олд'!$B$3:$E$87,4,0)</f>
        <v>5.3718423372800743E-2</v>
      </c>
      <c r="BD65" s="98"/>
      <c r="BI65" s="8">
        <f t="shared" si="8"/>
        <v>1</v>
      </c>
      <c r="BJ65" s="8">
        <f>VLOOKUP(C65,Штаб!$B$16:$C$104,2)</f>
        <v>0</v>
      </c>
      <c r="BK65" s="8">
        <f>VLOOKUP(C65,'РО - регионы'!$B$16:$C$104,2)</f>
        <v>1</v>
      </c>
      <c r="BL65" s="8">
        <f>VLOOKUP(C65,'РО - регионы'!$B$16:$L$104,11)</f>
        <v>2</v>
      </c>
      <c r="BM65" s="8">
        <f>VLOOKUP(C65,Спецтехника!$B$16:$C$104,2)</f>
        <v>0</v>
      </c>
      <c r="BN65" s="8">
        <f>VLOOKUP($C65,МНО!$B$16:$AB$104,6,0)</f>
        <v>0</v>
      </c>
      <c r="BO65" s="8">
        <f>VLOOKUP($C65,МНО!$B$16:$AB$104,4,0)</f>
        <v>0</v>
      </c>
      <c r="BP65" s="8">
        <f>VLOOKUP($C65,МНО!$B$16:$AB$104,5,0)</f>
        <v>1</v>
      </c>
      <c r="BQ65" s="8">
        <f>VLOOKUP($C65,Контейнеры!$B$16:$G$104,6,0)</f>
        <v>0</v>
      </c>
      <c r="BR65" s="8">
        <f>VLOOKUP($C65,Контейнеры!$B$16:$G$104,4,0)</f>
        <v>0</v>
      </c>
      <c r="BS65" s="8">
        <f>VLOOKUP($C65,Контейнеры!$B$16:$G$104,5,0)</f>
        <v>2</v>
      </c>
      <c r="BT65" s="8">
        <f>VLOOKUP($C65,'ДК МНО'!$B$16:$C$104,2,0)</f>
        <v>2</v>
      </c>
      <c r="BU65" s="8">
        <f>VLOOKUP($C65,Обработка!$B$16:$F$104,5,0)</f>
        <v>1</v>
      </c>
      <c r="BV65" s="8">
        <f>VLOOKUP($C65,Обработка!$B$16:$F$104,4,0)</f>
        <v>0</v>
      </c>
      <c r="BW65" s="8">
        <f>VLOOKUP($C65,Утилизация!$B$16:$F$104,5,0)</f>
        <v>2</v>
      </c>
      <c r="BX65" s="8">
        <f>VLOOKUP($C65,Утилизация!$B$16:$F$104,4,0)</f>
        <v>2</v>
      </c>
      <c r="BY65" s="8">
        <f>VLOOKUP($C65,Захоронение!$B$16:$C$104,2,0)</f>
        <v>1</v>
      </c>
      <c r="BZ65" s="8">
        <f>VLOOKUP($C65,'ДК ИП'!$B$16:$C$104,2,0)</f>
        <v>2</v>
      </c>
      <c r="CA65" s="8">
        <f t="shared" si="9"/>
        <v>0.89999999999999991</v>
      </c>
    </row>
    <row r="66" spans="1:79" ht="30" customHeight="1">
      <c r="A66" s="9" t="s">
        <v>654</v>
      </c>
      <c r="B66" s="261">
        <f t="shared" si="3"/>
        <v>56</v>
      </c>
      <c r="C66" s="258" t="s">
        <v>72</v>
      </c>
      <c r="D66" s="227" t="str">
        <f>VLOOKUP($C66,Штаб!$B$16:$J$104,6,0)</f>
        <v>✔️</v>
      </c>
      <c r="E66" s="228" t="str">
        <f>VLOOKUP($C66,Штаб!$B$16:$J$104,7,0)</f>
        <v/>
      </c>
      <c r="F66" s="228" t="str">
        <f>VLOOKUP($C66,Штаб!$B$16:$J$104,8,0)</f>
        <v/>
      </c>
      <c r="G66" s="229" t="str">
        <f>VLOOKUP($C66,Штаб!$B$16:$J$104,9,0)</f>
        <v/>
      </c>
      <c r="H66" s="161" t="str">
        <f>VLOOKUP(C66,'РО - регионы'!$B$16:$I$104,8,0)</f>
        <v>0 / 0 / 1 из 1</v>
      </c>
      <c r="I66" s="237"/>
      <c r="J66" s="122"/>
      <c r="K66" s="94"/>
      <c r="L66" s="94"/>
      <c r="M66" s="98"/>
      <c r="N66" s="163">
        <f>VLOOKUP(C66,Спецтехника!$B$16:$J$104,4,0)</f>
        <v>164</v>
      </c>
      <c r="O66" s="166">
        <f>VLOOKUP(C66,Спецтехника!$B$16:$J$104,5,0)</f>
        <v>155</v>
      </c>
      <c r="P66" s="166">
        <f>VLOOKUP(C66,Спецтехника!$B$16:$J$104,6,0)</f>
        <v>9</v>
      </c>
      <c r="Q66" s="169">
        <f>VLOOKUP(C66,Спецтехника!$B$16:$J$104,7,0)</f>
        <v>5.4878048780487805E-2</v>
      </c>
      <c r="R66" s="242"/>
      <c r="S66" s="122"/>
      <c r="T66" s="94"/>
      <c r="U66" s="94"/>
      <c r="V66" s="98"/>
      <c r="W66" s="163">
        <f>VLOOKUP($C66,МНО!$B$16:$AB$104,16,0)</f>
        <v>4012</v>
      </c>
      <c r="X66" s="166">
        <f>VLOOKUP($C66,МНО!$B$16:$AB$104,8,0)</f>
        <v>3805</v>
      </c>
      <c r="Y66" s="166">
        <f>VLOOKUP($C66,МНО!$B$16:$AB$104,11,0)</f>
        <v>207</v>
      </c>
      <c r="Z66" s="173">
        <f>VLOOKUP($C66,МНО!$B$16:$AB$104,17,0)</f>
        <v>5.1595214356929216E-2</v>
      </c>
      <c r="AA66" s="245"/>
      <c r="AB66" s="95">
        <f>VLOOKUP($C66,МНО!$B$16:$AB$104,13,0)</f>
        <v>8.0115387136956677</v>
      </c>
      <c r="AC66" s="154">
        <f>VLOOKUP($C66,МНО!$B$16:$AB$104,18,0)</f>
        <v>1</v>
      </c>
      <c r="AD66" s="163">
        <f>VLOOKUP($C66,Контейнеры!$B$16:$AB$104,16,0)</f>
        <v>10545</v>
      </c>
      <c r="AE66" s="166">
        <f>VLOOKUP($C66,Контейнеры!$B$16:$AB$104,8,0)</f>
        <v>9937</v>
      </c>
      <c r="AF66" s="166">
        <f>VLOOKUP($C66,Контейнеры!$B$16:$AB$104,11,0)</f>
        <v>608</v>
      </c>
      <c r="AG66" s="173">
        <f>VLOOKUP($C66,Контейнеры!$B$16:$AB$104,17,0)</f>
        <v>5.7657657657657659E-2</v>
      </c>
      <c r="AH66" s="245"/>
      <c r="AI66" s="95">
        <f>VLOOKUP($C66,Контейнеры!$B$16:$AB$104,13,0)</f>
        <v>21.715946589741908</v>
      </c>
      <c r="AJ66" s="154">
        <f>VLOOKUP($C66,Контейнеры!$B$16:$AB$104,18,0)</f>
        <v>0.96889625585023398</v>
      </c>
      <c r="AK66" s="135"/>
      <c r="AL66" s="94"/>
      <c r="AM66" s="94"/>
      <c r="AN66" s="116"/>
      <c r="AO66" s="80">
        <f>VLOOKUP($C66,Обработка!$B$16:$L$104,6,0)</f>
        <v>0.41600000000000004</v>
      </c>
      <c r="AP66" s="74">
        <f t="shared" si="4"/>
        <v>-0.127</v>
      </c>
      <c r="AQ66" s="74">
        <f>VLOOKUP($C66,Обработка!$B$16:$L$104,7,0)</f>
        <v>0.47600000000000003</v>
      </c>
      <c r="AR66" s="179">
        <f t="shared" si="5"/>
        <v>-0.33100000000000002</v>
      </c>
      <c r="AS66" s="180">
        <f>VLOOKUP($C66,Утилизация!$B$16:$L$104,6,0)</f>
        <v>1.9E-2</v>
      </c>
      <c r="AT66" s="76">
        <f t="shared" si="6"/>
        <v>-0.12000000000000001</v>
      </c>
      <c r="AU66" s="76">
        <f>VLOOKUP($C66,Утилизация!$B$16:$L$104,7,0)</f>
        <v>0.13</v>
      </c>
      <c r="AV66" s="184">
        <f t="shared" si="7"/>
        <v>-0.15599999999999997</v>
      </c>
      <c r="AW66" s="162" t="str">
        <f>VLOOKUP(C66,Захоронение!$B$16:$Q$104,16,0)</f>
        <v>белые пятна</v>
      </c>
      <c r="AX66" s="135"/>
      <c r="AY66" s="94"/>
      <c r="AZ66" s="94"/>
      <c r="BA66" s="98"/>
      <c r="BB66" s="127" t="str">
        <f>VLOOKUP(C66,'ДК ИП'!$B$16:$S$104,5,0)</f>
        <v>среднее</v>
      </c>
      <c r="BC66" s="224">
        <f>VLOOKUP(C66,'Радар олд'!$B$3:$E$87,4,0)</f>
        <v>1.7482899538888527E-2</v>
      </c>
      <c r="BD66" s="98"/>
      <c r="BI66" s="8">
        <f t="shared" si="8"/>
        <v>1</v>
      </c>
      <c r="BJ66" s="8">
        <f>VLOOKUP(C66,Штаб!$B$16:$C$104,2)</f>
        <v>0</v>
      </c>
      <c r="BK66" s="8">
        <f>VLOOKUP(C66,'РО - регионы'!$B$16:$C$104,2)</f>
        <v>0</v>
      </c>
      <c r="BL66" s="8">
        <f>VLOOKUP(C66,'РО - регионы'!$B$16:$L$104,11)</f>
        <v>0</v>
      </c>
      <c r="BM66" s="8">
        <f>VLOOKUP(C66,Спецтехника!$B$16:$C$104,2)</f>
        <v>0</v>
      </c>
      <c r="BN66" s="8">
        <f>VLOOKUP($C66,МНО!$B$16:$AB$104,6,0)</f>
        <v>0</v>
      </c>
      <c r="BO66" s="8">
        <f>VLOOKUP($C66,МНО!$B$16:$AB$104,4,0)</f>
        <v>0</v>
      </c>
      <c r="BP66" s="8">
        <f>VLOOKUP($C66,МНО!$B$16:$AB$104,5,0)</f>
        <v>0</v>
      </c>
      <c r="BQ66" s="8">
        <f>VLOOKUP($C66,Контейнеры!$B$16:$G$104,6,0)</f>
        <v>0</v>
      </c>
      <c r="BR66" s="8">
        <f>VLOOKUP($C66,Контейнеры!$B$16:$G$104,4,0)</f>
        <v>0</v>
      </c>
      <c r="BS66" s="8">
        <f>VLOOKUP($C66,Контейнеры!$B$16:$G$104,5,0)</f>
        <v>0</v>
      </c>
      <c r="BT66" s="8">
        <f>VLOOKUP($C66,'ДК МНО'!$B$16:$C$104,2,0)</f>
        <v>2</v>
      </c>
      <c r="BU66" s="8">
        <f>VLOOKUP($C66,Обработка!$B$16:$F$104,5,0)</f>
        <v>1</v>
      </c>
      <c r="BV66" s="8">
        <f>VLOOKUP($C66,Обработка!$B$16:$F$104,4,0)</f>
        <v>1</v>
      </c>
      <c r="BW66" s="8">
        <f>VLOOKUP($C66,Утилизация!$B$16:$F$104,5,0)</f>
        <v>2</v>
      </c>
      <c r="BX66" s="8">
        <f>VLOOKUP($C66,Утилизация!$B$16:$F$104,4,0)</f>
        <v>2</v>
      </c>
      <c r="BY66" s="8">
        <f>VLOOKUP($C66,Захоронение!$B$16:$C$104,2,0)</f>
        <v>2</v>
      </c>
      <c r="BZ66" s="8">
        <f>VLOOKUP($C66,'ДК ИП'!$B$16:$C$104,2,0)</f>
        <v>1</v>
      </c>
      <c r="CA66" s="8">
        <f t="shared" si="9"/>
        <v>0.9</v>
      </c>
    </row>
    <row r="67" spans="1:79" ht="30" customHeight="1">
      <c r="A67" s="9" t="s">
        <v>654</v>
      </c>
      <c r="B67" s="261">
        <f t="shared" si="3"/>
        <v>57</v>
      </c>
      <c r="C67" s="258" t="s">
        <v>20</v>
      </c>
      <c r="D67" s="227" t="str">
        <f>VLOOKUP($C67,Штаб!$B$16:$J$104,6,0)</f>
        <v>✔️</v>
      </c>
      <c r="E67" s="228" t="str">
        <f>VLOOKUP($C67,Штаб!$B$16:$J$104,7,0)</f>
        <v/>
      </c>
      <c r="F67" s="228" t="str">
        <f>VLOOKUP($C67,Штаб!$B$16:$J$104,8,0)</f>
        <v/>
      </c>
      <c r="G67" s="229" t="str">
        <f>VLOOKUP($C67,Штаб!$B$16:$J$104,9,0)</f>
        <v/>
      </c>
      <c r="H67" s="160" t="str">
        <f>VLOOKUP(C67,'РО - регионы'!$B$16:$I$104,8,0)</f>
        <v>0 / 1 / 0 из 1</v>
      </c>
      <c r="I67" s="237"/>
      <c r="J67" s="122"/>
      <c r="K67" s="94"/>
      <c r="L67" s="94"/>
      <c r="M67" s="98"/>
      <c r="N67" s="165">
        <f>VLOOKUP(C67,Спецтехника!$B$16:$J$104,4,0)</f>
        <v>48</v>
      </c>
      <c r="O67" s="168">
        <f>VLOOKUP(C67,Спецтехника!$B$16:$J$104,5,0)</f>
        <v>33</v>
      </c>
      <c r="P67" s="168">
        <f>VLOOKUP(C67,Спецтехника!$B$16:$J$104,6,0)</f>
        <v>15</v>
      </c>
      <c r="Q67" s="171">
        <f>VLOOKUP(C67,Спецтехника!$B$16:$J$104,7,0)</f>
        <v>0.3125</v>
      </c>
      <c r="R67" s="242"/>
      <c r="S67" s="122"/>
      <c r="T67" s="94"/>
      <c r="U67" s="94"/>
      <c r="V67" s="98"/>
      <c r="W67" s="164">
        <f>VLOOKUP($C67,МНО!$B$16:$AB$104,16,0)</f>
        <v>1042</v>
      </c>
      <c r="X67" s="167">
        <f>VLOOKUP($C67,МНО!$B$16:$AB$104,8,0)</f>
        <v>742</v>
      </c>
      <c r="Y67" s="167">
        <f>VLOOKUP($C67,МНО!$B$16:$AB$104,11,0)</f>
        <v>300</v>
      </c>
      <c r="Z67" s="172">
        <f>VLOOKUP($C67,МНО!$B$16:$AB$104,17,0)</f>
        <v>0.28790786948176583</v>
      </c>
      <c r="AA67" s="245"/>
      <c r="AB67" s="95">
        <f>VLOOKUP($C67,МНО!$B$16:$AB$104,13,0)</f>
        <v>4.9313452490363643</v>
      </c>
      <c r="AC67" s="154">
        <f>VLOOKUP($C67,МНО!$B$16:$AB$104,18,0)</f>
        <v>0.86682242990654201</v>
      </c>
      <c r="AD67" s="164">
        <f>VLOOKUP($C67,Контейнеры!$B$16:$AB$104,16,0)</f>
        <v>2897</v>
      </c>
      <c r="AE67" s="167">
        <f>VLOOKUP($C67,Контейнеры!$B$16:$AB$104,8,0)</f>
        <v>1997</v>
      </c>
      <c r="AF67" s="167">
        <f>VLOOKUP($C67,Контейнеры!$B$16:$AB$104,11,0)</f>
        <v>900</v>
      </c>
      <c r="AG67" s="172">
        <f>VLOOKUP($C67,Контейнеры!$B$16:$AB$104,17,0)</f>
        <v>0.31066620642043491</v>
      </c>
      <c r="AH67" s="245"/>
      <c r="AI67" s="95">
        <f>VLOOKUP($C67,Контейнеры!$B$16:$AB$104,13,0)</f>
        <v>13.696657110327704</v>
      </c>
      <c r="AJ67" s="154">
        <f>VLOOKUP($C67,Контейнеры!$B$16:$AB$104,18,0)</f>
        <v>1</v>
      </c>
      <c r="AK67" s="135"/>
      <c r="AL67" s="94"/>
      <c r="AM67" s="94"/>
      <c r="AN67" s="116"/>
      <c r="AO67" s="79">
        <f>VLOOKUP($C67,Обработка!$B$16:$L$104,6,0)</f>
        <v>3.7999999999999999E-2</v>
      </c>
      <c r="AP67" s="76">
        <f t="shared" si="4"/>
        <v>-0.505</v>
      </c>
      <c r="AQ67" s="75">
        <f>VLOOKUP($C67,Обработка!$B$16:$L$104,7,0)</f>
        <v>0.83700000000000008</v>
      </c>
      <c r="AR67" s="178">
        <f t="shared" si="5"/>
        <v>3.0000000000000027E-2</v>
      </c>
      <c r="AS67" s="180">
        <f>VLOOKUP($C67,Утилизация!$B$16:$L$104,6,0)</f>
        <v>0</v>
      </c>
      <c r="AT67" s="76">
        <f t="shared" si="6"/>
        <v>-0.13900000000000001</v>
      </c>
      <c r="AU67" s="75">
        <f>VLOOKUP($C67,Утилизация!$B$16:$L$104,7,0)</f>
        <v>0.5</v>
      </c>
      <c r="AV67" s="185">
        <f t="shared" si="7"/>
        <v>0.21400000000000002</v>
      </c>
      <c r="AW67" s="161" t="str">
        <f>VLOOKUP(C67,Захоронение!$B$16:$Q$104,16,0)</f>
        <v/>
      </c>
      <c r="AX67" s="135"/>
      <c r="AY67" s="94"/>
      <c r="AZ67" s="94"/>
      <c r="BA67" s="98"/>
      <c r="BB67" s="127" t="str">
        <f>VLOOKUP(C67,'ДК ИП'!$B$16:$S$104,5,0)</f>
        <v>существенное</v>
      </c>
      <c r="BC67" s="224">
        <f>VLOOKUP(C67,'Радар олд'!$B$3:$E$87,4,0)</f>
        <v>2.0575849439651031E-2</v>
      </c>
      <c r="BD67" s="98"/>
      <c r="BI67" s="8">
        <f t="shared" si="8"/>
        <v>1</v>
      </c>
      <c r="BJ67" s="8">
        <f>VLOOKUP(C67,Штаб!$B$16:$C$104,2)</f>
        <v>0</v>
      </c>
      <c r="BK67" s="8">
        <f>VLOOKUP(C67,'РО - регионы'!$B$16:$C$104,2)</f>
        <v>1</v>
      </c>
      <c r="BL67" s="8">
        <f>VLOOKUP(C67,'РО - регионы'!$B$16:$L$104,11)</f>
        <v>2</v>
      </c>
      <c r="BM67" s="8">
        <f>VLOOKUP(C67,Спецтехника!$B$16:$C$104,2)</f>
        <v>2</v>
      </c>
      <c r="BN67" s="8">
        <f>VLOOKUP($C67,МНО!$B$16:$AB$104,6,0)</f>
        <v>1</v>
      </c>
      <c r="BO67" s="8">
        <f>VLOOKUP($C67,МНО!$B$16:$AB$104,4,0)</f>
        <v>1</v>
      </c>
      <c r="BP67" s="8">
        <f>VLOOKUP($C67,МНО!$B$16:$AB$104,5,0)</f>
        <v>0</v>
      </c>
      <c r="BQ67" s="8">
        <f>VLOOKUP($C67,Контейнеры!$B$16:$G$104,6,0)</f>
        <v>2</v>
      </c>
      <c r="BR67" s="8">
        <f>VLOOKUP($C67,Контейнеры!$B$16:$G$104,4,0)</f>
        <v>2</v>
      </c>
      <c r="BS67" s="8">
        <f>VLOOKUP($C67,Контейнеры!$B$16:$G$104,5,0)</f>
        <v>0</v>
      </c>
      <c r="BT67" s="8">
        <f>VLOOKUP($C67,'ДК МНО'!$B$16:$C$104,2,0)</f>
        <v>2</v>
      </c>
      <c r="BU67" s="8">
        <f>VLOOKUP($C67,Обработка!$B$16:$F$104,5,0)</f>
        <v>0</v>
      </c>
      <c r="BV67" s="8">
        <f>VLOOKUP($C67,Обработка!$B$16:$F$104,4,0)</f>
        <v>2</v>
      </c>
      <c r="BW67" s="8">
        <f>VLOOKUP($C67,Утилизация!$B$16:$F$104,5,0)</f>
        <v>0</v>
      </c>
      <c r="BX67" s="8">
        <f>VLOOKUP($C67,Утилизация!$B$16:$F$104,4,0)</f>
        <v>2</v>
      </c>
      <c r="BY67" s="8">
        <f>VLOOKUP($C67,Захоронение!$B$16:$C$104,2,0)</f>
        <v>0</v>
      </c>
      <c r="BZ67" s="8">
        <f>VLOOKUP($C67,'ДК ИП'!$B$16:$C$104,2,0)</f>
        <v>2</v>
      </c>
      <c r="CA67" s="8">
        <f t="shared" si="9"/>
        <v>1</v>
      </c>
    </row>
    <row r="68" spans="1:79" ht="30" customHeight="1">
      <c r="A68" s="9" t="s">
        <v>660</v>
      </c>
      <c r="B68" s="261">
        <f t="shared" si="3"/>
        <v>58</v>
      </c>
      <c r="C68" s="258" t="s">
        <v>34</v>
      </c>
      <c r="D68" s="227" t="str">
        <f>VLOOKUP($C68,Штаб!$B$16:$J$104,6,0)</f>
        <v/>
      </c>
      <c r="E68" s="228" t="str">
        <f>VLOOKUP($C68,Штаб!$B$16:$J$104,7,0)</f>
        <v/>
      </c>
      <c r="F68" s="228" t="str">
        <f>VLOOKUP($C68,Штаб!$B$16:$J$104,8,0)</f>
        <v>✔️</v>
      </c>
      <c r="G68" s="229" t="str">
        <f>VLOOKUP($C68,Штаб!$B$16:$J$104,9,0)</f>
        <v/>
      </c>
      <c r="H68" s="162" t="str">
        <f>VLOOKUP(C68,'РО - регионы'!$B$16:$I$104,8,0)</f>
        <v>1 / 0 / 0 из 1</v>
      </c>
      <c r="I68" s="237"/>
      <c r="J68" s="122"/>
      <c r="K68" s="94"/>
      <c r="L68" s="94"/>
      <c r="M68" s="98"/>
      <c r="N68" s="163">
        <f>VLOOKUP(C68,Спецтехника!$B$16:$J$104,4,0)</f>
        <v>80</v>
      </c>
      <c r="O68" s="166">
        <f>VLOOKUP(C68,Спецтехника!$B$16:$J$104,5,0)</f>
        <v>80</v>
      </c>
      <c r="P68" s="166">
        <f>VLOOKUP(C68,Спецтехника!$B$16:$J$104,6,0)</f>
        <v>0</v>
      </c>
      <c r="Q68" s="169">
        <f>VLOOKUP(C68,Спецтехника!$B$16:$J$104,7,0)</f>
        <v>0</v>
      </c>
      <c r="R68" s="242"/>
      <c r="S68" s="122"/>
      <c r="T68" s="94"/>
      <c r="U68" s="94"/>
      <c r="V68" s="98"/>
      <c r="W68" s="165">
        <f>VLOOKUP($C68,МНО!$B$16:$AB$104,16,0)</f>
        <v>8593</v>
      </c>
      <c r="X68" s="168">
        <f>VLOOKUP($C68,МНО!$B$16:$AB$104,8,0)</f>
        <v>8593</v>
      </c>
      <c r="Y68" s="168">
        <f>VLOOKUP($C68,МНО!$B$16:$AB$104,11,0)</f>
        <v>0</v>
      </c>
      <c r="Z68" s="174">
        <f>VLOOKUP($C68,МНО!$B$16:$AB$104,17,0)</f>
        <v>0</v>
      </c>
      <c r="AA68" s="245"/>
      <c r="AB68" s="95">
        <f>VLOOKUP($C68,МНО!$B$16:$AB$104,13,0)</f>
        <v>11.40501618853602</v>
      </c>
      <c r="AC68" s="154">
        <f>VLOOKUP($C68,МНО!$B$16:$AB$104,18,0)</f>
        <v>0.65993395284540357</v>
      </c>
      <c r="AD68" s="165">
        <f>VLOOKUP($C68,Контейнеры!$B$16:$AB$104,16,0)</f>
        <v>10977</v>
      </c>
      <c r="AE68" s="168">
        <f>VLOOKUP($C68,Контейнеры!$B$16:$AB$104,8,0)</f>
        <v>10977</v>
      </c>
      <c r="AF68" s="168">
        <f>VLOOKUP($C68,Контейнеры!$B$16:$AB$104,11,0)</f>
        <v>0</v>
      </c>
      <c r="AG68" s="174">
        <f>VLOOKUP($C68,Контейнеры!$B$16:$AB$104,17,0)</f>
        <v>0</v>
      </c>
      <c r="AH68" s="245"/>
      <c r="AI68" s="95">
        <f>VLOOKUP($C68,Контейнеры!$B$16:$AB$104,13,0)</f>
        <v>14.577650524168595</v>
      </c>
      <c r="AJ68" s="154">
        <f>VLOOKUP($C68,Контейнеры!$B$16:$AB$104,18,0)</f>
        <v>0.62249064307587609</v>
      </c>
      <c r="AK68" s="135"/>
      <c r="AL68" s="94"/>
      <c r="AM68" s="94"/>
      <c r="AN68" s="116"/>
      <c r="AO68" s="79">
        <f>VLOOKUP($C68,Обработка!$B$16:$L$104,6,0)</f>
        <v>0.188</v>
      </c>
      <c r="AP68" s="76">
        <f t="shared" si="4"/>
        <v>-0.35500000000000004</v>
      </c>
      <c r="AQ68" s="75">
        <f>VLOOKUP($C68,Обработка!$B$16:$L$104,7,0)</f>
        <v>1</v>
      </c>
      <c r="AR68" s="178">
        <f t="shared" si="5"/>
        <v>0.19299999999999995</v>
      </c>
      <c r="AS68" s="180">
        <f>VLOOKUP($C68,Утилизация!$B$16:$L$104,6,0)</f>
        <v>0.01</v>
      </c>
      <c r="AT68" s="76">
        <f t="shared" si="6"/>
        <v>-0.129</v>
      </c>
      <c r="AU68" s="74">
        <f>VLOOKUP($C68,Утилизация!$B$16:$L$104,7,0)</f>
        <v>0.25</v>
      </c>
      <c r="AV68" s="186">
        <f t="shared" si="7"/>
        <v>-3.5999999999999976E-2</v>
      </c>
      <c r="AW68" s="161" t="str">
        <f>VLOOKUP(C68,Захоронение!$B$16:$Q$104,16,0)</f>
        <v/>
      </c>
      <c r="AX68" s="135"/>
      <c r="AY68" s="94"/>
      <c r="AZ68" s="94"/>
      <c r="BA68" s="98"/>
      <c r="BB68" s="127" t="str">
        <f>VLOOKUP(C68,'ДК ИП'!$B$16:$S$104,5,0)</f>
        <v>среднее</v>
      </c>
      <c r="BC68" s="224">
        <f>VLOOKUP(C68,'Радар олд'!$B$3:$E$87,4,0)</f>
        <v>4.515260251632798E-2</v>
      </c>
      <c r="BD68" s="98"/>
      <c r="BI68" s="8">
        <f t="shared" si="8"/>
        <v>1</v>
      </c>
      <c r="BJ68" s="8">
        <f>VLOOKUP(C68,Штаб!$B$16:$C$104,2)</f>
        <v>1</v>
      </c>
      <c r="BK68" s="8">
        <f>VLOOKUP(C68,'РО - регионы'!$B$16:$C$104,2)</f>
        <v>2</v>
      </c>
      <c r="BL68" s="8">
        <f>VLOOKUP(C68,'РО - регионы'!$B$16:$L$104,11)</f>
        <v>0</v>
      </c>
      <c r="BM68" s="8">
        <f>VLOOKUP(C68,Спецтехника!$B$16:$C$104,2)</f>
        <v>0</v>
      </c>
      <c r="BN68" s="8">
        <f>VLOOKUP($C68,МНО!$B$16:$AB$104,6,0)</f>
        <v>2</v>
      </c>
      <c r="BO68" s="8">
        <f>VLOOKUP($C68,МНО!$B$16:$AB$104,4,0)</f>
        <v>0</v>
      </c>
      <c r="BP68" s="8">
        <f>VLOOKUP($C68,МНО!$B$16:$AB$104,5,0)</f>
        <v>2</v>
      </c>
      <c r="BQ68" s="8">
        <f>VLOOKUP($C68,Контейнеры!$B$16:$G$104,6,0)</f>
        <v>2</v>
      </c>
      <c r="BR68" s="8">
        <f>VLOOKUP($C68,Контейнеры!$B$16:$G$104,4,0)</f>
        <v>0</v>
      </c>
      <c r="BS68" s="8">
        <f>VLOOKUP($C68,Контейнеры!$B$16:$G$104,5,0)</f>
        <v>2</v>
      </c>
      <c r="BT68" s="8">
        <f>VLOOKUP($C68,'ДК МНО'!$B$16:$C$104,2,0)</f>
        <v>2</v>
      </c>
      <c r="BU68" s="8">
        <f>VLOOKUP($C68,Обработка!$B$16:$F$104,5,0)</f>
        <v>0</v>
      </c>
      <c r="BV68" s="8">
        <f>VLOOKUP($C68,Обработка!$B$16:$F$104,4,0)</f>
        <v>2</v>
      </c>
      <c r="BW68" s="8">
        <f>VLOOKUP($C68,Утилизация!$B$16:$F$104,5,0)</f>
        <v>1</v>
      </c>
      <c r="BX68" s="8">
        <f>VLOOKUP($C68,Утилизация!$B$16:$F$104,4,0)</f>
        <v>2</v>
      </c>
      <c r="BY68" s="8">
        <f>VLOOKUP($C68,Захоронение!$B$16:$C$104,2,0)</f>
        <v>0</v>
      </c>
      <c r="BZ68" s="8">
        <f>VLOOKUP($C68,'ДК ИП'!$B$16:$C$104,2,0)</f>
        <v>1</v>
      </c>
      <c r="CA68" s="8">
        <f t="shared" si="9"/>
        <v>0.95</v>
      </c>
    </row>
    <row r="69" spans="1:79" ht="30" customHeight="1">
      <c r="A69" s="9" t="s">
        <v>655</v>
      </c>
      <c r="B69" s="261">
        <f t="shared" si="3"/>
        <v>59</v>
      </c>
      <c r="C69" s="258" t="s">
        <v>10</v>
      </c>
      <c r="D69" s="227" t="str">
        <f>VLOOKUP($C69,Штаб!$B$16:$J$104,6,0)</f>
        <v>✔️</v>
      </c>
      <c r="E69" s="228" t="str">
        <f>VLOOKUP($C69,Штаб!$B$16:$J$104,7,0)</f>
        <v/>
      </c>
      <c r="F69" s="228" t="str">
        <f>VLOOKUP($C69,Штаб!$B$16:$J$104,8,0)</f>
        <v/>
      </c>
      <c r="G69" s="229" t="str">
        <f>VLOOKUP($C69,Штаб!$B$16:$J$104,9,0)</f>
        <v/>
      </c>
      <c r="H69" s="160" t="str">
        <f>VLOOKUP(C69,'РО - регионы'!$B$16:$I$104,8,0)</f>
        <v>0 / 1 / 0 из 1</v>
      </c>
      <c r="I69" s="237"/>
      <c r="J69" s="122"/>
      <c r="K69" s="94"/>
      <c r="L69" s="94"/>
      <c r="M69" s="98"/>
      <c r="N69" s="164">
        <f>VLOOKUP(C69,Спецтехника!$B$16:$J$104,4,0)</f>
        <v>256</v>
      </c>
      <c r="O69" s="167">
        <f>VLOOKUP(C69,Спецтехника!$B$16:$J$104,5,0)</f>
        <v>224</v>
      </c>
      <c r="P69" s="167">
        <f>VLOOKUP(C69,Спецтехника!$B$16:$J$104,6,0)</f>
        <v>32</v>
      </c>
      <c r="Q69" s="170">
        <f>VLOOKUP(C69,Спецтехника!$B$16:$J$104,7,0)</f>
        <v>0.125</v>
      </c>
      <c r="R69" s="242"/>
      <c r="S69" s="122"/>
      <c r="T69" s="94"/>
      <c r="U69" s="94"/>
      <c r="V69" s="98"/>
      <c r="W69" s="163">
        <f>VLOOKUP($C69,МНО!$B$16:$AB$104,16,0)</f>
        <v>12496</v>
      </c>
      <c r="X69" s="166">
        <f>VLOOKUP($C69,МНО!$B$16:$AB$104,8,0)</f>
        <v>11033</v>
      </c>
      <c r="Y69" s="166">
        <f>VLOOKUP($C69,МНО!$B$16:$AB$104,11,0)</f>
        <v>1463</v>
      </c>
      <c r="Z69" s="173">
        <f>VLOOKUP($C69,МНО!$B$16:$AB$104,17,0)</f>
        <v>0.11707746478873239</v>
      </c>
      <c r="AA69" s="245"/>
      <c r="AB69" s="95">
        <f>VLOOKUP($C69,МНО!$B$16:$AB$104,13,0)</f>
        <v>10.556071676668257</v>
      </c>
      <c r="AC69" s="154">
        <f>VLOOKUP($C69,МНО!$B$16:$AB$104,18,0)</f>
        <v>1</v>
      </c>
      <c r="AD69" s="164">
        <f>VLOOKUP($C69,Контейнеры!$B$16:$AB$104,16,0)</f>
        <v>28980</v>
      </c>
      <c r="AE69" s="167">
        <f>VLOOKUP($C69,Контейнеры!$B$16:$AB$104,8,0)</f>
        <v>25191</v>
      </c>
      <c r="AF69" s="167">
        <f>VLOOKUP($C69,Контейнеры!$B$16:$AB$104,11,0)</f>
        <v>3789</v>
      </c>
      <c r="AG69" s="172">
        <f>VLOOKUP($C69,Контейнеры!$B$16:$AB$104,17,0)</f>
        <v>0.13074534161490683</v>
      </c>
      <c r="AH69" s="245"/>
      <c r="AI69" s="95">
        <f>VLOOKUP($C69,Контейнеры!$B$16:$AB$104,13,0)</f>
        <v>26.354608682552037</v>
      </c>
      <c r="AJ69" s="154">
        <f>VLOOKUP($C69,Контейнеры!$B$16:$AB$104,18,0)</f>
        <v>1</v>
      </c>
      <c r="AK69" s="135"/>
      <c r="AL69" s="94"/>
      <c r="AM69" s="94"/>
      <c r="AN69" s="116"/>
      <c r="AO69" s="79">
        <f>VLOOKUP($C69,Обработка!$B$16:$L$104,6,0)</f>
        <v>9.9000000000000005E-2</v>
      </c>
      <c r="AP69" s="76">
        <f t="shared" si="4"/>
        <v>-0.44400000000000006</v>
      </c>
      <c r="AQ69" s="75">
        <f>VLOOKUP($C69,Обработка!$B$16:$L$104,7,0)</f>
        <v>1</v>
      </c>
      <c r="AR69" s="178">
        <f t="shared" si="5"/>
        <v>0.19299999999999995</v>
      </c>
      <c r="AS69" s="180">
        <f>VLOOKUP($C69,Утилизация!$B$16:$L$104,6,0)</f>
        <v>3.0000000000000001E-3</v>
      </c>
      <c r="AT69" s="76">
        <f t="shared" si="6"/>
        <v>-0.13600000000000001</v>
      </c>
      <c r="AU69" s="75">
        <f>VLOOKUP($C69,Утилизация!$B$16:$L$104,7,0)</f>
        <v>0.55000000000000004</v>
      </c>
      <c r="AV69" s="185">
        <f t="shared" si="7"/>
        <v>0.26400000000000007</v>
      </c>
      <c r="AW69" s="162" t="str">
        <f>VLOOKUP(C69,Захоронение!$B$16:$Q$104,16,0)</f>
        <v>765 приказ</v>
      </c>
      <c r="AX69" s="135"/>
      <c r="AY69" s="94"/>
      <c r="AZ69" s="94"/>
      <c r="BA69" s="98"/>
      <c r="BB69" s="127" t="str">
        <f>VLOOKUP(C69,'ДК ИП'!$B$16:$S$104,5,0)</f>
        <v>небольшое</v>
      </c>
      <c r="BC69" s="224">
        <f>VLOOKUP(C69,'Радар олд'!$B$3:$E$87,4,0)</f>
        <v>1.7785254559302313E-2</v>
      </c>
      <c r="BD69" s="98"/>
      <c r="BI69" s="8">
        <f t="shared" si="8"/>
        <v>1</v>
      </c>
      <c r="BJ69" s="8">
        <f>VLOOKUP(C69,Штаб!$B$16:$C$104,2)</f>
        <v>0</v>
      </c>
      <c r="BK69" s="8">
        <f>VLOOKUP(C69,'РО - регионы'!$B$16:$C$104,2)</f>
        <v>1</v>
      </c>
      <c r="BL69" s="8">
        <f>VLOOKUP(C69,'РО - регионы'!$B$16:$L$104,11)</f>
        <v>2</v>
      </c>
      <c r="BM69" s="8">
        <f>VLOOKUP(C69,Спецтехника!$B$16:$C$104,2)</f>
        <v>1</v>
      </c>
      <c r="BN69" s="8">
        <f>VLOOKUP($C69,МНО!$B$16:$AB$104,6,0)</f>
        <v>0</v>
      </c>
      <c r="BO69" s="8">
        <f>VLOOKUP($C69,МНО!$B$16:$AB$104,4,0)</f>
        <v>0</v>
      </c>
      <c r="BP69" s="8">
        <f>VLOOKUP($C69,МНО!$B$16:$AB$104,5,0)</f>
        <v>0</v>
      </c>
      <c r="BQ69" s="8">
        <f>VLOOKUP($C69,Контейнеры!$B$16:$G$104,6,0)</f>
        <v>0</v>
      </c>
      <c r="BR69" s="8">
        <f>VLOOKUP($C69,Контейнеры!$B$16:$G$104,4,0)</f>
        <v>0</v>
      </c>
      <c r="BS69" s="8">
        <f>VLOOKUP($C69,Контейнеры!$B$16:$G$104,5,0)</f>
        <v>0</v>
      </c>
      <c r="BT69" s="8">
        <f>VLOOKUP($C69,'ДК МНО'!$B$16:$C$104,2,0)</f>
        <v>2</v>
      </c>
      <c r="BU69" s="8">
        <f>VLOOKUP($C69,Обработка!$B$16:$F$104,5,0)</f>
        <v>0</v>
      </c>
      <c r="BV69" s="8">
        <f>VLOOKUP($C69,Обработка!$B$16:$F$104,4,0)</f>
        <v>2</v>
      </c>
      <c r="BW69" s="8">
        <f>VLOOKUP($C69,Утилизация!$B$16:$F$104,5,0)</f>
        <v>0</v>
      </c>
      <c r="BX69" s="8">
        <f>VLOOKUP($C69,Утилизация!$B$16:$F$104,4,0)</f>
        <v>2</v>
      </c>
      <c r="BY69" s="8">
        <f>VLOOKUP($C69,Захоронение!$B$16:$C$104,2,0)</f>
        <v>2</v>
      </c>
      <c r="BZ69" s="8">
        <f>VLOOKUP($C69,'ДК ИП'!$B$16:$C$104,2,0)</f>
        <v>0</v>
      </c>
      <c r="CA69" s="8">
        <f t="shared" si="9"/>
        <v>0.95</v>
      </c>
    </row>
    <row r="70" spans="1:79" ht="30" customHeight="1">
      <c r="A70" s="9" t="s">
        <v>654</v>
      </c>
      <c r="B70" s="261">
        <f t="shared" si="3"/>
        <v>60</v>
      </c>
      <c r="C70" s="258" t="s">
        <v>27</v>
      </c>
      <c r="D70" s="227" t="str">
        <f>VLOOKUP($C70,Штаб!$B$16:$J$104,6,0)</f>
        <v>✔️</v>
      </c>
      <c r="E70" s="228" t="str">
        <f>VLOOKUP($C70,Штаб!$B$16:$J$104,7,0)</f>
        <v/>
      </c>
      <c r="F70" s="228" t="str">
        <f>VLOOKUP($C70,Штаб!$B$16:$J$104,8,0)</f>
        <v/>
      </c>
      <c r="G70" s="229" t="str">
        <f>VLOOKUP($C70,Штаб!$B$16:$J$104,9,0)</f>
        <v/>
      </c>
      <c r="H70" s="161" t="str">
        <f>VLOOKUP(C70,'РО - регионы'!$B$16:$I$104,8,0)</f>
        <v>0 / 0 / 1 из 1</v>
      </c>
      <c r="I70" s="237"/>
      <c r="J70" s="122"/>
      <c r="K70" s="94"/>
      <c r="L70" s="94"/>
      <c r="M70" s="98"/>
      <c r="N70" s="165">
        <f>VLOOKUP(C70,Спецтехника!$B$16:$J$104,4,0)</f>
        <v>171</v>
      </c>
      <c r="O70" s="168">
        <f>VLOOKUP(C70,Спецтехника!$B$16:$J$104,5,0)</f>
        <v>124</v>
      </c>
      <c r="P70" s="168">
        <f>VLOOKUP(C70,Спецтехника!$B$16:$J$104,6,0)</f>
        <v>47</v>
      </c>
      <c r="Q70" s="171">
        <f>VLOOKUP(C70,Спецтехника!$B$16:$J$104,7,0)</f>
        <v>0.27485380116959063</v>
      </c>
      <c r="R70" s="242"/>
      <c r="S70" s="122"/>
      <c r="T70" s="94"/>
      <c r="U70" s="94"/>
      <c r="V70" s="98"/>
      <c r="W70" s="163">
        <f>VLOOKUP($C70,МНО!$B$16:$AB$104,16,0)</f>
        <v>1821</v>
      </c>
      <c r="X70" s="166">
        <f>VLOOKUP($C70,МНО!$B$16:$AB$104,8,0)</f>
        <v>1619</v>
      </c>
      <c r="Y70" s="166">
        <f>VLOOKUP($C70,МНО!$B$16:$AB$104,11,0)</f>
        <v>202</v>
      </c>
      <c r="Z70" s="173">
        <f>VLOOKUP($C70,МНО!$B$16:$AB$104,17,0)</f>
        <v>0.11092806150466776</v>
      </c>
      <c r="AA70" s="245"/>
      <c r="AB70" s="95">
        <f>VLOOKUP($C70,МНО!$B$16:$AB$104,13,0)</f>
        <v>5.2154893457969802</v>
      </c>
      <c r="AC70" s="154">
        <f>VLOOKUP($C70,МНО!$B$16:$AB$104,18,0)</f>
        <v>0.63341158059467917</v>
      </c>
      <c r="AD70" s="164">
        <f>VLOOKUP($C70,Контейнеры!$B$16:$AB$104,16,0)</f>
        <v>5100</v>
      </c>
      <c r="AE70" s="167">
        <f>VLOOKUP($C70,Контейнеры!$B$16:$AB$104,8,0)</f>
        <v>4400</v>
      </c>
      <c r="AF70" s="167">
        <f>VLOOKUP($C70,Контейнеры!$B$16:$AB$104,11,0)</f>
        <v>700</v>
      </c>
      <c r="AG70" s="172">
        <f>VLOOKUP($C70,Контейнеры!$B$16:$AB$104,17,0)</f>
        <v>0.13725490196078433</v>
      </c>
      <c r="AH70" s="245"/>
      <c r="AI70" s="95">
        <f>VLOOKUP($C70,Контейнеры!$B$16:$AB$104,13,0)</f>
        <v>15.22770611911527</v>
      </c>
      <c r="AJ70" s="154">
        <f>VLOOKUP($C70,Контейнеры!$B$16:$AB$104,18,0)</f>
        <v>1</v>
      </c>
      <c r="AK70" s="135"/>
      <c r="AL70" s="94"/>
      <c r="AM70" s="94"/>
      <c r="AN70" s="116"/>
      <c r="AO70" s="79">
        <f>VLOOKUP($C70,Обработка!$B$16:$L$104,6,0)</f>
        <v>0.91799999999999993</v>
      </c>
      <c r="AP70" s="76">
        <f t="shared" si="4"/>
        <v>0.37499999999999989</v>
      </c>
      <c r="AQ70" s="75">
        <f>VLOOKUP($C70,Обработка!$B$16:$L$104,7,0)</f>
        <v>1</v>
      </c>
      <c r="AR70" s="178">
        <f t="shared" si="5"/>
        <v>0.19299999999999995</v>
      </c>
      <c r="AS70" s="180">
        <f>VLOOKUP($C70,Утилизация!$B$16:$L$104,6,0)</f>
        <v>0.34499999999999997</v>
      </c>
      <c r="AT70" s="76">
        <f t="shared" si="6"/>
        <v>0.20599999999999996</v>
      </c>
      <c r="AU70" s="75">
        <f>VLOOKUP($C70,Утилизация!$B$16:$L$104,7,0)</f>
        <v>0.4</v>
      </c>
      <c r="AV70" s="185">
        <f t="shared" si="7"/>
        <v>0.11400000000000005</v>
      </c>
      <c r="AW70" s="162" t="str">
        <f>VLOOKUP(C70,Захоронение!$B$16:$Q$104,16,0)</f>
        <v>белые пятна</v>
      </c>
      <c r="AX70" s="135"/>
      <c r="AY70" s="94"/>
      <c r="AZ70" s="94"/>
      <c r="BA70" s="98"/>
      <c r="BB70" s="127" t="str">
        <f>VLOOKUP(C70,'ДК ИП'!$B$16:$S$104,5,0)</f>
        <v>среднее</v>
      </c>
      <c r="BC70" s="224">
        <f>VLOOKUP(C70,'Радар олд'!$B$3:$E$87,4,0)</f>
        <v>7.6138530595576348E-2</v>
      </c>
      <c r="BD70" s="98"/>
      <c r="BI70" s="8">
        <f t="shared" si="8"/>
        <v>1</v>
      </c>
      <c r="BJ70" s="8">
        <f>VLOOKUP(C70,Штаб!$B$16:$C$104,2)</f>
        <v>0</v>
      </c>
      <c r="BK70" s="8">
        <f>VLOOKUP(C70,'РО - регионы'!$B$16:$C$104,2)</f>
        <v>0</v>
      </c>
      <c r="BL70" s="8">
        <f>VLOOKUP(C70,'РО - регионы'!$B$16:$L$104,11)</f>
        <v>0</v>
      </c>
      <c r="BM70" s="8">
        <f>VLOOKUP(C70,Спецтехника!$B$16:$C$104,2)</f>
        <v>2</v>
      </c>
      <c r="BN70" s="8">
        <f>VLOOKUP($C70,МНО!$B$16:$AB$104,6,0)</f>
        <v>0</v>
      </c>
      <c r="BO70" s="8">
        <f>VLOOKUP($C70,МНО!$B$16:$AB$104,4,0)</f>
        <v>1</v>
      </c>
      <c r="BP70" s="8">
        <f>VLOOKUP($C70,МНО!$B$16:$AB$104,5,0)</f>
        <v>2</v>
      </c>
      <c r="BQ70" s="8">
        <f>VLOOKUP($C70,Контейнеры!$B$16:$G$104,6,0)</f>
        <v>0</v>
      </c>
      <c r="BR70" s="8">
        <f>VLOOKUP($C70,Контейнеры!$B$16:$G$104,4,0)</f>
        <v>0</v>
      </c>
      <c r="BS70" s="8">
        <f>VLOOKUP($C70,Контейнеры!$B$16:$G$104,5,0)</f>
        <v>0</v>
      </c>
      <c r="BT70" s="8">
        <f>VLOOKUP($C70,'ДК МНО'!$B$16:$C$104,2,0)</f>
        <v>2</v>
      </c>
      <c r="BU70" s="8">
        <f>VLOOKUP($C70,Обработка!$B$16:$F$104,5,0)</f>
        <v>0</v>
      </c>
      <c r="BV70" s="8">
        <f>VLOOKUP($C70,Обработка!$B$16:$F$104,4,0)</f>
        <v>2</v>
      </c>
      <c r="BW70" s="8">
        <f>VLOOKUP($C70,Утилизация!$B$16:$F$104,5,0)</f>
        <v>0</v>
      </c>
      <c r="BX70" s="8">
        <f>VLOOKUP($C70,Утилизация!$B$16:$F$104,4,0)</f>
        <v>2</v>
      </c>
      <c r="BY70" s="8">
        <f>VLOOKUP($C70,Захоронение!$B$16:$C$104,2,0)</f>
        <v>2</v>
      </c>
      <c r="BZ70" s="8">
        <f>VLOOKUP($C70,'ДК ИП'!$B$16:$C$104,2,0)</f>
        <v>1</v>
      </c>
      <c r="CA70" s="8">
        <f t="shared" si="9"/>
        <v>0.95</v>
      </c>
    </row>
    <row r="71" spans="1:79" ht="30" customHeight="1">
      <c r="A71" s="9" t="s">
        <v>657</v>
      </c>
      <c r="B71" s="261">
        <f t="shared" si="3"/>
        <v>61</v>
      </c>
      <c r="C71" s="258" t="s">
        <v>69</v>
      </c>
      <c r="D71" s="227" t="str">
        <f>VLOOKUP($C71,Штаб!$B$16:$J$104,6,0)</f>
        <v/>
      </c>
      <c r="E71" s="228" t="str">
        <f>VLOOKUP($C71,Штаб!$B$16:$J$104,7,0)</f>
        <v/>
      </c>
      <c r="F71" s="228" t="str">
        <f>VLOOKUP($C71,Штаб!$B$16:$J$104,8,0)</f>
        <v/>
      </c>
      <c r="G71" s="229" t="str">
        <f>VLOOKUP($C71,Штаб!$B$16:$J$104,9,0)</f>
        <v>✔️</v>
      </c>
      <c r="H71" s="160" t="str">
        <f>VLOOKUP(C71,'РО - регионы'!$B$16:$I$104,8,0)</f>
        <v>0 / 1 / 0 из 1</v>
      </c>
      <c r="I71" s="237"/>
      <c r="J71" s="122"/>
      <c r="K71" s="94"/>
      <c r="L71" s="94"/>
      <c r="M71" s="98"/>
      <c r="N71" s="164">
        <f>VLOOKUP(C71,Спецтехника!$B$16:$J$104,4,0)</f>
        <v>222</v>
      </c>
      <c r="O71" s="167">
        <f>VLOOKUP(C71,Спецтехника!$B$16:$J$104,5,0)</f>
        <v>186</v>
      </c>
      <c r="P71" s="167">
        <f>VLOOKUP(C71,Спецтехника!$B$16:$J$104,6,0)</f>
        <v>36</v>
      </c>
      <c r="Q71" s="170">
        <f>VLOOKUP(C71,Спецтехника!$B$16:$J$104,7,0)</f>
        <v>0.16216216216216217</v>
      </c>
      <c r="R71" s="242"/>
      <c r="S71" s="122"/>
      <c r="T71" s="94"/>
      <c r="U71" s="94"/>
      <c r="V71" s="98"/>
      <c r="W71" s="163">
        <f>VLOOKUP($C71,МНО!$B$16:$AB$104,16,0)</f>
        <v>15887</v>
      </c>
      <c r="X71" s="166">
        <f>VLOOKUP($C71,МНО!$B$16:$AB$104,8,0)</f>
        <v>13511</v>
      </c>
      <c r="Y71" s="166">
        <f>VLOOKUP($C71,МНО!$B$16:$AB$104,11,0)</f>
        <v>2376</v>
      </c>
      <c r="Z71" s="173">
        <f>VLOOKUP($C71,МНО!$B$16:$AB$104,17,0)</f>
        <v>0.14955624095172154</v>
      </c>
      <c r="AA71" s="245"/>
      <c r="AB71" s="95">
        <f>VLOOKUP($C71,МНО!$B$16:$AB$104,13,0)</f>
        <v>12.053803670380907</v>
      </c>
      <c r="AC71" s="154">
        <f>VLOOKUP($C71,МНО!$B$16:$AB$104,18,0)</f>
        <v>1</v>
      </c>
      <c r="AD71" s="164">
        <f>VLOOKUP($C71,Контейнеры!$B$16:$AB$104,16,0)</f>
        <v>32730</v>
      </c>
      <c r="AE71" s="167">
        <f>VLOOKUP($C71,Контейнеры!$B$16:$AB$104,8,0)</f>
        <v>25841</v>
      </c>
      <c r="AF71" s="167">
        <f>VLOOKUP($C71,Контейнеры!$B$16:$AB$104,11,0)</f>
        <v>6889</v>
      </c>
      <c r="AG71" s="172">
        <f>VLOOKUP($C71,Контейнеры!$B$16:$AB$104,17,0)</f>
        <v>0.21047968224870151</v>
      </c>
      <c r="AH71" s="245"/>
      <c r="AI71" s="95">
        <f>VLOOKUP($C71,Контейнеры!$B$16:$AB$104,13,0)</f>
        <v>23.877527071392336</v>
      </c>
      <c r="AJ71" s="154">
        <f>VLOOKUP($C71,Контейнеры!$B$16:$AB$104,18,0)</f>
        <v>1</v>
      </c>
      <c r="AK71" s="135"/>
      <c r="AL71" s="94"/>
      <c r="AM71" s="94"/>
      <c r="AN71" s="116"/>
      <c r="AO71" s="78">
        <f>VLOOKUP($C71,Обработка!$B$16:$L$104,6,0)</f>
        <v>0.82299999999999995</v>
      </c>
      <c r="AP71" s="75">
        <f t="shared" si="4"/>
        <v>0.27999999999999992</v>
      </c>
      <c r="AQ71" s="75">
        <f>VLOOKUP($C71,Обработка!$B$16:$L$104,7,0)</f>
        <v>1</v>
      </c>
      <c r="AR71" s="178">
        <f t="shared" si="5"/>
        <v>0.19299999999999995</v>
      </c>
      <c r="AS71" s="180">
        <f>VLOOKUP($C71,Утилизация!$B$16:$L$104,6,0)</f>
        <v>6.2E-2</v>
      </c>
      <c r="AT71" s="76">
        <f t="shared" si="6"/>
        <v>-7.7000000000000013E-2</v>
      </c>
      <c r="AU71" s="76">
        <f>VLOOKUP($C71,Утилизация!$B$16:$L$104,7,0)</f>
        <v>0.10300000000000001</v>
      </c>
      <c r="AV71" s="184">
        <f t="shared" si="7"/>
        <v>-0.18299999999999997</v>
      </c>
      <c r="AW71" s="162" t="str">
        <f>VLOOKUP(C71,Захоронение!$B$16:$Q$104,16,0)</f>
        <v>свалки</v>
      </c>
      <c r="AX71" s="135"/>
      <c r="AY71" s="94"/>
      <c r="AZ71" s="94"/>
      <c r="BA71" s="98"/>
      <c r="BB71" s="127" t="str">
        <f>VLOOKUP(C71,'ДК ИП'!$B$16:$S$104,5,0)</f>
        <v>небольшое</v>
      </c>
      <c r="BC71" s="224">
        <f>VLOOKUP(C71,'Радар олд'!$B$3:$E$87,4,0)</f>
        <v>9.8869834628651371E-2</v>
      </c>
      <c r="BD71" s="98"/>
      <c r="BI71" s="8">
        <f t="shared" si="8"/>
        <v>1</v>
      </c>
      <c r="BJ71" s="8">
        <f>VLOOKUP(C71,Штаб!$B$16:$C$104,2)</f>
        <v>2</v>
      </c>
      <c r="BK71" s="8">
        <f>VLOOKUP(C71,'РО - регионы'!$B$16:$C$104,2)</f>
        <v>1</v>
      </c>
      <c r="BL71" s="8">
        <f>VLOOKUP(C71,'РО - регионы'!$B$16:$L$104,11)</f>
        <v>2</v>
      </c>
      <c r="BM71" s="8">
        <f>VLOOKUP(C71,Спецтехника!$B$16:$C$104,2)</f>
        <v>1</v>
      </c>
      <c r="BN71" s="8">
        <f>VLOOKUP($C71,МНО!$B$16:$AB$104,6,0)</f>
        <v>0</v>
      </c>
      <c r="BO71" s="8">
        <f>VLOOKUP($C71,МНО!$B$16:$AB$104,4,0)</f>
        <v>0</v>
      </c>
      <c r="BP71" s="8">
        <f>VLOOKUP($C71,МНО!$B$16:$AB$104,5,0)</f>
        <v>0</v>
      </c>
      <c r="BQ71" s="8">
        <f>VLOOKUP($C71,Контейнеры!$B$16:$G$104,6,0)</f>
        <v>1</v>
      </c>
      <c r="BR71" s="8">
        <f>VLOOKUP($C71,Контейнеры!$B$16:$G$104,4,0)</f>
        <v>0</v>
      </c>
      <c r="BS71" s="8">
        <f>VLOOKUP($C71,Контейнеры!$B$16:$G$104,5,0)</f>
        <v>0</v>
      </c>
      <c r="BT71" s="8">
        <f>VLOOKUP($C71,'ДК МНО'!$B$16:$C$104,2,0)</f>
        <v>2</v>
      </c>
      <c r="BU71" s="8">
        <f>VLOOKUP($C71,Обработка!$B$16:$F$104,5,0)</f>
        <v>0</v>
      </c>
      <c r="BV71" s="8">
        <f>VLOOKUP($C71,Обработка!$B$16:$F$104,4,0)</f>
        <v>0</v>
      </c>
      <c r="BW71" s="8">
        <f>VLOOKUP($C71,Утилизация!$B$16:$F$104,5,0)</f>
        <v>2</v>
      </c>
      <c r="BX71" s="8">
        <f>VLOOKUP($C71,Утилизация!$B$16:$F$104,4,0)</f>
        <v>2</v>
      </c>
      <c r="BY71" s="8">
        <f>VLOOKUP($C71,Захоронение!$B$16:$C$104,2,0)</f>
        <v>2</v>
      </c>
      <c r="BZ71" s="8">
        <f>VLOOKUP($C71,'ДК ИП'!$B$16:$C$104,2,0)</f>
        <v>0</v>
      </c>
      <c r="CA71" s="8">
        <f t="shared" si="9"/>
        <v>1</v>
      </c>
    </row>
    <row r="72" spans="1:79" ht="30" customHeight="1">
      <c r="A72" s="9" t="s">
        <v>658</v>
      </c>
      <c r="B72" s="261">
        <f t="shared" si="3"/>
        <v>62</v>
      </c>
      <c r="C72" s="258" t="s">
        <v>55</v>
      </c>
      <c r="D72" s="227" t="str">
        <f>VLOOKUP($C72,Штаб!$B$16:$J$104,6,0)</f>
        <v/>
      </c>
      <c r="E72" s="228" t="str">
        <f>VLOOKUP($C72,Штаб!$B$16:$J$104,7,0)</f>
        <v/>
      </c>
      <c r="F72" s="228" t="str">
        <f>VLOOKUP($C72,Штаб!$B$16:$J$104,8,0)</f>
        <v/>
      </c>
      <c r="G72" s="229" t="str">
        <f>VLOOKUP($C72,Штаб!$B$16:$J$104,9,0)</f>
        <v>✔️</v>
      </c>
      <c r="H72" s="160" t="str">
        <f>VLOOKUP(C72,'РО - регионы'!$B$16:$I$104,8,0)</f>
        <v>0 / 3 / 0 из 3</v>
      </c>
      <c r="I72" s="237"/>
      <c r="J72" s="122"/>
      <c r="K72" s="94"/>
      <c r="L72" s="94"/>
      <c r="M72" s="98"/>
      <c r="N72" s="165">
        <f>VLOOKUP(C72,Спецтехника!$B$16:$J$104,4,0)</f>
        <v>263</v>
      </c>
      <c r="O72" s="168">
        <f>VLOOKUP(C72,Спецтехника!$B$16:$J$104,5,0)</f>
        <v>139</v>
      </c>
      <c r="P72" s="168">
        <f>VLOOKUP(C72,Спецтехника!$B$16:$J$104,6,0)</f>
        <v>124</v>
      </c>
      <c r="Q72" s="171">
        <f>VLOOKUP(C72,Спецтехника!$B$16:$J$104,7,0)</f>
        <v>0.47148288973384028</v>
      </c>
      <c r="R72" s="242"/>
      <c r="S72" s="122"/>
      <c r="T72" s="94"/>
      <c r="U72" s="94"/>
      <c r="V72" s="98"/>
      <c r="W72" s="165">
        <f>VLOOKUP($C72,МНО!$B$16:$AB$104,16,0)</f>
        <v>11459</v>
      </c>
      <c r="X72" s="168">
        <f>VLOOKUP($C72,МНО!$B$16:$AB$104,8,0)</f>
        <v>6173</v>
      </c>
      <c r="Y72" s="168">
        <f>VLOOKUP($C72,МНО!$B$16:$AB$104,11,0)</f>
        <v>5286</v>
      </c>
      <c r="Z72" s="174">
        <f>VLOOKUP($C72,МНО!$B$16:$AB$104,17,0)</f>
        <v>0.46129679727724932</v>
      </c>
      <c r="AA72" s="245"/>
      <c r="AB72" s="95">
        <f>VLOOKUP($C72,МНО!$B$16:$AB$104,13,0)</f>
        <v>1.8244403853198292</v>
      </c>
      <c r="AC72" s="154">
        <f>VLOOKUP($C72,МНО!$B$16:$AB$104,18,0)</f>
        <v>1</v>
      </c>
      <c r="AD72" s="163">
        <f>VLOOKUP($C72,Контейнеры!$B$16:$AB$104,16,0)</f>
        <v>18260</v>
      </c>
      <c r="AE72" s="166">
        <f>VLOOKUP($C72,Контейнеры!$B$16:$AB$104,8,0)</f>
        <v>18260</v>
      </c>
      <c r="AF72" s="166">
        <f>VLOOKUP($C72,Контейнеры!$B$16:$AB$104,11,0)</f>
        <v>0</v>
      </c>
      <c r="AG72" s="173">
        <f>VLOOKUP($C72,Контейнеры!$B$16:$AB$104,17,0)</f>
        <v>0</v>
      </c>
      <c r="AH72" s="245"/>
      <c r="AI72" s="95">
        <f>VLOOKUP($C72,Контейнеры!$B$16:$AB$104,13,0)</f>
        <v>5.6493609353807166</v>
      </c>
      <c r="AJ72" s="154">
        <f>VLOOKUP($C72,Контейнеры!$B$16:$AB$104,18,0)</f>
        <v>1</v>
      </c>
      <c r="AK72" s="135"/>
      <c r="AL72" s="94"/>
      <c r="AM72" s="94"/>
      <c r="AN72" s="116"/>
      <c r="AO72" s="79">
        <f>VLOOKUP($C72,Обработка!$B$16:$L$104,6,0)</f>
        <v>0</v>
      </c>
      <c r="AP72" s="76">
        <f t="shared" si="4"/>
        <v>-0.54300000000000004</v>
      </c>
      <c r="AQ72" s="75">
        <f>VLOOKUP($C72,Обработка!$B$16:$L$104,7,0)</f>
        <v>1</v>
      </c>
      <c r="AR72" s="178">
        <f t="shared" si="5"/>
        <v>0.19299999999999995</v>
      </c>
      <c r="AS72" s="180">
        <f>VLOOKUP($C72,Утилизация!$B$16:$L$104,6,0)</f>
        <v>0</v>
      </c>
      <c r="AT72" s="76">
        <f t="shared" si="6"/>
        <v>-0.13900000000000001</v>
      </c>
      <c r="AU72" s="75">
        <f>VLOOKUP($C72,Утилизация!$B$16:$L$104,7,0)</f>
        <v>0.5</v>
      </c>
      <c r="AV72" s="185">
        <f t="shared" si="7"/>
        <v>0.21400000000000002</v>
      </c>
      <c r="AW72" s="160" t="str">
        <f>VLOOKUP(C72,Захоронение!$B$16:$Q$104,16,0)</f>
        <v>перегруз</v>
      </c>
      <c r="AX72" s="135"/>
      <c r="AY72" s="94"/>
      <c r="AZ72" s="94"/>
      <c r="BA72" s="98"/>
      <c r="BB72" s="127" t="str">
        <f>VLOOKUP(C72,'ДК ИП'!$B$16:$S$104,5,0)</f>
        <v>нет</v>
      </c>
      <c r="BC72" s="224">
        <f>VLOOKUP(C72,'Радар олд'!$B$3:$E$87,4,0)</f>
        <v>2.7535220331264168E-2</v>
      </c>
      <c r="BD72" s="98"/>
      <c r="BI72" s="8">
        <f t="shared" si="8"/>
        <v>1</v>
      </c>
      <c r="BJ72" s="8">
        <f>VLOOKUP(C72,Штаб!$B$16:$C$104,2)</f>
        <v>2</v>
      </c>
      <c r="BK72" s="8">
        <f>VLOOKUP(C72,'РО - регионы'!$B$16:$C$104,2)</f>
        <v>1</v>
      </c>
      <c r="BL72" s="8">
        <f>VLOOKUP(C72,'РО - регионы'!$B$16:$L$104,11)</f>
        <v>2</v>
      </c>
      <c r="BM72" s="8">
        <f>VLOOKUP(C72,Спецтехника!$B$16:$C$104,2)</f>
        <v>2</v>
      </c>
      <c r="BN72" s="8">
        <f>VLOOKUP($C72,МНО!$B$16:$AB$104,6,0)</f>
        <v>2</v>
      </c>
      <c r="BO72" s="8">
        <f>VLOOKUP($C72,МНО!$B$16:$AB$104,4,0)</f>
        <v>2</v>
      </c>
      <c r="BP72" s="8">
        <f>VLOOKUP($C72,МНО!$B$16:$AB$104,5,0)</f>
        <v>0</v>
      </c>
      <c r="BQ72" s="8">
        <f>VLOOKUP($C72,Контейнеры!$B$16:$G$104,6,0)</f>
        <v>2</v>
      </c>
      <c r="BR72" s="8">
        <f>VLOOKUP($C72,Контейнеры!$B$16:$G$104,4,0)</f>
        <v>2</v>
      </c>
      <c r="BS72" s="8">
        <f>VLOOKUP($C72,Контейнеры!$B$16:$G$104,5,0)</f>
        <v>0</v>
      </c>
      <c r="BT72" s="8">
        <f>VLOOKUP($C72,'ДК МНО'!$B$16:$C$104,2,0)</f>
        <v>2</v>
      </c>
      <c r="BU72" s="8">
        <f>VLOOKUP($C72,Обработка!$B$16:$F$104,5,0)</f>
        <v>0</v>
      </c>
      <c r="BV72" s="8">
        <f>VLOOKUP($C72,Обработка!$B$16:$F$104,4,0)</f>
        <v>2</v>
      </c>
      <c r="BW72" s="8">
        <f>VLOOKUP($C72,Утилизация!$B$16:$F$104,5,0)</f>
        <v>0</v>
      </c>
      <c r="BX72" s="8">
        <f>VLOOKUP($C72,Утилизация!$B$16:$F$104,4,0)</f>
        <v>2</v>
      </c>
      <c r="BY72" s="8">
        <f>VLOOKUP($C72,Захоронение!$B$16:$C$104,2,0)</f>
        <v>1</v>
      </c>
      <c r="BZ72" s="8">
        <f>VLOOKUP($C72,'ДК ИП'!$B$16:$C$104,2,0)</f>
        <v>0</v>
      </c>
      <c r="CA72" s="8">
        <f t="shared" si="9"/>
        <v>1.1499999999999999</v>
      </c>
    </row>
    <row r="73" spans="1:79" ht="30" customHeight="1">
      <c r="A73" s="9" t="s">
        <v>657</v>
      </c>
      <c r="B73" s="261">
        <f t="shared" si="3"/>
        <v>63</v>
      </c>
      <c r="C73" s="258" t="s">
        <v>16</v>
      </c>
      <c r="D73" s="227" t="str">
        <f>VLOOKUP($C73,Штаб!$B$16:$J$104,6,0)</f>
        <v>✔️</v>
      </c>
      <c r="E73" s="228" t="str">
        <f>VLOOKUP($C73,Штаб!$B$16:$J$104,7,0)</f>
        <v/>
      </c>
      <c r="F73" s="228" t="str">
        <f>VLOOKUP($C73,Штаб!$B$16:$J$104,8,0)</f>
        <v/>
      </c>
      <c r="G73" s="229" t="str">
        <f>VLOOKUP($C73,Штаб!$B$16:$J$104,9,0)</f>
        <v/>
      </c>
      <c r="H73" s="160" t="str">
        <f>VLOOKUP(C73,'РО - регионы'!$B$16:$I$104,8,0)</f>
        <v>0 / 1 / 7 из 8</v>
      </c>
      <c r="I73" s="237"/>
      <c r="J73" s="122"/>
      <c r="K73" s="94"/>
      <c r="L73" s="94"/>
      <c r="M73" s="98"/>
      <c r="N73" s="163">
        <f>VLOOKUP(C73,Спецтехника!$B$16:$J$104,4,0)</f>
        <v>535</v>
      </c>
      <c r="O73" s="166">
        <f>VLOOKUP(C73,Спецтехника!$B$16:$J$104,5,0)</f>
        <v>516</v>
      </c>
      <c r="P73" s="166">
        <f>VLOOKUP(C73,Спецтехника!$B$16:$J$104,6,0)</f>
        <v>19</v>
      </c>
      <c r="Q73" s="169">
        <f>VLOOKUP(C73,Спецтехника!$B$16:$J$104,7,0)</f>
        <v>3.5514018691588788E-2</v>
      </c>
      <c r="R73" s="242"/>
      <c r="S73" s="122"/>
      <c r="T73" s="94"/>
      <c r="U73" s="94"/>
      <c r="V73" s="98"/>
      <c r="W73" s="165">
        <f>VLOOKUP($C73,МНО!$B$16:$AB$104,16,0)</f>
        <v>32140</v>
      </c>
      <c r="X73" s="168">
        <f>VLOOKUP($C73,МНО!$B$16:$AB$104,8,0)</f>
        <v>21745</v>
      </c>
      <c r="Y73" s="168">
        <f>VLOOKUP($C73,МНО!$B$16:$AB$104,11,0)</f>
        <v>10395</v>
      </c>
      <c r="Z73" s="174">
        <f>VLOOKUP($C73,МНО!$B$16:$AB$104,17,0)</f>
        <v>0.32342874922215309</v>
      </c>
      <c r="AA73" s="245"/>
      <c r="AB73" s="95">
        <f>VLOOKUP($C73,МНО!$B$16:$AB$104,13,0)</f>
        <v>8.4960216273565283</v>
      </c>
      <c r="AC73" s="154">
        <f>VLOOKUP($C73,МНО!$B$16:$AB$104,18,0)</f>
        <v>1</v>
      </c>
      <c r="AD73" s="164">
        <f>VLOOKUP($C73,Контейнеры!$B$16:$AB$104,16,0)</f>
        <v>43480</v>
      </c>
      <c r="AE73" s="167">
        <f>VLOOKUP($C73,Контейнеры!$B$16:$AB$104,8,0)</f>
        <v>43066</v>
      </c>
      <c r="AF73" s="167">
        <f>VLOOKUP($C73,Контейнеры!$B$16:$AB$104,11,0)</f>
        <v>414</v>
      </c>
      <c r="AG73" s="172">
        <f>VLOOKUP($C73,Контейнеры!$B$16:$AB$104,17,0)</f>
        <v>9.5216191352345911E-3</v>
      </c>
      <c r="AH73" s="245"/>
      <c r="AI73" s="95">
        <f>VLOOKUP($C73,Контейнеры!$B$16:$AB$104,13,0)</f>
        <v>18.943291090020001</v>
      </c>
      <c r="AJ73" s="154">
        <f>VLOOKUP($C73,Контейнеры!$B$16:$AB$104,18,0)</f>
        <v>0.80371006270528511</v>
      </c>
      <c r="AK73" s="135"/>
      <c r="AL73" s="94"/>
      <c r="AM73" s="94"/>
      <c r="AN73" s="116"/>
      <c r="AO73" s="78">
        <f>VLOOKUP($C73,Обработка!$B$16:$L$104,6,0)</f>
        <v>0.56499999999999995</v>
      </c>
      <c r="AP73" s="75">
        <f t="shared" si="4"/>
        <v>2.1999999999999909E-2</v>
      </c>
      <c r="AQ73" s="74">
        <f>VLOOKUP($C73,Обработка!$B$16:$L$104,7,0)</f>
        <v>0.53</v>
      </c>
      <c r="AR73" s="179">
        <f t="shared" si="5"/>
        <v>-0.27700000000000002</v>
      </c>
      <c r="AS73" s="180">
        <f>VLOOKUP($C73,Утилизация!$B$16:$L$104,6,0)</f>
        <v>4.0999999999999995E-2</v>
      </c>
      <c r="AT73" s="76">
        <f t="shared" si="6"/>
        <v>-9.8000000000000018E-2</v>
      </c>
      <c r="AU73" s="76">
        <f>VLOOKUP($C73,Утилизация!$B$16:$L$104,7,0)</f>
        <v>3.5000000000000003E-2</v>
      </c>
      <c r="AV73" s="184">
        <f t="shared" si="7"/>
        <v>-0.251</v>
      </c>
      <c r="AW73" s="160" t="str">
        <f>VLOOKUP(C73,Захоронение!$B$16:$Q$104,16,0)</f>
        <v>765 приказ</v>
      </c>
      <c r="AX73" s="135"/>
      <c r="AY73" s="94"/>
      <c r="AZ73" s="94"/>
      <c r="BA73" s="98"/>
      <c r="BB73" s="127" t="str">
        <f>VLOOKUP(C73,'ДК ИП'!$B$16:$S$104,5,0)</f>
        <v>существенное</v>
      </c>
      <c r="BC73" s="224">
        <f>VLOOKUP(C73,'Радар олд'!$B$3:$E$87,4,0)</f>
        <v>7.8296238657492231E-2</v>
      </c>
      <c r="BD73" s="98"/>
      <c r="BI73" s="8">
        <f t="shared" si="8"/>
        <v>1</v>
      </c>
      <c r="BJ73" s="8">
        <f>VLOOKUP(C73,Штаб!$B$16:$C$104,2)</f>
        <v>0</v>
      </c>
      <c r="BK73" s="8">
        <f>VLOOKUP(C73,'РО - регионы'!$B$16:$C$104,2)</f>
        <v>1</v>
      </c>
      <c r="BL73" s="8">
        <f>VLOOKUP(C73,'РО - регионы'!$B$16:$L$104,11)</f>
        <v>2</v>
      </c>
      <c r="BM73" s="8">
        <f>VLOOKUP(C73,Спецтехника!$B$16:$C$104,2)</f>
        <v>0</v>
      </c>
      <c r="BN73" s="8">
        <f>VLOOKUP($C73,МНО!$B$16:$AB$104,6,0)</f>
        <v>1</v>
      </c>
      <c r="BO73" s="8">
        <f>VLOOKUP($C73,МНО!$B$16:$AB$104,4,0)</f>
        <v>0</v>
      </c>
      <c r="BP73" s="8">
        <f>VLOOKUP($C73,МНО!$B$16:$AB$104,5,0)</f>
        <v>0</v>
      </c>
      <c r="BQ73" s="8">
        <f>VLOOKUP($C73,Контейнеры!$B$16:$G$104,6,0)</f>
        <v>0</v>
      </c>
      <c r="BR73" s="8">
        <f>VLOOKUP($C73,Контейнеры!$B$16:$G$104,4,0)</f>
        <v>0</v>
      </c>
      <c r="BS73" s="8">
        <f>VLOOKUP($C73,Контейнеры!$B$16:$G$104,5,0)</f>
        <v>2</v>
      </c>
      <c r="BT73" s="8">
        <f>VLOOKUP($C73,'ДК МНО'!$B$16:$C$104,2,0)</f>
        <v>2</v>
      </c>
      <c r="BU73" s="8">
        <f>VLOOKUP($C73,Обработка!$B$16:$F$104,5,0)</f>
        <v>1</v>
      </c>
      <c r="BV73" s="8">
        <f>VLOOKUP($C73,Обработка!$B$16:$F$104,4,0)</f>
        <v>0</v>
      </c>
      <c r="BW73" s="8">
        <f>VLOOKUP($C73,Утилизация!$B$16:$F$104,5,0)</f>
        <v>2</v>
      </c>
      <c r="BX73" s="8">
        <f>VLOOKUP($C73,Утилизация!$B$16:$F$104,4,0)</f>
        <v>2</v>
      </c>
      <c r="BY73" s="8">
        <f>VLOOKUP($C73,Захоронение!$B$16:$C$104,2,0)</f>
        <v>1</v>
      </c>
      <c r="BZ73" s="8">
        <f>VLOOKUP($C73,'ДК ИП'!$B$16:$C$104,2,0)</f>
        <v>2</v>
      </c>
      <c r="CA73" s="8">
        <f t="shared" si="9"/>
        <v>0.95</v>
      </c>
    </row>
    <row r="74" spans="1:79" ht="30" customHeight="1">
      <c r="A74" s="9" t="s">
        <v>658</v>
      </c>
      <c r="B74" s="261">
        <f t="shared" si="3"/>
        <v>64</v>
      </c>
      <c r="C74" s="258" t="s">
        <v>28</v>
      </c>
      <c r="D74" s="227" t="str">
        <f>VLOOKUP($C74,Штаб!$B$16:$J$104,6,0)</f>
        <v>✔️</v>
      </c>
      <c r="E74" s="228" t="str">
        <f>VLOOKUP($C74,Штаб!$B$16:$J$104,7,0)</f>
        <v/>
      </c>
      <c r="F74" s="228" t="str">
        <f>VLOOKUP($C74,Штаб!$B$16:$J$104,8,0)</f>
        <v/>
      </c>
      <c r="G74" s="229" t="str">
        <f>VLOOKUP($C74,Штаб!$B$16:$J$104,9,0)</f>
        <v/>
      </c>
      <c r="H74" s="160" t="str">
        <f>VLOOKUP(C74,'РО - регионы'!$B$16:$I$104,8,0)</f>
        <v>0 / 1 / 1 из 2</v>
      </c>
      <c r="I74" s="237"/>
      <c r="J74" s="122"/>
      <c r="K74" s="94"/>
      <c r="L74" s="94"/>
      <c r="M74" s="98"/>
      <c r="N74" s="165">
        <f>VLOOKUP(C74,Спецтехника!$B$16:$J$104,4,0)</f>
        <v>94</v>
      </c>
      <c r="O74" s="168">
        <f>VLOOKUP(C74,Спецтехника!$B$16:$J$104,5,0)</f>
        <v>70</v>
      </c>
      <c r="P74" s="168">
        <f>VLOOKUP(C74,Спецтехника!$B$16:$J$104,6,0)</f>
        <v>24</v>
      </c>
      <c r="Q74" s="171">
        <f>VLOOKUP(C74,Спецтехника!$B$16:$J$104,7,0)</f>
        <v>0.25531914893617019</v>
      </c>
      <c r="R74" s="242"/>
      <c r="S74" s="122"/>
      <c r="T74" s="94"/>
      <c r="U74" s="94"/>
      <c r="V74" s="98"/>
      <c r="W74" s="165">
        <f>VLOOKUP($C74,МНО!$B$16:$AB$104,16,0)</f>
        <v>2818</v>
      </c>
      <c r="X74" s="168">
        <f>VLOOKUP($C74,МНО!$B$16:$AB$104,8,0)</f>
        <v>1118</v>
      </c>
      <c r="Y74" s="168">
        <f>VLOOKUP($C74,МНО!$B$16:$AB$104,11,0)</f>
        <v>1700</v>
      </c>
      <c r="Z74" s="174">
        <f>VLOOKUP($C74,МНО!$B$16:$AB$104,17,0)</f>
        <v>0.60326472675656495</v>
      </c>
      <c r="AA74" s="245"/>
      <c r="AB74" s="95">
        <f>VLOOKUP($C74,МНО!$B$16:$AB$104,13,0)</f>
        <v>2.3552171369271568</v>
      </c>
      <c r="AC74" s="154">
        <f>VLOOKUP($C74,МНО!$B$16:$AB$104,18,0)</f>
        <v>0.69527363184079605</v>
      </c>
      <c r="AD74" s="165">
        <f>VLOOKUP($C74,Контейнеры!$B$16:$AB$104,16,0)</f>
        <v>3974</v>
      </c>
      <c r="AE74" s="168">
        <f>VLOOKUP($C74,Контейнеры!$B$16:$AB$104,8,0)</f>
        <v>2474</v>
      </c>
      <c r="AF74" s="168">
        <f>VLOOKUP($C74,Контейнеры!$B$16:$AB$104,11,0)</f>
        <v>1500</v>
      </c>
      <c r="AG74" s="174">
        <f>VLOOKUP($C74,Контейнеры!$B$16:$AB$104,17,0)</f>
        <v>0.37745344740815301</v>
      </c>
      <c r="AH74" s="245"/>
      <c r="AI74" s="95">
        <f>VLOOKUP($C74,Контейнеры!$B$16:$AB$104,13,0)</f>
        <v>5.2826901149209311</v>
      </c>
      <c r="AJ74" s="154">
        <f>VLOOKUP($C74,Контейнеры!$B$16:$AB$104,18,0)</f>
        <v>0.57096699746134316</v>
      </c>
      <c r="AK74" s="135"/>
      <c r="AL74" s="94"/>
      <c r="AM74" s="94"/>
      <c r="AN74" s="116"/>
      <c r="AO74" s="80">
        <f>VLOOKUP($C74,Обработка!$B$16:$L$104,6,0)</f>
        <v>0.47700000000000004</v>
      </c>
      <c r="AP74" s="74">
        <f t="shared" si="4"/>
        <v>-6.6000000000000003E-2</v>
      </c>
      <c r="AQ74" s="74">
        <f>VLOOKUP($C74,Обработка!$B$16:$L$104,7,0)</f>
        <v>0.46</v>
      </c>
      <c r="AR74" s="179">
        <f t="shared" si="5"/>
        <v>-0.34700000000000003</v>
      </c>
      <c r="AS74" s="180">
        <f>VLOOKUP($C74,Утилизация!$B$16:$L$104,6,0)</f>
        <v>0.255</v>
      </c>
      <c r="AT74" s="76">
        <f t="shared" si="6"/>
        <v>0.11599999999999999</v>
      </c>
      <c r="AU74" s="74">
        <f>VLOOKUP($C74,Утилизация!$B$16:$L$104,7,0)</f>
        <v>0.18</v>
      </c>
      <c r="AV74" s="186">
        <f t="shared" si="7"/>
        <v>-0.10599999999999998</v>
      </c>
      <c r="AW74" s="161" t="str">
        <f>VLOOKUP(C74,Захоронение!$B$16:$Q$104,16,0)</f>
        <v/>
      </c>
      <c r="AX74" s="135"/>
      <c r="AY74" s="94"/>
      <c r="AZ74" s="94"/>
      <c r="BA74" s="98"/>
      <c r="BB74" s="127" t="str">
        <f>VLOOKUP(C74,'ДК ИП'!$B$16:$S$104,5,0)</f>
        <v>существенное</v>
      </c>
      <c r="BC74" s="224">
        <f>VLOOKUP(C74,'Радар олд'!$B$3:$E$87,4,0)</f>
        <v>5.5517357715418027E-2</v>
      </c>
      <c r="BD74" s="98"/>
      <c r="BI74" s="8">
        <f t="shared" si="8"/>
        <v>1</v>
      </c>
      <c r="BJ74" s="8">
        <f>VLOOKUP(C74,Штаб!$B$16:$C$104,2)</f>
        <v>0</v>
      </c>
      <c r="BK74" s="8">
        <f>VLOOKUP(C74,'РО - регионы'!$B$16:$C$104,2)</f>
        <v>1</v>
      </c>
      <c r="BL74" s="8">
        <f>VLOOKUP(C74,'РО - регионы'!$B$16:$L$104,11)</f>
        <v>2</v>
      </c>
      <c r="BM74" s="8">
        <f>VLOOKUP(C74,Спецтехника!$B$16:$C$104,2)</f>
        <v>2</v>
      </c>
      <c r="BN74" s="8">
        <f>VLOOKUP($C74,МНО!$B$16:$AB$104,6,0)</f>
        <v>2</v>
      </c>
      <c r="BO74" s="8">
        <f>VLOOKUP($C74,МНО!$B$16:$AB$104,4,0)</f>
        <v>2</v>
      </c>
      <c r="BP74" s="8">
        <f>VLOOKUP($C74,МНО!$B$16:$AB$104,5,0)</f>
        <v>1</v>
      </c>
      <c r="BQ74" s="8">
        <f>VLOOKUP($C74,Контейнеры!$B$16:$G$104,6,0)</f>
        <v>2</v>
      </c>
      <c r="BR74" s="8">
        <f>VLOOKUP($C74,Контейнеры!$B$16:$G$104,4,0)</f>
        <v>0</v>
      </c>
      <c r="BS74" s="8">
        <f>VLOOKUP($C74,Контейнеры!$B$16:$G$104,5,0)</f>
        <v>2</v>
      </c>
      <c r="BT74" s="8">
        <f>VLOOKUP($C74,'ДК МНО'!$B$16:$C$104,2,0)</f>
        <v>2</v>
      </c>
      <c r="BU74" s="8">
        <f>VLOOKUP($C74,Обработка!$B$16:$F$104,5,0)</f>
        <v>1</v>
      </c>
      <c r="BV74" s="8">
        <f>VLOOKUP($C74,Обработка!$B$16:$F$104,4,0)</f>
        <v>1</v>
      </c>
      <c r="BW74" s="8">
        <f>VLOOKUP($C74,Утилизация!$B$16:$F$104,5,0)</f>
        <v>1</v>
      </c>
      <c r="BX74" s="8">
        <f>VLOOKUP($C74,Утилизация!$B$16:$F$104,4,0)</f>
        <v>2</v>
      </c>
      <c r="BY74" s="8">
        <f>VLOOKUP($C74,Захоронение!$B$16:$C$104,2,0)</f>
        <v>0</v>
      </c>
      <c r="BZ74" s="8">
        <f>VLOOKUP($C74,'ДК ИП'!$B$16:$C$104,2,0)</f>
        <v>2</v>
      </c>
      <c r="CA74" s="8">
        <f t="shared" si="9"/>
        <v>1.05</v>
      </c>
    </row>
    <row r="75" spans="1:79" ht="30" customHeight="1">
      <c r="A75" s="9" t="s">
        <v>653</v>
      </c>
      <c r="B75" s="261">
        <f t="shared" ref="B75:B81" si="10">B74+1</f>
        <v>65</v>
      </c>
      <c r="C75" s="258" t="s">
        <v>45</v>
      </c>
      <c r="D75" s="227" t="str">
        <f>VLOOKUP($C75,Штаб!$B$16:$J$104,6,0)</f>
        <v>✔️</v>
      </c>
      <c r="E75" s="228" t="str">
        <f>VLOOKUP($C75,Штаб!$B$16:$J$104,7,0)</f>
        <v/>
      </c>
      <c r="F75" s="228" t="str">
        <f>VLOOKUP($C75,Штаб!$B$16:$J$104,8,0)</f>
        <v/>
      </c>
      <c r="G75" s="229" t="str">
        <f>VLOOKUP($C75,Штаб!$B$16:$J$104,9,0)</f>
        <v/>
      </c>
      <c r="H75" s="160" t="str">
        <f>VLOOKUP(C75,'РО - регионы'!$B$16:$I$104,8,0)</f>
        <v>0 / 1 / 0 из 1</v>
      </c>
      <c r="I75" s="237"/>
      <c r="J75" s="122"/>
      <c r="K75" s="94"/>
      <c r="L75" s="94"/>
      <c r="M75" s="98"/>
      <c r="N75" s="163">
        <f>VLOOKUP(C75,Спецтехника!$B$16:$J$104,4,0)</f>
        <v>191</v>
      </c>
      <c r="O75" s="166">
        <f>VLOOKUP(C75,Спецтехника!$B$16:$J$104,5,0)</f>
        <v>191</v>
      </c>
      <c r="P75" s="166">
        <f>VLOOKUP(C75,Спецтехника!$B$16:$J$104,6,0)</f>
        <v>0</v>
      </c>
      <c r="Q75" s="169">
        <f>VLOOKUP(C75,Спецтехника!$B$16:$J$104,7,0)</f>
        <v>0</v>
      </c>
      <c r="R75" s="242"/>
      <c r="S75" s="122"/>
      <c r="T75" s="94"/>
      <c r="U75" s="94"/>
      <c r="V75" s="98"/>
      <c r="W75" s="163">
        <f>VLOOKUP($C75,МНО!$B$16:$AB$104,16,0)</f>
        <v>21898</v>
      </c>
      <c r="X75" s="166">
        <f>VLOOKUP($C75,МНО!$B$16:$AB$104,8,0)</f>
        <v>19250</v>
      </c>
      <c r="Y75" s="166">
        <f>VLOOKUP($C75,МНО!$B$16:$AB$104,11,0)</f>
        <v>2648</v>
      </c>
      <c r="Z75" s="173">
        <f>VLOOKUP($C75,МНО!$B$16:$AB$104,17,0)</f>
        <v>0.12092428532286054</v>
      </c>
      <c r="AA75" s="245"/>
      <c r="AB75" s="95">
        <f>VLOOKUP($C75,МНО!$B$16:$AB$104,13,0)</f>
        <v>10.045140705123446</v>
      </c>
      <c r="AC75" s="154">
        <f>VLOOKUP($C75,МНО!$B$16:$AB$104,18,0)</f>
        <v>1</v>
      </c>
      <c r="AD75" s="163">
        <f>VLOOKUP($C75,Контейнеры!$B$16:$AB$104,16,0)</f>
        <v>42882</v>
      </c>
      <c r="AE75" s="166">
        <f>VLOOKUP($C75,Контейнеры!$B$16:$AB$104,8,0)</f>
        <v>38248</v>
      </c>
      <c r="AF75" s="166">
        <f>VLOOKUP($C75,Контейнеры!$B$16:$AB$104,11,0)</f>
        <v>4634</v>
      </c>
      <c r="AG75" s="173">
        <f>VLOOKUP($C75,Контейнеры!$B$16:$AB$104,17,0)</f>
        <v>0.10806398955272609</v>
      </c>
      <c r="AH75" s="245"/>
      <c r="AI75" s="95">
        <f>VLOOKUP($C75,Контейнеры!$B$16:$AB$104,13,0)</f>
        <v>21.037427678342087</v>
      </c>
      <c r="AJ75" s="154">
        <f>VLOOKUP($C75,Контейнеры!$B$16:$AB$104,18,0)</f>
        <v>0.98712158360647273</v>
      </c>
      <c r="AK75" s="135"/>
      <c r="AL75" s="94"/>
      <c r="AM75" s="94"/>
      <c r="AN75" s="116"/>
      <c r="AO75" s="80">
        <f>VLOOKUP($C75,Обработка!$B$16:$L$104,6,0)</f>
        <v>0.46700000000000003</v>
      </c>
      <c r="AP75" s="74">
        <f t="shared" ref="AP75:AP99" si="11">AO75-$AO$10</f>
        <v>-7.6000000000000012E-2</v>
      </c>
      <c r="AQ75" s="75">
        <f>VLOOKUP($C75,Обработка!$B$16:$L$104,7,0)</f>
        <v>1</v>
      </c>
      <c r="AR75" s="178">
        <f t="shared" ref="AR75:AR99" si="12">AQ75-$AQ$10</f>
        <v>0.19299999999999995</v>
      </c>
      <c r="AS75" s="180">
        <f>VLOOKUP($C75,Утилизация!$B$16:$L$104,6,0)</f>
        <v>1.9E-2</v>
      </c>
      <c r="AT75" s="76">
        <f t="shared" ref="AT75:AT99" si="13">AS75-$AS$10</f>
        <v>-0.12000000000000001</v>
      </c>
      <c r="AU75" s="75">
        <f>VLOOKUP($C75,Утилизация!$B$16:$L$104,7,0)</f>
        <v>0.309</v>
      </c>
      <c r="AV75" s="185">
        <f t="shared" ref="AV75:AV99" si="14">AU75-$AU$10</f>
        <v>2.300000000000002E-2</v>
      </c>
      <c r="AW75" s="162" t="str">
        <f>VLOOKUP(C75,Захоронение!$B$16:$Q$104,16,0)</f>
        <v>765 приказ</v>
      </c>
      <c r="AX75" s="135"/>
      <c r="AY75" s="94"/>
      <c r="AZ75" s="94"/>
      <c r="BA75" s="98"/>
      <c r="BB75" s="127" t="str">
        <f>VLOOKUP(C75,'ДК ИП'!$B$16:$S$104,5,0)</f>
        <v>существенное</v>
      </c>
      <c r="BC75" s="224">
        <f>VLOOKUP(C75,'Радар олд'!$B$3:$E$87,4,0)</f>
        <v>5.0052445061941273E-2</v>
      </c>
      <c r="BD75" s="98"/>
      <c r="BI75" s="8">
        <f t="shared" ref="BI75:BI99" si="15">IF(CA75&gt;=1.3,2,IF(CA75&gt;=0.8,1,0))</f>
        <v>1</v>
      </c>
      <c r="BJ75" s="8">
        <f>VLOOKUP(C75,Штаб!$B$16:$C$104,2)</f>
        <v>0</v>
      </c>
      <c r="BK75" s="8">
        <f>VLOOKUP(C75,'РО - регионы'!$B$16:$C$104,2)</f>
        <v>1</v>
      </c>
      <c r="BL75" s="8">
        <f>VLOOKUP(C75,'РО - регионы'!$B$16:$L$104,11)</f>
        <v>0</v>
      </c>
      <c r="BM75" s="8">
        <f>VLOOKUP(C75,Спецтехника!$B$16:$C$104,2)</f>
        <v>0</v>
      </c>
      <c r="BN75" s="8">
        <f>VLOOKUP($C75,МНО!$B$16:$AB$104,6,0)</f>
        <v>0</v>
      </c>
      <c r="BO75" s="8">
        <f>VLOOKUP($C75,МНО!$B$16:$AB$104,4,0)</f>
        <v>0</v>
      </c>
      <c r="BP75" s="8">
        <f>VLOOKUP($C75,МНО!$B$16:$AB$104,5,0)</f>
        <v>0</v>
      </c>
      <c r="BQ75" s="8">
        <f>VLOOKUP($C75,Контейнеры!$B$16:$G$104,6,0)</f>
        <v>0</v>
      </c>
      <c r="BR75" s="8">
        <f>VLOOKUP($C75,Контейнеры!$B$16:$G$104,4,0)</f>
        <v>0</v>
      </c>
      <c r="BS75" s="8">
        <f>VLOOKUP($C75,Контейнеры!$B$16:$G$104,5,0)</f>
        <v>0</v>
      </c>
      <c r="BT75" s="8">
        <f>VLOOKUP($C75,'ДК МНО'!$B$16:$C$104,2,0)</f>
        <v>2</v>
      </c>
      <c r="BU75" s="8">
        <f>VLOOKUP($C75,Обработка!$B$16:$F$104,5,0)</f>
        <v>0</v>
      </c>
      <c r="BV75" s="8">
        <f>VLOOKUP($C75,Обработка!$B$16:$F$104,4,0)</f>
        <v>1</v>
      </c>
      <c r="BW75" s="8">
        <f>VLOOKUP($C75,Утилизация!$B$16:$F$104,5,0)</f>
        <v>0</v>
      </c>
      <c r="BX75" s="8">
        <f>VLOOKUP($C75,Утилизация!$B$16:$F$104,4,0)</f>
        <v>2</v>
      </c>
      <c r="BY75" s="8">
        <f>VLOOKUP($C75,Захоронение!$B$16:$C$104,2,0)</f>
        <v>2</v>
      </c>
      <c r="BZ75" s="8">
        <f>VLOOKUP($C75,'ДК ИП'!$B$16:$C$104,2,0)</f>
        <v>2</v>
      </c>
      <c r="CA75" s="8">
        <f t="shared" ref="CA75:CA95" si="16">SUMPRODUCT(BJ75:BZ75,$BJ$5:$BZ$5)</f>
        <v>1.05</v>
      </c>
    </row>
    <row r="76" spans="1:79" ht="30" customHeight="1">
      <c r="A76" s="9" t="s">
        <v>656</v>
      </c>
      <c r="B76" s="261">
        <f t="shared" si="10"/>
        <v>66</v>
      </c>
      <c r="C76" s="258" t="s">
        <v>68</v>
      </c>
      <c r="D76" s="227" t="str">
        <f>VLOOKUP($C76,Штаб!$B$16:$J$104,6,0)</f>
        <v>✔️</v>
      </c>
      <c r="E76" s="228" t="str">
        <f>VLOOKUP($C76,Штаб!$B$16:$J$104,7,0)</f>
        <v/>
      </c>
      <c r="F76" s="228" t="str">
        <f>VLOOKUP($C76,Штаб!$B$16:$J$104,8,0)</f>
        <v/>
      </c>
      <c r="G76" s="229" t="str">
        <f>VLOOKUP($C76,Штаб!$B$16:$J$104,9,0)</f>
        <v/>
      </c>
      <c r="H76" s="160" t="str">
        <f>VLOOKUP(C76,'РО - регионы'!$B$16:$I$104,8,0)</f>
        <v>0 / 2 / 6 из 8</v>
      </c>
      <c r="I76" s="237"/>
      <c r="J76" s="122"/>
      <c r="K76" s="94"/>
      <c r="L76" s="94"/>
      <c r="M76" s="98"/>
      <c r="N76" s="164">
        <f>VLOOKUP(C76,Спецтехника!$B$16:$J$104,4,0)</f>
        <v>761</v>
      </c>
      <c r="O76" s="167">
        <f>VLOOKUP(C76,Спецтехника!$B$16:$J$104,5,0)</f>
        <v>689</v>
      </c>
      <c r="P76" s="167">
        <f>VLOOKUP(C76,Спецтехника!$B$16:$J$104,6,0)</f>
        <v>72</v>
      </c>
      <c r="Q76" s="170">
        <f>VLOOKUP(C76,Спецтехника!$B$16:$J$104,7,0)</f>
        <v>9.4612352168199743E-2</v>
      </c>
      <c r="R76" s="242"/>
      <c r="S76" s="122"/>
      <c r="T76" s="94"/>
      <c r="U76" s="94"/>
      <c r="V76" s="98"/>
      <c r="W76" s="163">
        <f>VLOOKUP($C76,МНО!$B$16:$AB$104,16,0)</f>
        <v>24128</v>
      </c>
      <c r="X76" s="166">
        <f>VLOOKUP($C76,МНО!$B$16:$AB$104,8,0)</f>
        <v>21719</v>
      </c>
      <c r="Y76" s="166">
        <f>VLOOKUP($C76,МНО!$B$16:$AB$104,11,0)</f>
        <v>2409</v>
      </c>
      <c r="Z76" s="173">
        <f>VLOOKUP($C76,МНО!$B$16:$AB$104,17,0)</f>
        <v>9.9842506631299732E-2</v>
      </c>
      <c r="AA76" s="245"/>
      <c r="AB76" s="95">
        <f>VLOOKUP($C76,МНО!$B$16:$AB$104,13,0)</f>
        <v>4.9078655408597864</v>
      </c>
      <c r="AC76" s="154">
        <f>VLOOKUP($C76,МНО!$B$16:$AB$104,18,0)</f>
        <v>0.87806751566606023</v>
      </c>
      <c r="AD76" s="163">
        <f>VLOOKUP($C76,Контейнеры!$B$16:$AB$104,16,0)</f>
        <v>48471</v>
      </c>
      <c r="AE76" s="166">
        <f>VLOOKUP($C76,Контейнеры!$B$16:$AB$104,8,0)</f>
        <v>44330</v>
      </c>
      <c r="AF76" s="166">
        <f>VLOOKUP($C76,Контейнеры!$B$16:$AB$104,11,0)</f>
        <v>4141</v>
      </c>
      <c r="AG76" s="173">
        <f>VLOOKUP($C76,Контейнеры!$B$16:$AB$104,17,0)</f>
        <v>8.5432526665428818E-2</v>
      </c>
      <c r="AH76" s="245"/>
      <c r="AI76" s="95">
        <f>VLOOKUP($C76,Контейнеры!$B$16:$AB$104,13,0)</f>
        <v>10.675450413459977</v>
      </c>
      <c r="AJ76" s="154">
        <f>VLOOKUP($C76,Контейнеры!$B$16:$AB$104,18,0)</f>
        <v>0.85655215055841094</v>
      </c>
      <c r="AK76" s="135"/>
      <c r="AL76" s="94"/>
      <c r="AM76" s="94"/>
      <c r="AN76" s="116"/>
      <c r="AO76" s="78">
        <f>VLOOKUP($C76,Обработка!$B$16:$L$104,6,0)</f>
        <v>0.63</v>
      </c>
      <c r="AP76" s="75">
        <f t="shared" si="11"/>
        <v>8.6999999999999966E-2</v>
      </c>
      <c r="AQ76" s="74">
        <f>VLOOKUP($C76,Обработка!$B$16:$L$104,7,0)</f>
        <v>0.76500000000000001</v>
      </c>
      <c r="AR76" s="179">
        <f t="shared" si="12"/>
        <v>-4.2000000000000037E-2</v>
      </c>
      <c r="AS76" s="181">
        <f>VLOOKUP($C76,Утилизация!$B$16:$L$104,6,0)</f>
        <v>0.1</v>
      </c>
      <c r="AT76" s="74">
        <f t="shared" si="13"/>
        <v>-3.9000000000000007E-2</v>
      </c>
      <c r="AU76" s="74">
        <f>VLOOKUP($C76,Утилизация!$B$16:$L$104,7,0)</f>
        <v>0.17800000000000002</v>
      </c>
      <c r="AV76" s="186">
        <f t="shared" si="14"/>
        <v>-0.10799999999999996</v>
      </c>
      <c r="AW76" s="162" t="str">
        <f>VLOOKUP(C76,Захоронение!$B$16:$Q$104,16,0)</f>
        <v>765 приказ</v>
      </c>
      <c r="AX76" s="135"/>
      <c r="AY76" s="94"/>
      <c r="AZ76" s="94"/>
      <c r="BA76" s="98"/>
      <c r="BB76" s="127" t="str">
        <f>VLOOKUP(C76,'ДК ИП'!$B$16:$S$104,5,0)</f>
        <v>среднее</v>
      </c>
      <c r="BC76" s="224">
        <f>VLOOKUP(C76,'Радар олд'!$B$3:$E$87,4,0)</f>
        <v>9.3196465373539622E-2</v>
      </c>
      <c r="BD76" s="98"/>
      <c r="BI76" s="8">
        <f t="shared" si="15"/>
        <v>1</v>
      </c>
      <c r="BJ76" s="8">
        <f>VLOOKUP(C76,Штаб!$B$16:$C$104,2)</f>
        <v>0</v>
      </c>
      <c r="BK76" s="8">
        <f>VLOOKUP(C76,'РО - регионы'!$B$16:$C$104,2)</f>
        <v>1</v>
      </c>
      <c r="BL76" s="8">
        <f>VLOOKUP(C76,'РО - регионы'!$B$16:$L$104,11)</f>
        <v>2</v>
      </c>
      <c r="BM76" s="8">
        <f>VLOOKUP(C76,Спецтехника!$B$16:$C$104,2)</f>
        <v>1</v>
      </c>
      <c r="BN76" s="8">
        <f>VLOOKUP($C76,МНО!$B$16:$AB$104,6,0)</f>
        <v>0</v>
      </c>
      <c r="BO76" s="8">
        <f>VLOOKUP($C76,МНО!$B$16:$AB$104,4,0)</f>
        <v>1</v>
      </c>
      <c r="BP76" s="8">
        <f>VLOOKUP($C76,МНО!$B$16:$AB$104,5,0)</f>
        <v>0</v>
      </c>
      <c r="BQ76" s="8">
        <f>VLOOKUP($C76,Контейнеры!$B$16:$G$104,6,0)</f>
        <v>0</v>
      </c>
      <c r="BR76" s="8">
        <f>VLOOKUP($C76,Контейнеры!$B$16:$G$104,4,0)</f>
        <v>0</v>
      </c>
      <c r="BS76" s="8">
        <f>VLOOKUP($C76,Контейнеры!$B$16:$G$104,5,0)</f>
        <v>1</v>
      </c>
      <c r="BT76" s="8">
        <f>VLOOKUP($C76,'ДК МНО'!$B$16:$C$104,2,0)</f>
        <v>2</v>
      </c>
      <c r="BU76" s="8">
        <f>VLOOKUP($C76,Обработка!$B$16:$F$104,5,0)</f>
        <v>1</v>
      </c>
      <c r="BV76" s="8">
        <f>VLOOKUP($C76,Обработка!$B$16:$F$104,4,0)</f>
        <v>0</v>
      </c>
      <c r="BW76" s="8">
        <f>VLOOKUP($C76,Утилизация!$B$16:$F$104,5,0)</f>
        <v>1</v>
      </c>
      <c r="BX76" s="8">
        <f>VLOOKUP($C76,Утилизация!$B$16:$F$104,4,0)</f>
        <v>1</v>
      </c>
      <c r="BY76" s="8">
        <f>VLOOKUP($C76,Захоронение!$B$16:$C$104,2,0)</f>
        <v>2</v>
      </c>
      <c r="BZ76" s="8">
        <f>VLOOKUP($C76,'ДК ИП'!$B$16:$C$104,2,0)</f>
        <v>1</v>
      </c>
      <c r="CA76" s="8">
        <f t="shared" si="16"/>
        <v>1.05</v>
      </c>
    </row>
    <row r="77" spans="1:79" ht="30" customHeight="1">
      <c r="A77" s="9" t="s">
        <v>656</v>
      </c>
      <c r="B77" s="261">
        <f t="shared" si="10"/>
        <v>67</v>
      </c>
      <c r="C77" s="258" t="s">
        <v>32</v>
      </c>
      <c r="D77" s="227" t="str">
        <f>VLOOKUP($C77,Штаб!$B$16:$J$104,6,0)</f>
        <v>✔️</v>
      </c>
      <c r="E77" s="228" t="str">
        <f>VLOOKUP($C77,Штаб!$B$16:$J$104,7,0)</f>
        <v/>
      </c>
      <c r="F77" s="228" t="str">
        <f>VLOOKUP($C77,Штаб!$B$16:$J$104,8,0)</f>
        <v/>
      </c>
      <c r="G77" s="229" t="str">
        <f>VLOOKUP($C77,Штаб!$B$16:$J$104,9,0)</f>
        <v/>
      </c>
      <c r="H77" s="160" t="str">
        <f>VLOOKUP(C77,'РО - регионы'!$B$16:$I$104,8,0)</f>
        <v>0 / 6 / 6 из 12</v>
      </c>
      <c r="I77" s="237"/>
      <c r="J77" s="122"/>
      <c r="K77" s="94"/>
      <c r="L77" s="94"/>
      <c r="M77" s="98"/>
      <c r="N77" s="163">
        <f>VLOOKUP(C77,Спецтехника!$B$16:$J$104,4,0)</f>
        <v>1042</v>
      </c>
      <c r="O77" s="166">
        <f>VLOOKUP(C77,Спецтехника!$B$16:$J$104,5,0)</f>
        <v>989</v>
      </c>
      <c r="P77" s="166">
        <f>VLOOKUP(C77,Спецтехника!$B$16:$J$104,6,0)</f>
        <v>53</v>
      </c>
      <c r="Q77" s="169">
        <f>VLOOKUP(C77,Спецтехника!$B$16:$J$104,7,0)</f>
        <v>5.0863723608445301E-2</v>
      </c>
      <c r="R77" s="242"/>
      <c r="S77" s="122"/>
      <c r="T77" s="94"/>
      <c r="U77" s="94"/>
      <c r="V77" s="98"/>
      <c r="W77" s="164">
        <f>VLOOKUP($C77,МНО!$B$16:$AB$104,16,0)</f>
        <v>28633</v>
      </c>
      <c r="X77" s="167">
        <f>VLOOKUP($C77,МНО!$B$16:$AB$104,8,0)</f>
        <v>21178</v>
      </c>
      <c r="Y77" s="167">
        <f>VLOOKUP($C77,МНО!$B$16:$AB$104,11,0)</f>
        <v>7455</v>
      </c>
      <c r="Z77" s="172">
        <f>VLOOKUP($C77,МНО!$B$16:$AB$104,17,0)</f>
        <v>0.26036391576153389</v>
      </c>
      <c r="AA77" s="245"/>
      <c r="AB77" s="95">
        <f>VLOOKUP($C77,МНО!$B$16:$AB$104,13,0)</f>
        <v>3.5676312128814631</v>
      </c>
      <c r="AC77" s="154">
        <f>VLOOKUP($C77,МНО!$B$16:$AB$104,18,0)</f>
        <v>0.44242500208907831</v>
      </c>
      <c r="AD77" s="164">
        <f>VLOOKUP($C77,Контейнеры!$B$16:$AB$104,16,0)</f>
        <v>57310</v>
      </c>
      <c r="AE77" s="167">
        <f>VLOOKUP($C77,Контейнеры!$B$16:$AB$104,8,0)</f>
        <v>42974</v>
      </c>
      <c r="AF77" s="167">
        <f>VLOOKUP($C77,Контейнеры!$B$16:$AB$104,11,0)</f>
        <v>14336</v>
      </c>
      <c r="AG77" s="172">
        <f>VLOOKUP($C77,Контейнеры!$B$16:$AB$104,17,0)</f>
        <v>0.25014831617518757</v>
      </c>
      <c r="AH77" s="245"/>
      <c r="AI77" s="95">
        <f>VLOOKUP($C77,Контейнеры!$B$16:$AB$104,13,0)</f>
        <v>7.3673898963175395</v>
      </c>
      <c r="AJ77" s="154">
        <f>VLOOKUP($C77,Контейнеры!$B$16:$AB$104,18,0)</f>
        <v>0.45800827045231701</v>
      </c>
      <c r="AK77" s="135"/>
      <c r="AL77" s="94"/>
      <c r="AM77" s="94"/>
      <c r="AN77" s="116"/>
      <c r="AO77" s="80">
        <f>VLOOKUP($C77,Обработка!$B$16:$L$104,6,0)</f>
        <v>0.45799999999999996</v>
      </c>
      <c r="AP77" s="74">
        <f t="shared" si="11"/>
        <v>-8.5000000000000075E-2</v>
      </c>
      <c r="AQ77" s="74">
        <f>VLOOKUP($C77,Обработка!$B$16:$L$104,7,0)</f>
        <v>0.71900000000000008</v>
      </c>
      <c r="AR77" s="179">
        <f t="shared" si="12"/>
        <v>-8.7999999999999967E-2</v>
      </c>
      <c r="AS77" s="180">
        <f>VLOOKUP($C77,Утилизация!$B$16:$L$104,6,0)</f>
        <v>2.6000000000000002E-2</v>
      </c>
      <c r="AT77" s="76">
        <f t="shared" si="13"/>
        <v>-0.11300000000000002</v>
      </c>
      <c r="AU77" s="74">
        <f>VLOOKUP($C77,Утилизация!$B$16:$L$104,7,0)</f>
        <v>0.192</v>
      </c>
      <c r="AV77" s="186">
        <f t="shared" si="14"/>
        <v>-9.3999999999999972E-2</v>
      </c>
      <c r="AW77" s="162" t="str">
        <f>VLOOKUP(C77,Захоронение!$B$16:$Q$104,16,0)</f>
        <v>765 приказ</v>
      </c>
      <c r="AX77" s="135"/>
      <c r="AY77" s="94"/>
      <c r="AZ77" s="94"/>
      <c r="BA77" s="98"/>
      <c r="BB77" s="127" t="str">
        <f>VLOOKUP(C77,'ДК ИП'!$B$16:$S$104,5,0)</f>
        <v>небольшое</v>
      </c>
      <c r="BC77" s="224">
        <f>VLOOKUP(C77,'Радар олд'!$B$3:$E$87,4,0)</f>
        <v>0.10869188798495183</v>
      </c>
      <c r="BD77" s="98"/>
      <c r="BI77" s="8">
        <f t="shared" si="15"/>
        <v>1</v>
      </c>
      <c r="BJ77" s="8">
        <f>VLOOKUP(C77,Штаб!$B$16:$C$104,2)</f>
        <v>0</v>
      </c>
      <c r="BK77" s="8">
        <f>VLOOKUP(C77,'РО - регионы'!$B$16:$C$104,2)</f>
        <v>1</v>
      </c>
      <c r="BL77" s="8">
        <f>VLOOKUP(C77,'РО - регионы'!$B$16:$L$104,11)</f>
        <v>2</v>
      </c>
      <c r="BM77" s="8">
        <f>VLOOKUP(C77,Спецтехника!$B$16:$C$104,2)</f>
        <v>0</v>
      </c>
      <c r="BN77" s="8">
        <f>VLOOKUP($C77,МНО!$B$16:$AB$104,6,0)</f>
        <v>1</v>
      </c>
      <c r="BO77" s="8">
        <f>VLOOKUP($C77,МНО!$B$16:$AB$104,4,0)</f>
        <v>1</v>
      </c>
      <c r="BP77" s="8">
        <f>VLOOKUP($C77,МНО!$B$16:$AB$104,5,0)</f>
        <v>2</v>
      </c>
      <c r="BQ77" s="8">
        <f>VLOOKUP($C77,Контейнеры!$B$16:$G$104,6,0)</f>
        <v>1</v>
      </c>
      <c r="BR77" s="8">
        <f>VLOOKUP($C77,Контейнеры!$B$16:$G$104,4,0)</f>
        <v>0</v>
      </c>
      <c r="BS77" s="8">
        <f>VLOOKUP($C77,Контейнеры!$B$16:$G$104,5,0)</f>
        <v>2</v>
      </c>
      <c r="BT77" s="8">
        <f>VLOOKUP($C77,'ДК МНО'!$B$16:$C$104,2,0)</f>
        <v>2</v>
      </c>
      <c r="BU77" s="8">
        <f>VLOOKUP($C77,Обработка!$B$16:$F$104,5,0)</f>
        <v>1</v>
      </c>
      <c r="BV77" s="8">
        <f>VLOOKUP($C77,Обработка!$B$16:$F$104,4,0)</f>
        <v>1</v>
      </c>
      <c r="BW77" s="8">
        <f>VLOOKUP($C77,Утилизация!$B$16:$F$104,5,0)</f>
        <v>1</v>
      </c>
      <c r="BX77" s="8">
        <f>VLOOKUP($C77,Утилизация!$B$16:$F$104,4,0)</f>
        <v>2</v>
      </c>
      <c r="BY77" s="8">
        <f>VLOOKUP($C77,Захоронение!$B$16:$C$104,2,0)</f>
        <v>2</v>
      </c>
      <c r="BZ77" s="8">
        <f>VLOOKUP($C77,'ДК ИП'!$B$16:$C$104,2,0)</f>
        <v>0</v>
      </c>
      <c r="CA77" s="8">
        <f t="shared" si="16"/>
        <v>1.1000000000000001</v>
      </c>
    </row>
    <row r="78" spans="1:79" ht="30" customHeight="1">
      <c r="A78" s="9" t="s">
        <v>653</v>
      </c>
      <c r="B78" s="261">
        <f t="shared" si="10"/>
        <v>68</v>
      </c>
      <c r="C78" s="258" t="s">
        <v>33</v>
      </c>
      <c r="D78" s="227" t="str">
        <f>VLOOKUP($C78,Штаб!$B$16:$J$104,6,0)</f>
        <v/>
      </c>
      <c r="E78" s="228" t="str">
        <f>VLOOKUP($C78,Штаб!$B$16:$J$104,7,0)</f>
        <v>✔️</v>
      </c>
      <c r="F78" s="228" t="str">
        <f>VLOOKUP($C78,Штаб!$B$16:$J$104,8,0)</f>
        <v/>
      </c>
      <c r="G78" s="229" t="str">
        <f>VLOOKUP($C78,Штаб!$B$16:$J$104,9,0)</f>
        <v/>
      </c>
      <c r="H78" s="160" t="str">
        <f>VLOOKUP(C78,'РО - регионы'!$B$16:$I$104,8,0)</f>
        <v>0 / 2 / 12 из 14</v>
      </c>
      <c r="I78" s="237"/>
      <c r="J78" s="122"/>
      <c r="K78" s="94"/>
      <c r="L78" s="94"/>
      <c r="M78" s="98"/>
      <c r="N78" s="163">
        <f>VLOOKUP(C78,Спецтехника!$B$16:$J$104,4,0)</f>
        <v>443</v>
      </c>
      <c r="O78" s="166">
        <f>VLOOKUP(C78,Спецтехника!$B$16:$J$104,5,0)</f>
        <v>426</v>
      </c>
      <c r="P78" s="166">
        <f>VLOOKUP(C78,Спецтехника!$B$16:$J$104,6,0)</f>
        <v>17</v>
      </c>
      <c r="Q78" s="169">
        <f>VLOOKUP(C78,Спецтехника!$B$16:$J$104,7,0)</f>
        <v>3.8374717832957109E-2</v>
      </c>
      <c r="R78" s="242"/>
      <c r="S78" s="122"/>
      <c r="T78" s="94"/>
      <c r="U78" s="94"/>
      <c r="V78" s="98"/>
      <c r="W78" s="164">
        <f>VLOOKUP($C78,МНО!$B$16:$AB$104,16,0)</f>
        <v>29212</v>
      </c>
      <c r="X78" s="167">
        <f>VLOOKUP($C78,МНО!$B$16:$AB$104,8,0)</f>
        <v>23450</v>
      </c>
      <c r="Y78" s="167">
        <f>VLOOKUP($C78,МНО!$B$16:$AB$104,11,0)</f>
        <v>5762</v>
      </c>
      <c r="Z78" s="172">
        <f>VLOOKUP($C78,МНО!$B$16:$AB$104,17,0)</f>
        <v>0.19724770642201836</v>
      </c>
      <c r="AA78" s="245"/>
      <c r="AB78" s="95">
        <f>VLOOKUP($C78,МНО!$B$16:$AB$104,13,0)</f>
        <v>4.4059983416019</v>
      </c>
      <c r="AC78" s="154">
        <f>VLOOKUP($C78,МНО!$B$16:$AB$104,18,0)</f>
        <v>0.47471557552937366</v>
      </c>
      <c r="AD78" s="163">
        <f>VLOOKUP($C78,Контейнеры!$B$16:$AB$104,16,0)</f>
        <v>49553</v>
      </c>
      <c r="AE78" s="166">
        <f>VLOOKUP($C78,Контейнеры!$B$16:$AB$104,8,0)</f>
        <v>42103</v>
      </c>
      <c r="AF78" s="166">
        <f>VLOOKUP($C78,Контейнеры!$B$16:$AB$104,11,0)</f>
        <v>7450</v>
      </c>
      <c r="AG78" s="173">
        <f>VLOOKUP($C78,Контейнеры!$B$16:$AB$104,17,0)</f>
        <v>0.15034407603979577</v>
      </c>
      <c r="AH78" s="245"/>
      <c r="AI78" s="95">
        <f>VLOOKUP($C78,Контейнеры!$B$16:$AB$104,13,0)</f>
        <v>14.7931218641519</v>
      </c>
      <c r="AJ78" s="154">
        <f>VLOOKUP($C78,Контейнеры!$B$16:$AB$104,18,0)</f>
        <v>0.51786570890886952</v>
      </c>
      <c r="AK78" s="135"/>
      <c r="AL78" s="94"/>
      <c r="AM78" s="94"/>
      <c r="AN78" s="116"/>
      <c r="AO78" s="80">
        <f>VLOOKUP($C78,Обработка!$B$16:$L$104,6,0)</f>
        <v>0.39799999999999996</v>
      </c>
      <c r="AP78" s="74">
        <f t="shared" si="11"/>
        <v>-0.14500000000000007</v>
      </c>
      <c r="AQ78" s="75">
        <f>VLOOKUP($C78,Обработка!$B$16:$L$104,7,0)</f>
        <v>1</v>
      </c>
      <c r="AR78" s="178">
        <f t="shared" si="12"/>
        <v>0.19299999999999995</v>
      </c>
      <c r="AS78" s="180">
        <f>VLOOKUP($C78,Утилизация!$B$16:$L$104,6,0)</f>
        <v>3.3000000000000002E-2</v>
      </c>
      <c r="AT78" s="76">
        <f t="shared" si="13"/>
        <v>-0.10600000000000001</v>
      </c>
      <c r="AU78" s="74">
        <f>VLOOKUP($C78,Утилизация!$B$16:$L$104,7,0)</f>
        <v>0.20399999999999999</v>
      </c>
      <c r="AV78" s="186">
        <f t="shared" si="14"/>
        <v>-8.199999999999999E-2</v>
      </c>
      <c r="AW78" s="162" t="str">
        <f>VLOOKUP(C78,Захоронение!$B$16:$Q$104,16,0)</f>
        <v>белые пятна</v>
      </c>
      <c r="AX78" s="135"/>
      <c r="AY78" s="94"/>
      <c r="AZ78" s="94"/>
      <c r="BA78" s="98"/>
      <c r="BB78" s="127" t="str">
        <f>VLOOKUP(C78,'ДК ИП'!$B$16:$S$104,5,0)</f>
        <v>среднее</v>
      </c>
      <c r="BC78" s="224">
        <f>VLOOKUP(C78,'Радар олд'!$B$3:$E$87,4,0)</f>
        <v>3.1621997666999281E-2</v>
      </c>
      <c r="BD78" s="98"/>
      <c r="BI78" s="8">
        <f t="shared" si="15"/>
        <v>1</v>
      </c>
      <c r="BJ78" s="8">
        <f>VLOOKUP(C78,Штаб!$B$16:$C$104,2)</f>
        <v>1</v>
      </c>
      <c r="BK78" s="8">
        <f>VLOOKUP(C78,'РО - регионы'!$B$16:$C$104,2)</f>
        <v>1</v>
      </c>
      <c r="BL78" s="8">
        <f>VLOOKUP(C78,'РО - регионы'!$B$16:$L$104,11)</f>
        <v>2</v>
      </c>
      <c r="BM78" s="8">
        <f>VLOOKUP(C78,Спецтехника!$B$16:$C$104,2)</f>
        <v>0</v>
      </c>
      <c r="BN78" s="8">
        <f>VLOOKUP($C78,МНО!$B$16:$AB$104,6,0)</f>
        <v>1</v>
      </c>
      <c r="BO78" s="8">
        <f>VLOOKUP($C78,МНО!$B$16:$AB$104,4,0)</f>
        <v>1</v>
      </c>
      <c r="BP78" s="8">
        <f>VLOOKUP($C78,МНО!$B$16:$AB$104,5,0)</f>
        <v>2</v>
      </c>
      <c r="BQ78" s="8">
        <f>VLOOKUP($C78,Контейнеры!$B$16:$G$104,6,0)</f>
        <v>0</v>
      </c>
      <c r="BR78" s="8">
        <f>VLOOKUP($C78,Контейнеры!$B$16:$G$104,4,0)</f>
        <v>0</v>
      </c>
      <c r="BS78" s="8">
        <f>VLOOKUP($C78,Контейнеры!$B$16:$G$104,5,0)</f>
        <v>2</v>
      </c>
      <c r="BT78" s="8">
        <f>VLOOKUP($C78,'ДК МНО'!$B$16:$C$104,2,0)</f>
        <v>2</v>
      </c>
      <c r="BU78" s="8">
        <f>VLOOKUP($C78,Обработка!$B$16:$F$104,5,0)</f>
        <v>0</v>
      </c>
      <c r="BV78" s="8">
        <f>VLOOKUP($C78,Обработка!$B$16:$F$104,4,0)</f>
        <v>1</v>
      </c>
      <c r="BW78" s="8">
        <f>VLOOKUP($C78,Утилизация!$B$16:$F$104,5,0)</f>
        <v>1</v>
      </c>
      <c r="BX78" s="8">
        <f>VLOOKUP($C78,Утилизация!$B$16:$F$104,4,0)</f>
        <v>2</v>
      </c>
      <c r="BY78" s="8">
        <f>VLOOKUP($C78,Захоронение!$B$16:$C$104,2,0)</f>
        <v>2</v>
      </c>
      <c r="BZ78" s="8">
        <f>VLOOKUP($C78,'ДК ИП'!$B$16:$C$104,2,0)</f>
        <v>1</v>
      </c>
      <c r="CA78" s="8">
        <f t="shared" si="16"/>
        <v>1.1000000000000001</v>
      </c>
    </row>
    <row r="79" spans="1:79" ht="30" customHeight="1">
      <c r="A79" s="9" t="s">
        <v>659</v>
      </c>
      <c r="B79" s="261">
        <f t="shared" si="10"/>
        <v>69</v>
      </c>
      <c r="C79" s="258" t="s">
        <v>49</v>
      </c>
      <c r="D79" s="227" t="str">
        <f>VLOOKUP($C79,Штаб!$B$16:$J$104,6,0)</f>
        <v/>
      </c>
      <c r="E79" s="228" t="str">
        <f>VLOOKUP($C79,Штаб!$B$16:$J$104,7,0)</f>
        <v/>
      </c>
      <c r="F79" s="228" t="str">
        <f>VLOOKUP($C79,Штаб!$B$16:$J$104,8,0)</f>
        <v/>
      </c>
      <c r="G79" s="229" t="str">
        <f>VLOOKUP($C79,Штаб!$B$16:$J$104,9,0)</f>
        <v>✔️</v>
      </c>
      <c r="H79" s="160" t="str">
        <f>VLOOKUP(C79,'РО - регионы'!$B$16:$I$104,8,0)</f>
        <v>0 / 0 / 1 из 1</v>
      </c>
      <c r="I79" s="237"/>
      <c r="J79" s="122"/>
      <c r="K79" s="94"/>
      <c r="L79" s="94"/>
      <c r="M79" s="98"/>
      <c r="N79" s="163">
        <f>VLOOKUP(C79,Спецтехника!$B$16:$J$104,4,0)</f>
        <v>365</v>
      </c>
      <c r="O79" s="166">
        <f>VLOOKUP(C79,Спецтехника!$B$16:$J$104,5,0)</f>
        <v>354</v>
      </c>
      <c r="P79" s="166">
        <f>VLOOKUP(C79,Спецтехника!$B$16:$J$104,6,0)</f>
        <v>11</v>
      </c>
      <c r="Q79" s="169">
        <f>VLOOKUP(C79,Спецтехника!$B$16:$J$104,7,0)</f>
        <v>3.0136986301369864E-2</v>
      </c>
      <c r="R79" s="242"/>
      <c r="S79" s="122"/>
      <c r="T79" s="94"/>
      <c r="U79" s="94"/>
      <c r="V79" s="98"/>
      <c r="W79" s="164">
        <f>VLOOKUP($C79,МНО!$B$16:$AB$104,16,0)</f>
        <v>23668</v>
      </c>
      <c r="X79" s="167">
        <f>VLOOKUP($C79,МНО!$B$16:$AB$104,8,0)</f>
        <v>19449</v>
      </c>
      <c r="Y79" s="167">
        <f>VLOOKUP($C79,МНО!$B$16:$AB$104,11,0)</f>
        <v>4219</v>
      </c>
      <c r="Z79" s="172">
        <f>VLOOKUP($C79,МНО!$B$16:$AB$104,17,0)</f>
        <v>0.17825756295419976</v>
      </c>
      <c r="AA79" s="245"/>
      <c r="AB79" s="95">
        <f>VLOOKUP($C79,МНО!$B$16:$AB$104,13,0)</f>
        <v>7.1699770685770572</v>
      </c>
      <c r="AC79" s="154">
        <f>VLOOKUP($C79,МНО!$B$16:$AB$104,18,0)</f>
        <v>1</v>
      </c>
      <c r="AD79" s="164">
        <f>VLOOKUP($C79,Контейнеры!$B$16:$AB$104,16,0)</f>
        <v>61976</v>
      </c>
      <c r="AE79" s="167">
        <f>VLOOKUP($C79,Контейнеры!$B$16:$AB$104,8,0)</f>
        <v>45020</v>
      </c>
      <c r="AF79" s="167">
        <f>VLOOKUP($C79,Контейнеры!$B$16:$AB$104,11,0)</f>
        <v>16956</v>
      </c>
      <c r="AG79" s="172">
        <f>VLOOKUP($C79,Контейнеры!$B$16:$AB$104,17,0)</f>
        <v>0.27358977668775009</v>
      </c>
      <c r="AH79" s="245"/>
      <c r="AI79" s="95">
        <f>VLOOKUP($C79,Контейнеры!$B$16:$AB$104,13,0)</f>
        <v>18.042164642967926</v>
      </c>
      <c r="AJ79" s="154">
        <f>VLOOKUP($C79,Контейнеры!$B$16:$AB$104,18,0)</f>
        <v>1</v>
      </c>
      <c r="AK79" s="135"/>
      <c r="AL79" s="94"/>
      <c r="AM79" s="94"/>
      <c r="AN79" s="116"/>
      <c r="AO79" s="80">
        <f>VLOOKUP($C79,Обработка!$B$16:$L$104,6,0)</f>
        <v>0.311</v>
      </c>
      <c r="AP79" s="74">
        <f t="shared" si="11"/>
        <v>-0.23200000000000004</v>
      </c>
      <c r="AQ79" s="74">
        <f>VLOOKUP($C79,Обработка!$B$16:$L$104,7,0)</f>
        <v>0.79799999999999993</v>
      </c>
      <c r="AR79" s="179">
        <f t="shared" si="12"/>
        <v>-9.000000000000119E-3</v>
      </c>
      <c r="AS79" s="180">
        <f>VLOOKUP($C79,Утилизация!$B$16:$L$104,6,0)</f>
        <v>6.2E-2</v>
      </c>
      <c r="AT79" s="76">
        <f t="shared" si="13"/>
        <v>-7.7000000000000013E-2</v>
      </c>
      <c r="AU79" s="76">
        <f>VLOOKUP($C79,Утилизация!$B$16:$L$104,7,0)</f>
        <v>0.105</v>
      </c>
      <c r="AV79" s="184">
        <f t="shared" si="14"/>
        <v>-0.18099999999999999</v>
      </c>
      <c r="AW79" s="162" t="str">
        <f>VLOOKUP(C79,Захоронение!$B$16:$Q$104,16,0)</f>
        <v>765 приказ</v>
      </c>
      <c r="AX79" s="135"/>
      <c r="AY79" s="94"/>
      <c r="AZ79" s="94"/>
      <c r="BA79" s="98"/>
      <c r="BB79" s="127" t="str">
        <f>VLOOKUP(C79,'ДК ИП'!$B$16:$S$104,5,0)</f>
        <v>небольшое</v>
      </c>
      <c r="BC79" s="224">
        <f>VLOOKUP(C79,'Радар олд'!$B$3:$E$87,4,0)</f>
        <v>4.4484235348055082E-2</v>
      </c>
      <c r="BD79" s="98"/>
      <c r="BI79" s="8">
        <f t="shared" si="15"/>
        <v>1</v>
      </c>
      <c r="BJ79" s="8">
        <f>VLOOKUP(C79,Штаб!$B$16:$C$104,2)</f>
        <v>2</v>
      </c>
      <c r="BK79" s="8">
        <f>VLOOKUP(C79,'РО - регионы'!$B$16:$C$104,2)</f>
        <v>0</v>
      </c>
      <c r="BL79" s="8">
        <f>VLOOKUP(C79,'РО - регионы'!$B$16:$L$104,11)</f>
        <v>0</v>
      </c>
      <c r="BM79" s="8">
        <f>VLOOKUP(C79,Спецтехника!$B$16:$C$104,2)</f>
        <v>0</v>
      </c>
      <c r="BN79" s="8">
        <f>VLOOKUP($C79,МНО!$B$16:$AB$104,6,0)</f>
        <v>0</v>
      </c>
      <c r="BO79" s="8">
        <f>VLOOKUP($C79,МНО!$B$16:$AB$104,4,0)</f>
        <v>0</v>
      </c>
      <c r="BP79" s="8">
        <f>VLOOKUP($C79,МНО!$B$16:$AB$104,5,0)</f>
        <v>0</v>
      </c>
      <c r="BQ79" s="8">
        <f>VLOOKUP($C79,Контейнеры!$B$16:$G$104,6,0)</f>
        <v>1</v>
      </c>
      <c r="BR79" s="8">
        <f>VLOOKUP($C79,Контейнеры!$B$16:$G$104,4,0)</f>
        <v>0</v>
      </c>
      <c r="BS79" s="8">
        <f>VLOOKUP($C79,Контейнеры!$B$16:$G$104,5,0)</f>
        <v>0</v>
      </c>
      <c r="BT79" s="8">
        <f>VLOOKUP($C79,'ДК МНО'!$B$16:$C$104,2,0)</f>
        <v>2</v>
      </c>
      <c r="BU79" s="8">
        <f>VLOOKUP($C79,Обработка!$B$16:$F$104,5,0)</f>
        <v>1</v>
      </c>
      <c r="BV79" s="8">
        <f>VLOOKUP($C79,Обработка!$B$16:$F$104,4,0)</f>
        <v>1</v>
      </c>
      <c r="BW79" s="8">
        <f>VLOOKUP($C79,Утилизация!$B$16:$F$104,5,0)</f>
        <v>2</v>
      </c>
      <c r="BX79" s="8">
        <f>VLOOKUP($C79,Утилизация!$B$16:$F$104,4,0)</f>
        <v>2</v>
      </c>
      <c r="BY79" s="8">
        <f>VLOOKUP($C79,Захоронение!$B$16:$C$104,2,0)</f>
        <v>2</v>
      </c>
      <c r="BZ79" s="8">
        <f>VLOOKUP($C79,'ДК ИП'!$B$16:$C$104,2,0)</f>
        <v>0</v>
      </c>
      <c r="CA79" s="8">
        <f t="shared" si="16"/>
        <v>0.85</v>
      </c>
    </row>
    <row r="80" spans="1:79" ht="30" customHeight="1">
      <c r="A80" s="9" t="s">
        <v>654</v>
      </c>
      <c r="B80" s="261">
        <f t="shared" si="10"/>
        <v>70</v>
      </c>
      <c r="C80" s="258" t="s">
        <v>50</v>
      </c>
      <c r="D80" s="227" t="str">
        <f>VLOOKUP($C80,Штаб!$B$16:$J$104,6,0)</f>
        <v>✔️</v>
      </c>
      <c r="E80" s="228" t="str">
        <f>VLOOKUP($C80,Штаб!$B$16:$J$104,7,0)</f>
        <v/>
      </c>
      <c r="F80" s="228" t="str">
        <f>VLOOKUP($C80,Штаб!$B$16:$J$104,8,0)</f>
        <v/>
      </c>
      <c r="G80" s="229" t="str">
        <f>VLOOKUP($C80,Штаб!$B$16:$J$104,9,0)</f>
        <v/>
      </c>
      <c r="H80" s="161" t="str">
        <f>VLOOKUP(C80,'РО - регионы'!$B$16:$I$104,8,0)</f>
        <v>0 / 1 / 0 из 1</v>
      </c>
      <c r="I80" s="237"/>
      <c r="J80" s="122"/>
      <c r="K80" s="94"/>
      <c r="L80" s="94"/>
      <c r="M80" s="98"/>
      <c r="N80" s="165">
        <f>VLOOKUP(C80,Спецтехника!$B$16:$J$104,4,0)</f>
        <v>368</v>
      </c>
      <c r="O80" s="168">
        <f>VLOOKUP(C80,Спецтехника!$B$16:$J$104,5,0)</f>
        <v>273</v>
      </c>
      <c r="P80" s="168">
        <f>VLOOKUP(C80,Спецтехника!$B$16:$J$104,6,0)</f>
        <v>95</v>
      </c>
      <c r="Q80" s="171">
        <f>VLOOKUP(C80,Спецтехника!$B$16:$J$104,7,0)</f>
        <v>0.25815217391304346</v>
      </c>
      <c r="R80" s="242"/>
      <c r="S80" s="122"/>
      <c r="T80" s="94"/>
      <c r="U80" s="94"/>
      <c r="V80" s="98"/>
      <c r="W80" s="165">
        <f>VLOOKUP($C80,МНО!$B$16:$AB$104,16,0)</f>
        <v>24025</v>
      </c>
      <c r="X80" s="168">
        <f>VLOOKUP($C80,МНО!$B$16:$AB$104,8,0)</f>
        <v>3917</v>
      </c>
      <c r="Y80" s="168">
        <f>VLOOKUP($C80,МНО!$B$16:$AB$104,11,0)</f>
        <v>20108</v>
      </c>
      <c r="Z80" s="174">
        <f>VLOOKUP($C80,МНО!$B$16:$AB$104,17,0)</f>
        <v>0.83696149843912593</v>
      </c>
      <c r="AA80" s="245"/>
      <c r="AB80" s="95">
        <f>VLOOKUP($C80,МНО!$B$16:$AB$104,13,0)</f>
        <v>2.0554774071865869</v>
      </c>
      <c r="AC80" s="154">
        <f>VLOOKUP($C80,МНО!$B$16:$AB$104,18,0)</f>
        <v>1.7832347705741224E-2</v>
      </c>
      <c r="AD80" s="165">
        <f>VLOOKUP($C80,Контейнеры!$B$16:$AB$104,16,0)</f>
        <v>49060</v>
      </c>
      <c r="AE80" s="168">
        <f>VLOOKUP($C80,Контейнеры!$B$16:$AB$104,8,0)</f>
        <v>9423</v>
      </c>
      <c r="AF80" s="168">
        <f>VLOOKUP($C80,Контейнеры!$B$16:$AB$104,11,0)</f>
        <v>39637</v>
      </c>
      <c r="AG80" s="174">
        <f>VLOOKUP($C80,Контейнеры!$B$16:$AB$104,17,0)</f>
        <v>0.80792906644924578</v>
      </c>
      <c r="AH80" s="245"/>
      <c r="AI80" s="95">
        <f>VLOOKUP($C80,Контейнеры!$B$16:$AB$104,13,0)</f>
        <v>5.2164728273415584</v>
      </c>
      <c r="AJ80" s="154">
        <f>VLOOKUP($C80,Контейнеры!$B$16:$AB$104,18,0)</f>
        <v>0.15309753204763685</v>
      </c>
      <c r="AK80" s="135"/>
      <c r="AL80" s="94"/>
      <c r="AM80" s="94"/>
      <c r="AN80" s="116"/>
      <c r="AO80" s="80">
        <f>VLOOKUP($C80,Обработка!$B$16:$L$104,6,0)</f>
        <v>0.41200000000000003</v>
      </c>
      <c r="AP80" s="74">
        <f t="shared" si="11"/>
        <v>-0.13100000000000001</v>
      </c>
      <c r="AQ80" s="75">
        <f>VLOOKUP($C80,Обработка!$B$16:$L$104,7,0)</f>
        <v>0.92498599999999997</v>
      </c>
      <c r="AR80" s="178">
        <f t="shared" si="12"/>
        <v>0.11798599999999992</v>
      </c>
      <c r="AS80" s="180">
        <f>VLOOKUP($C80,Утилизация!$B$16:$L$104,6,0)</f>
        <v>0.02</v>
      </c>
      <c r="AT80" s="76">
        <f t="shared" si="13"/>
        <v>-0.11900000000000001</v>
      </c>
      <c r="AU80" s="74">
        <f>VLOOKUP($C80,Утилизация!$B$16:$L$104,7,0)</f>
        <v>0.16899999999999998</v>
      </c>
      <c r="AV80" s="186">
        <f t="shared" si="14"/>
        <v>-0.11699999999999999</v>
      </c>
      <c r="AW80" s="162" t="str">
        <f>VLOOKUP(C80,Захоронение!$B$16:$Q$104,16,0)</f>
        <v>765 приказ</v>
      </c>
      <c r="AX80" s="135"/>
      <c r="AY80" s="94"/>
      <c r="AZ80" s="94"/>
      <c r="BA80" s="98"/>
      <c r="BB80" s="127" t="str">
        <f>VLOOKUP(C80,'ДК ИП'!$B$16:$S$104,5,0)</f>
        <v>нет</v>
      </c>
      <c r="BC80" s="224">
        <f>VLOOKUP(C80,'Радар олд'!$B$3:$E$87,4,0)</f>
        <v>0.10019967969317863</v>
      </c>
      <c r="BD80" s="98"/>
      <c r="BI80" s="8">
        <f t="shared" si="15"/>
        <v>2</v>
      </c>
      <c r="BJ80" s="8">
        <f>VLOOKUP(C80,Штаб!$B$16:$C$104,2)</f>
        <v>0</v>
      </c>
      <c r="BK80" s="8">
        <f>VLOOKUP(C80,'РО - регионы'!$B$16:$C$104,2)</f>
        <v>1</v>
      </c>
      <c r="BL80" s="8">
        <f>VLOOKUP(C80,'РО - регионы'!$B$16:$L$104,11)</f>
        <v>2</v>
      </c>
      <c r="BM80" s="8">
        <f>VLOOKUP(C80,Спецтехника!$B$16:$C$104,2)</f>
        <v>2</v>
      </c>
      <c r="BN80" s="8">
        <f>VLOOKUP($C80,МНО!$B$16:$AB$104,6,0)</f>
        <v>2</v>
      </c>
      <c r="BO80" s="8">
        <f>VLOOKUP($C80,МНО!$B$16:$AB$104,4,0)</f>
        <v>2</v>
      </c>
      <c r="BP80" s="8">
        <f>VLOOKUP($C80,МНО!$B$16:$AB$104,5,0)</f>
        <v>2</v>
      </c>
      <c r="BQ80" s="8">
        <f>VLOOKUP($C80,Контейнеры!$B$16:$G$104,6,0)</f>
        <v>2</v>
      </c>
      <c r="BR80" s="8">
        <f>VLOOKUP($C80,Контейнеры!$B$16:$G$104,4,0)</f>
        <v>0</v>
      </c>
      <c r="BS80" s="8">
        <f>VLOOKUP($C80,Контейнеры!$B$16:$G$104,5,0)</f>
        <v>2</v>
      </c>
      <c r="BT80" s="8">
        <f>VLOOKUP($C80,'ДК МНО'!$B$16:$C$104,2,0)</f>
        <v>2</v>
      </c>
      <c r="BU80" s="8">
        <f>VLOOKUP($C80,Обработка!$B$16:$F$104,5,0)</f>
        <v>0</v>
      </c>
      <c r="BV80" s="8">
        <f>VLOOKUP($C80,Обработка!$B$16:$F$104,4,0)</f>
        <v>1</v>
      </c>
      <c r="BW80" s="8">
        <f>VLOOKUP($C80,Утилизация!$B$16:$F$104,5,0)</f>
        <v>1</v>
      </c>
      <c r="BX80" s="8">
        <f>VLOOKUP($C80,Утилизация!$B$16:$F$104,4,0)</f>
        <v>2</v>
      </c>
      <c r="BY80" s="8">
        <f>VLOOKUP($C80,Захоронение!$B$16:$C$104,2,0)</f>
        <v>2</v>
      </c>
      <c r="BZ80" s="8">
        <f>VLOOKUP($C80,'ДК ИП'!$B$16:$C$104,2,0)</f>
        <v>0</v>
      </c>
      <c r="CA80" s="8">
        <f t="shared" si="16"/>
        <v>1.3</v>
      </c>
    </row>
    <row r="81" spans="1:79" ht="30" customHeight="1">
      <c r="A81" s="9" t="s">
        <v>654</v>
      </c>
      <c r="B81" s="261">
        <f t="shared" si="10"/>
        <v>71</v>
      </c>
      <c r="C81" s="258" t="s">
        <v>83</v>
      </c>
      <c r="D81" s="227" t="str">
        <f>VLOOKUP($C81,Штаб!$B$16:$J$104,6,0)</f>
        <v/>
      </c>
      <c r="E81" s="228" t="str">
        <f>VLOOKUP($C81,Штаб!$B$16:$J$104,7,0)</f>
        <v/>
      </c>
      <c r="F81" s="228" t="str">
        <f>VLOOKUP($C81,Штаб!$B$16:$J$104,8,0)</f>
        <v>✔️</v>
      </c>
      <c r="G81" s="229" t="str">
        <f>VLOOKUP($C81,Штаб!$B$16:$J$104,9,0)</f>
        <v/>
      </c>
      <c r="H81" s="160" t="str">
        <f>VLOOKUP(C81,'РО - регионы'!$B$16:$I$104,8,0)</f>
        <v>0 / 1 / 2 из 3</v>
      </c>
      <c r="I81" s="237"/>
      <c r="J81" s="122"/>
      <c r="K81" s="94"/>
      <c r="L81" s="94"/>
      <c r="M81" s="98"/>
      <c r="N81" s="165">
        <f>VLOOKUP(C81,Спецтехника!$B$16:$J$104,4,0)</f>
        <v>299</v>
      </c>
      <c r="O81" s="168">
        <f>VLOOKUP(C81,Спецтехника!$B$16:$J$104,5,0)</f>
        <v>142</v>
      </c>
      <c r="P81" s="168">
        <f>VLOOKUP(C81,Спецтехника!$B$16:$J$104,6,0)</f>
        <v>157</v>
      </c>
      <c r="Q81" s="171">
        <f>VLOOKUP(C81,Спецтехника!$B$16:$J$104,7,0)</f>
        <v>0.52508361204013376</v>
      </c>
      <c r="R81" s="242"/>
      <c r="S81" s="122"/>
      <c r="T81" s="94"/>
      <c r="U81" s="94"/>
      <c r="V81" s="98"/>
      <c r="W81" s="163">
        <f>VLOOKUP($C81,МНО!$B$16:$AB$104,16,0)</f>
        <v>28498</v>
      </c>
      <c r="X81" s="166">
        <f>VLOOKUP($C81,МНО!$B$16:$AB$104,8,0)</f>
        <v>24620</v>
      </c>
      <c r="Y81" s="166">
        <f>VLOOKUP($C81,МНО!$B$16:$AB$104,11,0)</f>
        <v>3878</v>
      </c>
      <c r="Z81" s="173">
        <f>VLOOKUP($C81,МНО!$B$16:$AB$104,17,0)</f>
        <v>0.13607972489297496</v>
      </c>
      <c r="AA81" s="245"/>
      <c r="AB81" s="95">
        <f>VLOOKUP($C81,МНО!$B$16:$AB$104,13,0)</f>
        <v>7.9303233155886863</v>
      </c>
      <c r="AC81" s="154">
        <f>VLOOKUP($C81,МНО!$B$16:$AB$104,18,0)</f>
        <v>0.30293708702981381</v>
      </c>
      <c r="AD81" s="163">
        <f>VLOOKUP($C81,Контейнеры!$B$16:$AB$104,16,0)</f>
        <v>31966</v>
      </c>
      <c r="AE81" s="166">
        <f>VLOOKUP($C81,Контейнеры!$B$16:$AB$104,8,0)</f>
        <v>26988</v>
      </c>
      <c r="AF81" s="166">
        <f>VLOOKUP($C81,Контейнеры!$B$16:$AB$104,11,0)</f>
        <v>4978</v>
      </c>
      <c r="AG81" s="173">
        <f>VLOOKUP($C81,Контейнеры!$B$16:$AB$104,17,0)</f>
        <v>0.15572796095851843</v>
      </c>
      <c r="AH81" s="245"/>
      <c r="AI81" s="95">
        <f>VLOOKUP($C81,Контейнеры!$B$16:$AB$104,13,0)</f>
        <v>21.115189980377611</v>
      </c>
      <c r="AJ81" s="154">
        <f>VLOOKUP($C81,Контейнеры!$B$16:$AB$104,18,0)</f>
        <v>1</v>
      </c>
      <c r="AK81" s="135"/>
      <c r="AL81" s="94"/>
      <c r="AM81" s="94"/>
      <c r="AN81" s="116"/>
      <c r="AO81" s="79">
        <f>VLOOKUP($C81,Обработка!$B$16:$L$104,6,0)</f>
        <v>0.25900000000000001</v>
      </c>
      <c r="AP81" s="76">
        <f t="shared" si="11"/>
        <v>-0.28400000000000003</v>
      </c>
      <c r="AQ81" s="74">
        <f>VLOOKUP($C81,Обработка!$B$16:$L$104,7,0)</f>
        <v>0.73099999999999998</v>
      </c>
      <c r="AR81" s="179">
        <f t="shared" si="12"/>
        <v>-7.6000000000000068E-2</v>
      </c>
      <c r="AS81" s="181">
        <f>VLOOKUP($C81,Утилизация!$B$16:$L$104,6,0)</f>
        <v>0.11699999999999999</v>
      </c>
      <c r="AT81" s="74">
        <f t="shared" si="13"/>
        <v>-2.200000000000002E-2</v>
      </c>
      <c r="AU81" s="75">
        <f>VLOOKUP($C81,Утилизация!$B$16:$L$104,7,0)</f>
        <v>0.29600000000000004</v>
      </c>
      <c r="AV81" s="185">
        <f t="shared" si="14"/>
        <v>1.0000000000000064E-2</v>
      </c>
      <c r="AW81" s="162" t="str">
        <f>VLOOKUP(C81,Захоронение!$B$16:$Q$104,16,0)</f>
        <v>белые пятна</v>
      </c>
      <c r="AX81" s="135"/>
      <c r="AY81" s="94"/>
      <c r="AZ81" s="94"/>
      <c r="BA81" s="98"/>
      <c r="BB81" s="127" t="str">
        <f>VLOOKUP(C81,'ДК ИП'!$B$16:$S$104,5,0)</f>
        <v>небольшое</v>
      </c>
      <c r="BC81" s="224">
        <f>VLOOKUP(C81,'Радар олд'!$B$3:$E$87,4,0)</f>
        <v>8.6063098334131366E-3</v>
      </c>
      <c r="BD81" s="98"/>
      <c r="BI81" s="8">
        <f t="shared" si="15"/>
        <v>1</v>
      </c>
      <c r="BJ81" s="8">
        <f>VLOOKUP(C81,Штаб!$B$16:$C$104,2)</f>
        <v>1</v>
      </c>
      <c r="BK81" s="8">
        <f>VLOOKUP(C81,'РО - регионы'!$B$16:$C$104,2)</f>
        <v>1</v>
      </c>
      <c r="BL81" s="8">
        <f>VLOOKUP(C81,'РО - регионы'!$B$16:$L$104,11)</f>
        <v>0</v>
      </c>
      <c r="BM81" s="8">
        <f>VLOOKUP(C81,Спецтехника!$B$16:$C$104,2)</f>
        <v>2</v>
      </c>
      <c r="BN81" s="8">
        <f>VLOOKUP($C81,МНО!$B$16:$AB$104,6,0)</f>
        <v>0</v>
      </c>
      <c r="BO81" s="8">
        <f>VLOOKUP($C81,МНО!$B$16:$AB$104,4,0)</f>
        <v>0</v>
      </c>
      <c r="BP81" s="8">
        <f>VLOOKUP($C81,МНО!$B$16:$AB$104,5,0)</f>
        <v>2</v>
      </c>
      <c r="BQ81" s="8">
        <f>VLOOKUP($C81,Контейнеры!$B$16:$G$104,6,0)</f>
        <v>1</v>
      </c>
      <c r="BR81" s="8">
        <f>VLOOKUP($C81,Контейнеры!$B$16:$G$104,4,0)</f>
        <v>2</v>
      </c>
      <c r="BS81" s="8">
        <f>VLOOKUP($C81,Контейнеры!$B$16:$G$104,5,0)</f>
        <v>0</v>
      </c>
      <c r="BT81" s="8">
        <f>VLOOKUP($C81,'ДК МНО'!$B$16:$C$104,2,0)</f>
        <v>2</v>
      </c>
      <c r="BU81" s="8">
        <f>VLOOKUP($C81,Обработка!$B$16:$F$104,5,0)</f>
        <v>1</v>
      </c>
      <c r="BV81" s="8">
        <f>VLOOKUP($C81,Обработка!$B$16:$F$104,4,0)</f>
        <v>2</v>
      </c>
      <c r="BW81" s="8">
        <f>VLOOKUP($C81,Утилизация!$B$16:$F$104,5,0)</f>
        <v>0</v>
      </c>
      <c r="BX81" s="8">
        <f>VLOOKUP($C81,Утилизация!$B$16:$F$104,4,0)</f>
        <v>1</v>
      </c>
      <c r="BY81" s="8">
        <f>VLOOKUP($C81,Захоронение!$B$16:$C$104,2,0)</f>
        <v>2</v>
      </c>
      <c r="BZ81" s="8">
        <f>VLOOKUP($C81,'ДК ИП'!$B$16:$C$104,2,0)</f>
        <v>0</v>
      </c>
      <c r="CA81" s="8">
        <f t="shared" si="16"/>
        <v>1.1500000000000001</v>
      </c>
    </row>
    <row r="82" spans="1:79" ht="30" customHeight="1">
      <c r="A82" s="9" t="s">
        <v>653</v>
      </c>
      <c r="B82" s="261">
        <f>B80+1</f>
        <v>71</v>
      </c>
      <c r="C82" s="258" t="s">
        <v>1</v>
      </c>
      <c r="D82" s="227" t="str">
        <f>VLOOKUP($C82,Штаб!$B$16:$J$104,6,0)</f>
        <v>✔️</v>
      </c>
      <c r="E82" s="228" t="str">
        <f>VLOOKUP($C82,Штаб!$B$16:$J$104,7,0)</f>
        <v/>
      </c>
      <c r="F82" s="228" t="str">
        <f>VLOOKUP($C82,Штаб!$B$16:$J$104,8,0)</f>
        <v/>
      </c>
      <c r="G82" s="229" t="str">
        <f>VLOOKUP($C82,Штаб!$B$16:$J$104,9,0)</f>
        <v/>
      </c>
      <c r="H82" s="160" t="str">
        <f>VLOOKUP(C82,'РО - регионы'!$B$16:$I$104,8,0)</f>
        <v>0 / 4 / 3 из 7</v>
      </c>
      <c r="I82" s="237"/>
      <c r="J82" s="122"/>
      <c r="K82" s="94"/>
      <c r="L82" s="94"/>
      <c r="M82" s="98"/>
      <c r="N82" s="164">
        <f>VLOOKUP(C82,Спецтехника!$B$16:$J$104,4,0)</f>
        <v>401</v>
      </c>
      <c r="O82" s="167">
        <f>VLOOKUP(C82,Спецтехника!$B$16:$J$104,5,0)</f>
        <v>352</v>
      </c>
      <c r="P82" s="167">
        <f>VLOOKUP(C82,Спецтехника!$B$16:$J$104,6,0)</f>
        <v>49</v>
      </c>
      <c r="Q82" s="170">
        <f>VLOOKUP(C82,Спецтехника!$B$16:$J$104,7,0)</f>
        <v>0.12219451371571072</v>
      </c>
      <c r="R82" s="242"/>
      <c r="S82" s="122"/>
      <c r="T82" s="94"/>
      <c r="U82" s="94"/>
      <c r="V82" s="98"/>
      <c r="W82" s="165">
        <f>VLOOKUP($C82,МНО!$B$16:$AB$104,16,0)</f>
        <v>38081</v>
      </c>
      <c r="X82" s="168">
        <f>VLOOKUP($C82,МНО!$B$16:$AB$104,8,0)</f>
        <v>20660</v>
      </c>
      <c r="Y82" s="168">
        <f>VLOOKUP($C82,МНО!$B$16:$AB$104,11,0)</f>
        <v>17421</v>
      </c>
      <c r="Z82" s="174">
        <f>VLOOKUP($C82,МНО!$B$16:$AB$104,17,0)</f>
        <v>0.45747223024605449</v>
      </c>
      <c r="AA82" s="245"/>
      <c r="AB82" s="95">
        <f>VLOOKUP($C82,МНО!$B$16:$AB$104,13,0)</f>
        <v>8.1709141174713089</v>
      </c>
      <c r="AC82" s="154">
        <f>VLOOKUP($C82,МНО!$B$16:$AB$104,18,0)</f>
        <v>1</v>
      </c>
      <c r="AD82" s="164">
        <f>VLOOKUP($C82,Контейнеры!$B$16:$AB$104,16,0)</f>
        <v>46247</v>
      </c>
      <c r="AE82" s="167">
        <f>VLOOKUP($C82,Контейнеры!$B$16:$AB$104,8,0)</f>
        <v>34946</v>
      </c>
      <c r="AF82" s="167">
        <f>VLOOKUP($C82,Контейнеры!$B$16:$AB$104,11,0)</f>
        <v>11301</v>
      </c>
      <c r="AG82" s="172">
        <f>VLOOKUP($C82,Контейнеры!$B$16:$AB$104,17,0)</f>
        <v>0.24436179644085021</v>
      </c>
      <c r="AH82" s="245"/>
      <c r="AI82" s="95">
        <f>VLOOKUP($C82,Контейнеры!$B$16:$AB$104,13,0)</f>
        <v>16.520525616127767</v>
      </c>
      <c r="AJ82" s="154">
        <f>VLOOKUP($C82,Контейнеры!$B$16:$AB$104,18,0)</f>
        <v>1</v>
      </c>
      <c r="AK82" s="135"/>
      <c r="AL82" s="94"/>
      <c r="AM82" s="94"/>
      <c r="AN82" s="116"/>
      <c r="AO82" s="79">
        <f>VLOOKUP($C82,Обработка!$B$16:$L$104,6,0)</f>
        <v>0</v>
      </c>
      <c r="AP82" s="76">
        <f t="shared" si="11"/>
        <v>-0.54300000000000004</v>
      </c>
      <c r="AQ82" s="75">
        <f>VLOOKUP($C82,Обработка!$B$16:$L$104,7,0)</f>
        <v>1</v>
      </c>
      <c r="AR82" s="178">
        <f t="shared" si="12"/>
        <v>0.19299999999999995</v>
      </c>
      <c r="AS82" s="180">
        <f>VLOOKUP($C82,Утилизация!$B$16:$L$104,6,0)</f>
        <v>0</v>
      </c>
      <c r="AT82" s="76">
        <f t="shared" si="13"/>
        <v>-0.13900000000000001</v>
      </c>
      <c r="AU82" s="75">
        <f>VLOOKUP($C82,Утилизация!$B$16:$L$104,7,0)</f>
        <v>0.47</v>
      </c>
      <c r="AV82" s="185">
        <f t="shared" si="14"/>
        <v>0.184</v>
      </c>
      <c r="AW82" s="162" t="str">
        <f>VLOOKUP(C82,Захоронение!$B$16:$Q$104,16,0)</f>
        <v>765 приказ</v>
      </c>
      <c r="AX82" s="135"/>
      <c r="AY82" s="94"/>
      <c r="AZ82" s="94"/>
      <c r="BA82" s="98"/>
      <c r="BB82" s="127" t="str">
        <f>VLOOKUP(C82,'ДК ИП'!$B$16:$JO$104,5,0)</f>
        <v>небольшое</v>
      </c>
      <c r="BC82" s="224">
        <f>VLOOKUP(C82,'Радар олд'!$B$3:$E$87,4,0)</f>
        <v>2.0800753365467346E-2</v>
      </c>
      <c r="BD82" s="98"/>
      <c r="BI82" s="8">
        <f t="shared" si="15"/>
        <v>1</v>
      </c>
      <c r="BJ82" s="8">
        <f>VLOOKUP(C82,Штаб!$B$16:$C$104,2)</f>
        <v>0</v>
      </c>
      <c r="BK82" s="8">
        <f>VLOOKUP(C82,'РО - регионы'!$B$16:$C$104,2)</f>
        <v>1</v>
      </c>
      <c r="BL82" s="8">
        <f>VLOOKUP(C82,'РО - регионы'!$B$16:$L$104,11)</f>
        <v>2</v>
      </c>
      <c r="BM82" s="8">
        <f>VLOOKUP(C82,Спецтехника!$B$16:$C$104,2)</f>
        <v>1</v>
      </c>
      <c r="BN82" s="8">
        <f>VLOOKUP($C82,МНО!$B$16:$AB$104,6,0)</f>
        <v>2</v>
      </c>
      <c r="BO82" s="8">
        <f>VLOOKUP($C82,МНО!$B$16:$AB$104,4,0)</f>
        <v>0</v>
      </c>
      <c r="BP82" s="8">
        <f>VLOOKUP($C82,МНО!$B$16:$AB$104,5,0)</f>
        <v>0</v>
      </c>
      <c r="BQ82" s="8">
        <f>VLOOKUP($C82,Контейнеры!$B$16:$G$104,6,0)</f>
        <v>1</v>
      </c>
      <c r="BR82" s="8">
        <f>VLOOKUP($C82,Контейнеры!$B$16:$G$104,4,0)</f>
        <v>2</v>
      </c>
      <c r="BS82" s="8">
        <f>VLOOKUP($C82,Контейнеры!$B$16:$G$104,5,0)</f>
        <v>0</v>
      </c>
      <c r="BT82" s="8">
        <f>VLOOKUP($C82,'ДК МНО'!$B$16:$C$104,2,0)</f>
        <v>2</v>
      </c>
      <c r="BU82" s="8">
        <f>VLOOKUP($C82,Обработка!$B$16:$F$104,5,0)</f>
        <v>0</v>
      </c>
      <c r="BV82" s="8">
        <f>VLOOKUP($C82,Обработка!$B$16:$F$104,4,0)</f>
        <v>2</v>
      </c>
      <c r="BW82" s="8">
        <f>VLOOKUP($C82,Утилизация!$B$16:$F$104,5,0)</f>
        <v>0</v>
      </c>
      <c r="BX82" s="8">
        <f>VLOOKUP($C82,Утилизация!$B$16:$F$104,4,0)</f>
        <v>2</v>
      </c>
      <c r="BY82" s="8">
        <f>VLOOKUP($C82,Захоронение!$B$16:$C$104,2,0)</f>
        <v>2</v>
      </c>
      <c r="BZ82" s="8">
        <f>VLOOKUP($C82,'ДК ИП'!$B$16:$C$104,2,0)</f>
        <v>0</v>
      </c>
      <c r="CA82" s="8">
        <f t="shared" si="16"/>
        <v>1.2</v>
      </c>
    </row>
    <row r="83" spans="1:79" ht="30" customHeight="1">
      <c r="A83" s="9" t="s">
        <v>653</v>
      </c>
      <c r="B83" s="261">
        <f t="shared" ref="B83:B94" si="17">B82+1</f>
        <v>72</v>
      </c>
      <c r="C83" s="258" t="s">
        <v>53</v>
      </c>
      <c r="D83" s="227" t="str">
        <f>VLOOKUP($C83,Штаб!$B$16:$J$104,6,0)</f>
        <v/>
      </c>
      <c r="E83" s="228" t="str">
        <f>VLOOKUP($C83,Штаб!$B$16:$J$104,7,0)</f>
        <v/>
      </c>
      <c r="F83" s="228" t="str">
        <f>VLOOKUP($C83,Штаб!$B$16:$J$104,8,0)</f>
        <v>✔️</v>
      </c>
      <c r="G83" s="229" t="str">
        <f>VLOOKUP($C83,Штаб!$B$16:$J$104,9,0)</f>
        <v/>
      </c>
      <c r="H83" s="160" t="str">
        <f>VLOOKUP(C83,'РО - регионы'!$B$16:$I$104,8,0)</f>
        <v>0 / 3 / 0 из 3</v>
      </c>
      <c r="I83" s="237"/>
      <c r="J83" s="122"/>
      <c r="K83" s="94"/>
      <c r="L83" s="94"/>
      <c r="M83" s="98"/>
      <c r="N83" s="165">
        <f>VLOOKUP(C83,Спецтехника!$B$16:$J$104,4,0)</f>
        <v>68</v>
      </c>
      <c r="O83" s="168">
        <f>VLOOKUP(C83,Спецтехника!$B$16:$J$104,5,0)</f>
        <v>46</v>
      </c>
      <c r="P83" s="168">
        <f>VLOOKUP(C83,Спецтехника!$B$16:$J$104,6,0)</f>
        <v>22</v>
      </c>
      <c r="Q83" s="171">
        <f>VLOOKUP(C83,Спецтехника!$B$16:$J$104,7,0)</f>
        <v>0.3235294117647059</v>
      </c>
      <c r="R83" s="242"/>
      <c r="S83" s="122"/>
      <c r="T83" s="94"/>
      <c r="U83" s="94"/>
      <c r="V83" s="98"/>
      <c r="W83" s="164">
        <f>VLOOKUP($C83,МНО!$B$16:$AB$104,16,0)</f>
        <v>1606</v>
      </c>
      <c r="X83" s="167">
        <f>VLOOKUP($C83,МНО!$B$16:$AB$104,8,0)</f>
        <v>1206</v>
      </c>
      <c r="Y83" s="167">
        <f>VLOOKUP($C83,МНО!$B$16:$AB$104,11,0)</f>
        <v>400</v>
      </c>
      <c r="Z83" s="172">
        <f>VLOOKUP($C83,МНО!$B$16:$AB$104,17,0)</f>
        <v>0.24906600249066002</v>
      </c>
      <c r="AA83" s="245"/>
      <c r="AB83" s="95">
        <f>VLOOKUP($C83,МНО!$B$16:$AB$104,13,0)</f>
        <v>5.7125234265651317</v>
      </c>
      <c r="AC83" s="154">
        <f>VLOOKUP($C83,МНО!$B$16:$AB$104,18,0)</f>
        <v>0.93560899922420482</v>
      </c>
      <c r="AD83" s="163">
        <f>VLOOKUP($C83,Контейнеры!$B$16:$AB$104,16,0)</f>
        <v>3529</v>
      </c>
      <c r="AE83" s="166">
        <f>VLOOKUP($C83,Контейнеры!$B$16:$AB$104,8,0)</f>
        <v>2829</v>
      </c>
      <c r="AF83" s="166">
        <f>VLOOKUP($C83,Контейнеры!$B$16:$AB$104,11,0)</f>
        <v>700</v>
      </c>
      <c r="AG83" s="173">
        <f>VLOOKUP($C83,Контейнеры!$B$16:$AB$104,17,0)</f>
        <v>0.19835647492207426</v>
      </c>
      <c r="AH83" s="245"/>
      <c r="AI83" s="95">
        <f>VLOOKUP($C83,Контейнеры!$B$16:$AB$104,13,0)</f>
        <v>13.422532204113587</v>
      </c>
      <c r="AJ83" s="154">
        <f>VLOOKUP($C83,Контейнеры!$B$16:$AB$104,18,0)</f>
        <v>0.57313614262560775</v>
      </c>
      <c r="AK83" s="135"/>
      <c r="AL83" s="94"/>
      <c r="AM83" s="94"/>
      <c r="AN83" s="116"/>
      <c r="AO83" s="79">
        <f>VLOOKUP($C83,Обработка!$B$16:$L$104,6,0)</f>
        <v>0</v>
      </c>
      <c r="AP83" s="76">
        <f t="shared" si="11"/>
        <v>-0.54300000000000004</v>
      </c>
      <c r="AQ83" s="74">
        <f>VLOOKUP($C83,Обработка!$B$16:$L$104,7,0)</f>
        <v>0.66700000000000004</v>
      </c>
      <c r="AR83" s="179">
        <f t="shared" si="12"/>
        <v>-0.14000000000000001</v>
      </c>
      <c r="AS83" s="180">
        <f>VLOOKUP($C83,Утилизация!$B$16:$L$104,6,0)</f>
        <v>0</v>
      </c>
      <c r="AT83" s="76">
        <f t="shared" si="13"/>
        <v>-0.13900000000000001</v>
      </c>
      <c r="AU83" s="74">
        <f>VLOOKUP($C83,Утилизация!$B$16:$L$104,7,0)</f>
        <v>0.25</v>
      </c>
      <c r="AV83" s="186">
        <f t="shared" si="14"/>
        <v>-3.5999999999999976E-2</v>
      </c>
      <c r="AW83" s="162" t="str">
        <f>VLOOKUP(C83,Захоронение!$B$16:$Q$104,16,0)</f>
        <v>765 приказ</v>
      </c>
      <c r="AX83" s="135"/>
      <c r="AY83" s="94"/>
      <c r="AZ83" s="94"/>
      <c r="BA83" s="98"/>
      <c r="BB83" s="127" t="str">
        <f>VLOOKUP(C83,'ДК ИП'!$B$16:$S$104,5,0)</f>
        <v>небольшое</v>
      </c>
      <c r="BC83" s="224">
        <f>VLOOKUP(C83,'Радар олд'!$B$3:$E$87,4,0)</f>
        <v>0.21825255616444855</v>
      </c>
      <c r="BD83" s="98"/>
      <c r="BI83" s="8">
        <f t="shared" si="15"/>
        <v>1</v>
      </c>
      <c r="BJ83" s="8">
        <f>VLOOKUP(C83,Штаб!$B$16:$C$104,2)</f>
        <v>1</v>
      </c>
      <c r="BK83" s="8">
        <f>VLOOKUP(C83,'РО - регионы'!$B$16:$C$104,2)</f>
        <v>1</v>
      </c>
      <c r="BL83" s="8">
        <f>VLOOKUP(C83,'РО - регионы'!$B$16:$L$104,11)</f>
        <v>2</v>
      </c>
      <c r="BM83" s="8">
        <f>VLOOKUP(C83,Спецтехника!$B$16:$C$104,2)</f>
        <v>2</v>
      </c>
      <c r="BN83" s="8">
        <f>VLOOKUP($C83,МНО!$B$16:$AB$104,6,0)</f>
        <v>1</v>
      </c>
      <c r="BO83" s="8">
        <f>VLOOKUP($C83,МНО!$B$16:$AB$104,4,0)</f>
        <v>1</v>
      </c>
      <c r="BP83" s="8">
        <f>VLOOKUP($C83,МНО!$B$16:$AB$104,5,0)</f>
        <v>0</v>
      </c>
      <c r="BQ83" s="8">
        <f>VLOOKUP($C83,Контейнеры!$B$16:$G$104,6,0)</f>
        <v>1</v>
      </c>
      <c r="BR83" s="8">
        <f>VLOOKUP($C83,Контейнеры!$B$16:$G$104,4,0)</f>
        <v>0</v>
      </c>
      <c r="BS83" s="8">
        <f>VLOOKUP($C83,Контейнеры!$B$16:$G$104,5,0)</f>
        <v>2</v>
      </c>
      <c r="BT83" s="8">
        <f>VLOOKUP($C83,'ДК МНО'!$B$16:$C$104,2,0)</f>
        <v>2</v>
      </c>
      <c r="BU83" s="8">
        <f>VLOOKUP($C83,Обработка!$B$16:$F$104,5,0)</f>
        <v>1</v>
      </c>
      <c r="BV83" s="8">
        <f>VLOOKUP($C83,Обработка!$B$16:$F$104,4,0)</f>
        <v>2</v>
      </c>
      <c r="BW83" s="8">
        <f>VLOOKUP($C83,Утилизация!$B$16:$F$104,5,0)</f>
        <v>1</v>
      </c>
      <c r="BX83" s="8">
        <f>VLOOKUP($C83,Утилизация!$B$16:$F$104,4,0)</f>
        <v>2</v>
      </c>
      <c r="BY83" s="8">
        <f>VLOOKUP($C83,Захоронение!$B$16:$C$104,2,0)</f>
        <v>2</v>
      </c>
      <c r="BZ83" s="8">
        <f>VLOOKUP($C83,'ДК ИП'!$B$16:$C$104,2,0)</f>
        <v>0</v>
      </c>
      <c r="CA83" s="8">
        <f t="shared" si="16"/>
        <v>1.25</v>
      </c>
    </row>
    <row r="84" spans="1:79" ht="30" customHeight="1">
      <c r="A84" s="9" t="s">
        <v>653</v>
      </c>
      <c r="B84" s="261">
        <f t="shared" si="17"/>
        <v>73</v>
      </c>
      <c r="C84" s="258" t="s">
        <v>23</v>
      </c>
      <c r="D84" s="227" t="str">
        <f>VLOOKUP($C84,Штаб!$B$16:$J$104,6,0)</f>
        <v>✔️</v>
      </c>
      <c r="E84" s="228" t="str">
        <f>VLOOKUP($C84,Штаб!$B$16:$J$104,7,0)</f>
        <v/>
      </c>
      <c r="F84" s="228" t="str">
        <f>VLOOKUP($C84,Штаб!$B$16:$J$104,8,0)</f>
        <v/>
      </c>
      <c r="G84" s="229" t="str">
        <f>VLOOKUP($C84,Штаб!$B$16:$J$104,9,0)</f>
        <v/>
      </c>
      <c r="H84" s="160" t="str">
        <f>VLOOKUP(C84,'РО - регионы'!$B$16:$I$104,8,0)</f>
        <v>0 / 1 / 1 из 2</v>
      </c>
      <c r="I84" s="237"/>
      <c r="J84" s="122"/>
      <c r="K84" s="94"/>
      <c r="L84" s="94"/>
      <c r="M84" s="98"/>
      <c r="N84" s="165">
        <f>VLOOKUP(C84,Спецтехника!$B$16:$J$104,4,0)</f>
        <v>445</v>
      </c>
      <c r="O84" s="168">
        <f>VLOOKUP(C84,Спецтехника!$B$16:$J$104,5,0)</f>
        <v>355</v>
      </c>
      <c r="P84" s="168">
        <f>VLOOKUP(C84,Спецтехника!$B$16:$J$104,6,0)</f>
        <v>90</v>
      </c>
      <c r="Q84" s="171">
        <f>VLOOKUP(C84,Спецтехника!$B$16:$J$104,7,0)</f>
        <v>0.20224719101123595</v>
      </c>
      <c r="R84" s="242"/>
      <c r="S84" s="122"/>
      <c r="T84" s="94"/>
      <c r="U84" s="94"/>
      <c r="V84" s="98"/>
      <c r="W84" s="164">
        <f>VLOOKUP($C84,МНО!$B$16:$AB$104,16,0)</f>
        <v>21541</v>
      </c>
      <c r="X84" s="167">
        <f>VLOOKUP($C84,МНО!$B$16:$AB$104,8,0)</f>
        <v>17919</v>
      </c>
      <c r="Y84" s="167">
        <f>VLOOKUP($C84,МНО!$B$16:$AB$104,11,0)</f>
        <v>3622</v>
      </c>
      <c r="Z84" s="172">
        <f>VLOOKUP($C84,МНО!$B$16:$AB$104,17,0)</f>
        <v>0.16814446868761895</v>
      </c>
      <c r="AA84" s="245"/>
      <c r="AB84" s="95">
        <f>VLOOKUP($C84,МНО!$B$16:$AB$104,13,0)</f>
        <v>7.4133128974137721</v>
      </c>
      <c r="AC84" s="154">
        <f>VLOOKUP($C84,МНО!$B$16:$AB$104,18,0)</f>
        <v>0.67669939577039273</v>
      </c>
      <c r="AD84" s="165">
        <f>VLOOKUP($C84,Контейнеры!$B$16:$AB$104,16,0)</f>
        <v>60489</v>
      </c>
      <c r="AE84" s="168">
        <f>VLOOKUP($C84,Контейнеры!$B$16:$AB$104,8,0)</f>
        <v>51790</v>
      </c>
      <c r="AF84" s="168">
        <f>VLOOKUP($C84,Контейнеры!$B$16:$AB$104,11,0)</f>
        <v>8699</v>
      </c>
      <c r="AG84" s="174">
        <f>VLOOKUP($C84,Контейнеры!$B$16:$AB$104,17,0)</f>
        <v>0.14381127147084594</v>
      </c>
      <c r="AH84" s="245"/>
      <c r="AI84" s="95">
        <f>VLOOKUP($C84,Контейнеры!$B$16:$AB$104,13,0)</f>
        <v>22.222346180300935</v>
      </c>
      <c r="AJ84" s="154">
        <f>VLOOKUP($C84,Контейнеры!$B$16:$AB$104,18,0)</f>
        <v>0.74391680312562847</v>
      </c>
      <c r="AK84" s="135"/>
      <c r="AL84" s="94"/>
      <c r="AM84" s="94"/>
      <c r="AN84" s="116"/>
      <c r="AO84" s="79">
        <f>VLOOKUP($C84,Обработка!$B$16:$L$104,6,0)</f>
        <v>2.8999999999999998E-2</v>
      </c>
      <c r="AP84" s="76">
        <f t="shared" si="11"/>
        <v>-0.51400000000000001</v>
      </c>
      <c r="AQ84" s="74">
        <f>VLOOKUP($C84,Обработка!$B$16:$L$104,7,0)</f>
        <v>0.55700000000000005</v>
      </c>
      <c r="AR84" s="179">
        <f t="shared" si="12"/>
        <v>-0.25</v>
      </c>
      <c r="AS84" s="180">
        <f>VLOOKUP($C84,Утилизация!$B$16:$L$104,6,0)</f>
        <v>4.0000000000000001E-3</v>
      </c>
      <c r="AT84" s="76">
        <f t="shared" si="13"/>
        <v>-0.13500000000000001</v>
      </c>
      <c r="AU84" s="74">
        <f>VLOOKUP($C84,Утилизация!$B$16:$L$104,7,0)</f>
        <v>0.24199999999999999</v>
      </c>
      <c r="AV84" s="186">
        <f t="shared" si="14"/>
        <v>-4.3999999999999984E-2</v>
      </c>
      <c r="AW84" s="162" t="str">
        <f>VLOOKUP(C84,Захоронение!$B$16:$Q$104,16,0)</f>
        <v>белые пятна</v>
      </c>
      <c r="AX84" s="135"/>
      <c r="AY84" s="94"/>
      <c r="AZ84" s="94"/>
      <c r="BA84" s="98"/>
      <c r="BB84" s="127" t="str">
        <f>VLOOKUP(C84,'ДК ИП'!$B$16:$S$104,5,0)</f>
        <v>нет</v>
      </c>
      <c r="BC84" s="224">
        <f>VLOOKUP(C84,'Радар олд'!$B$3:$E$87,4,0)</f>
        <v>2.1025197197040855E-2</v>
      </c>
      <c r="BD84" s="98"/>
      <c r="BI84" s="8">
        <f t="shared" si="15"/>
        <v>1</v>
      </c>
      <c r="BJ84" s="8">
        <f>VLOOKUP(C84,Штаб!$B$16:$C$104,2)</f>
        <v>0</v>
      </c>
      <c r="BK84" s="8">
        <f>VLOOKUP(C84,'РО - регионы'!$B$16:$C$104,2)</f>
        <v>1</v>
      </c>
      <c r="BL84" s="8">
        <f>VLOOKUP(C84,'РО - регионы'!$B$16:$L$104,11)</f>
        <v>2</v>
      </c>
      <c r="BM84" s="8">
        <f>VLOOKUP(C84,Спецтехника!$B$16:$C$104,2)</f>
        <v>2</v>
      </c>
      <c r="BN84" s="8">
        <f>VLOOKUP($C84,МНО!$B$16:$AB$104,6,0)</f>
        <v>0</v>
      </c>
      <c r="BO84" s="8">
        <f>VLOOKUP($C84,МНО!$B$16:$AB$104,4,0)</f>
        <v>0</v>
      </c>
      <c r="BP84" s="8">
        <f>VLOOKUP($C84,МНО!$B$16:$AB$104,5,0)</f>
        <v>1</v>
      </c>
      <c r="BQ84" s="8">
        <f>VLOOKUP($C84,Контейнеры!$B$16:$G$104,6,0)</f>
        <v>0</v>
      </c>
      <c r="BR84" s="8">
        <f>VLOOKUP($C84,Контейнеры!$B$16:$G$104,4,0)</f>
        <v>0</v>
      </c>
      <c r="BS84" s="8">
        <f>VLOOKUP($C84,Контейнеры!$B$16:$G$104,5,0)</f>
        <v>2</v>
      </c>
      <c r="BT84" s="8">
        <f>VLOOKUP($C84,'ДК МНО'!$B$16:$C$104,2,0)</f>
        <v>2</v>
      </c>
      <c r="BU84" s="8">
        <f>VLOOKUP($C84,Обработка!$B$16:$F$104,5,0)</f>
        <v>1</v>
      </c>
      <c r="BV84" s="8">
        <f>VLOOKUP($C84,Обработка!$B$16:$F$104,4,0)</f>
        <v>2</v>
      </c>
      <c r="BW84" s="8">
        <f>VLOOKUP($C84,Утилизация!$B$16:$F$104,5,0)</f>
        <v>1</v>
      </c>
      <c r="BX84" s="8">
        <f>VLOOKUP($C84,Утилизация!$B$16:$F$104,4,0)</f>
        <v>2</v>
      </c>
      <c r="BY84" s="8">
        <f>VLOOKUP($C84,Захоронение!$B$16:$C$104,2,0)</f>
        <v>2</v>
      </c>
      <c r="BZ84" s="8">
        <f>VLOOKUP($C84,'ДК ИП'!$B$16:$C$104,2,0)</f>
        <v>0</v>
      </c>
      <c r="CA84" s="8">
        <f t="shared" si="16"/>
        <v>1.1000000000000001</v>
      </c>
    </row>
    <row r="85" spans="1:79" ht="30" customHeight="1">
      <c r="A85" s="9" t="s">
        <v>654</v>
      </c>
      <c r="B85" s="261">
        <f t="shared" si="17"/>
        <v>74</v>
      </c>
      <c r="C85" s="258" t="s">
        <v>88</v>
      </c>
      <c r="D85" s="227" t="str">
        <f>VLOOKUP($C85,Штаб!$B$16:$J$104,6,0)</f>
        <v>✔️</v>
      </c>
      <c r="E85" s="228" t="str">
        <f>VLOOKUP($C85,Штаб!$B$16:$J$104,7,0)</f>
        <v/>
      </c>
      <c r="F85" s="228" t="str">
        <f>VLOOKUP($C85,Штаб!$B$16:$J$104,8,0)</f>
        <v/>
      </c>
      <c r="G85" s="229" t="str">
        <f>VLOOKUP($C85,Штаб!$B$16:$J$104,9,0)</f>
        <v/>
      </c>
      <c r="H85" s="160" t="str">
        <f>VLOOKUP(C85,'РО - регионы'!$B$16:$I$104,8,0)</f>
        <v>0 / 18 / 3 из 21</v>
      </c>
      <c r="I85" s="237"/>
      <c r="J85" s="122"/>
      <c r="K85" s="94"/>
      <c r="L85" s="94"/>
      <c r="M85" s="98"/>
      <c r="N85" s="165">
        <f>VLOOKUP(C85,Спецтехника!$B$16:$J$104,4,0)</f>
        <v>50</v>
      </c>
      <c r="O85" s="168">
        <f>VLOOKUP(C85,Спецтехника!$B$16:$J$104,5,0)</f>
        <v>40</v>
      </c>
      <c r="P85" s="168">
        <f>VLOOKUP(C85,Спецтехника!$B$16:$J$104,6,0)</f>
        <v>10</v>
      </c>
      <c r="Q85" s="171">
        <f>VLOOKUP(C85,Спецтехника!$B$16:$J$104,7,0)</f>
        <v>0.2</v>
      </c>
      <c r="R85" s="242"/>
      <c r="S85" s="122"/>
      <c r="T85" s="94"/>
      <c r="U85" s="94"/>
      <c r="V85" s="98"/>
      <c r="W85" s="165">
        <f>VLOOKUP($C85,МНО!$B$16:$AB$104,16,0)</f>
        <v>722</v>
      </c>
      <c r="X85" s="168">
        <f>VLOOKUP($C85,МНО!$B$16:$AB$104,8,0)</f>
        <v>478</v>
      </c>
      <c r="Y85" s="168">
        <f>VLOOKUP($C85,МНО!$B$16:$AB$104,11,0)</f>
        <v>244</v>
      </c>
      <c r="Z85" s="174">
        <f>VLOOKUP($C85,МНО!$B$16:$AB$104,17,0)</f>
        <v>0.33795013850415512</v>
      </c>
      <c r="AA85" s="245"/>
      <c r="AB85" s="95">
        <f>VLOOKUP($C85,МНО!$B$16:$AB$104,13,0)</f>
        <v>9.9314997189198202</v>
      </c>
      <c r="AC85" s="154">
        <f>VLOOKUP($C85,МНО!$B$16:$AB$104,18,0)</f>
        <v>1</v>
      </c>
      <c r="AD85" s="164">
        <f>VLOOKUP($C85,Контейнеры!$B$16:$AB$104,16,0)</f>
        <v>1691</v>
      </c>
      <c r="AE85" s="167">
        <f>VLOOKUP($C85,Контейнеры!$B$16:$AB$104,8,0)</f>
        <v>1292</v>
      </c>
      <c r="AF85" s="167">
        <f>VLOOKUP($C85,Контейнеры!$B$16:$AB$104,11,0)</f>
        <v>399</v>
      </c>
      <c r="AG85" s="172">
        <f>VLOOKUP($C85,Контейнеры!$B$16:$AB$104,17,0)</f>
        <v>0.23595505617977527</v>
      </c>
      <c r="AH85" s="245"/>
      <c r="AI85" s="95">
        <f>VLOOKUP($C85,Контейнеры!$B$16:$AB$104,13,0)</f>
        <v>26.900414333007141</v>
      </c>
      <c r="AJ85" s="154">
        <f>VLOOKUP($C85,Контейнеры!$B$16:$AB$104,18,0)</f>
        <v>1</v>
      </c>
      <c r="AK85" s="135"/>
      <c r="AL85" s="94"/>
      <c r="AM85" s="94"/>
      <c r="AN85" s="116"/>
      <c r="AO85" s="79">
        <f>VLOOKUP($C85,Обработка!$B$16:$L$104,6,0)</f>
        <v>0.24399999999999999</v>
      </c>
      <c r="AP85" s="76">
        <f t="shared" si="11"/>
        <v>-0.29900000000000004</v>
      </c>
      <c r="AQ85" s="74">
        <f>VLOOKUP($C85,Обработка!$B$16:$L$104,7,0)</f>
        <v>0.66099999999999992</v>
      </c>
      <c r="AR85" s="179">
        <f t="shared" si="12"/>
        <v>-0.14600000000000013</v>
      </c>
      <c r="AS85" s="180">
        <f>VLOOKUP($C85,Утилизация!$B$16:$L$104,6,0)</f>
        <v>0.23100000000000001</v>
      </c>
      <c r="AT85" s="76">
        <f t="shared" si="13"/>
        <v>9.1999999999999998E-2</v>
      </c>
      <c r="AU85" s="74">
        <f>VLOOKUP($C85,Утилизация!$B$16:$L$104,7,0)</f>
        <v>0.25</v>
      </c>
      <c r="AV85" s="186">
        <f t="shared" si="14"/>
        <v>-3.5999999999999976E-2</v>
      </c>
      <c r="AW85" s="162" t="str">
        <f>VLOOKUP(C85,Захоронение!$B$16:$Q$104,16,0)</f>
        <v>свалки</v>
      </c>
      <c r="AX85" s="135"/>
      <c r="AY85" s="94"/>
      <c r="AZ85" s="94"/>
      <c r="BA85" s="98"/>
      <c r="BB85" s="127" t="str">
        <f>VLOOKUP(C85,'ДК ИП'!$B$16:$S$104,5,0)</f>
        <v>небольшое</v>
      </c>
      <c r="BC85" s="224" t="e">
        <f>VLOOKUP(C85,'Радар олд'!$B$3:$E$87,4,0)</f>
        <v>#N/A</v>
      </c>
      <c r="BD85" s="98"/>
      <c r="BI85" s="8">
        <f t="shared" si="15"/>
        <v>1</v>
      </c>
      <c r="BJ85" s="8">
        <f>VLOOKUP(C85,Штаб!$B$16:$C$104,2)</f>
        <v>0</v>
      </c>
      <c r="BK85" s="8">
        <f>VLOOKUP(C85,'РО - регионы'!$B$16:$C$104,2)</f>
        <v>1</v>
      </c>
      <c r="BL85" s="8">
        <f>VLOOKUP(C85,'РО - регионы'!$B$16:$L$104,11)</f>
        <v>2</v>
      </c>
      <c r="BM85" s="8">
        <f>VLOOKUP(C85,Спецтехника!$B$16:$C$104,2)</f>
        <v>2</v>
      </c>
      <c r="BN85" s="8">
        <f>VLOOKUP($C85,МНО!$B$16:$AB$104,6,0)</f>
        <v>1</v>
      </c>
      <c r="BO85" s="8">
        <f>VLOOKUP($C85,МНО!$B$16:$AB$104,4,0)</f>
        <v>0</v>
      </c>
      <c r="BP85" s="8">
        <f>VLOOKUP($C85,МНО!$B$16:$AB$104,5,0)</f>
        <v>0</v>
      </c>
      <c r="BQ85" s="8">
        <f>VLOOKUP($C85,Контейнеры!$B$16:$G$104,6,0)</f>
        <v>1</v>
      </c>
      <c r="BR85" s="8">
        <f>VLOOKUP($C85,Контейнеры!$B$16:$G$104,4,0)</f>
        <v>0</v>
      </c>
      <c r="BS85" s="8">
        <f>VLOOKUP($C85,Контейнеры!$B$16:$G$104,5,0)</f>
        <v>0</v>
      </c>
      <c r="BT85" s="8">
        <f>VLOOKUP($C85,'ДК МНО'!$B$16:$C$104,2,0)</f>
        <v>2</v>
      </c>
      <c r="BU85" s="8">
        <f>VLOOKUP($C85,Обработка!$B$16:$F$104,5,0)</f>
        <v>1</v>
      </c>
      <c r="BV85" s="8">
        <f>VLOOKUP($C85,Обработка!$B$16:$F$104,4,0)</f>
        <v>2</v>
      </c>
      <c r="BW85" s="8">
        <f>VLOOKUP($C85,Утилизация!$B$16:$F$104,5,0)</f>
        <v>1</v>
      </c>
      <c r="BX85" s="8">
        <f>VLOOKUP($C85,Утилизация!$B$16:$F$104,4,0)</f>
        <v>2</v>
      </c>
      <c r="BY85" s="8">
        <f>VLOOKUP($C85,Захоронение!$B$16:$C$104,2,0)</f>
        <v>2</v>
      </c>
      <c r="BZ85" s="8">
        <f>VLOOKUP($C85,'ДК ИП'!$B$16:$C$104,2,0)</f>
        <v>0</v>
      </c>
      <c r="CA85" s="8">
        <f t="shared" si="16"/>
        <v>1.2000000000000002</v>
      </c>
    </row>
    <row r="86" spans="1:79" ht="30" customHeight="1">
      <c r="A86" s="9" t="s">
        <v>654</v>
      </c>
      <c r="B86" s="261">
        <f t="shared" si="17"/>
        <v>75</v>
      </c>
      <c r="C86" s="258" t="s">
        <v>9</v>
      </c>
      <c r="D86" s="227" t="str">
        <f>VLOOKUP($C86,Штаб!$B$16:$J$104,6,0)</f>
        <v>✔️</v>
      </c>
      <c r="E86" s="228" t="str">
        <f>VLOOKUP($C86,Штаб!$B$16:$J$104,7,0)</f>
        <v/>
      </c>
      <c r="F86" s="228" t="str">
        <f>VLOOKUP($C86,Штаб!$B$16:$J$104,8,0)</f>
        <v/>
      </c>
      <c r="G86" s="229" t="str">
        <f>VLOOKUP($C86,Штаб!$B$16:$J$104,9,0)</f>
        <v/>
      </c>
      <c r="H86" s="160" t="str">
        <f>VLOOKUP(C86,'РО - регионы'!$B$16:$I$104,8,0)</f>
        <v>0 / 3 / 2 из 5</v>
      </c>
      <c r="I86" s="237"/>
      <c r="J86" s="122"/>
      <c r="K86" s="94"/>
      <c r="L86" s="94"/>
      <c r="M86" s="98"/>
      <c r="N86" s="163">
        <f>VLOOKUP(C86,Спецтехника!$B$16:$J$104,4,0)</f>
        <v>260</v>
      </c>
      <c r="O86" s="166">
        <f>VLOOKUP(C86,Спецтехника!$B$16:$J$104,5,0)</f>
        <v>260</v>
      </c>
      <c r="P86" s="166">
        <f>VLOOKUP(C86,Спецтехника!$B$16:$J$104,6,0)</f>
        <v>0</v>
      </c>
      <c r="Q86" s="169">
        <f>VLOOKUP(C86,Спецтехника!$B$16:$J$104,7,0)</f>
        <v>0</v>
      </c>
      <c r="R86" s="242"/>
      <c r="S86" s="122"/>
      <c r="T86" s="94"/>
      <c r="U86" s="94"/>
      <c r="V86" s="98"/>
      <c r="W86" s="164">
        <f>VLOOKUP($C86,МНО!$B$16:$AB$104,16,0)</f>
        <v>17035</v>
      </c>
      <c r="X86" s="167">
        <f>VLOOKUP($C86,МНО!$B$16:$AB$104,8,0)</f>
        <v>13606</v>
      </c>
      <c r="Y86" s="167">
        <f>VLOOKUP($C86,МНО!$B$16:$AB$104,11,0)</f>
        <v>3429</v>
      </c>
      <c r="Z86" s="172">
        <f>VLOOKUP($C86,МНО!$B$16:$AB$104,17,0)</f>
        <v>0.20129145876137364</v>
      </c>
      <c r="AA86" s="245"/>
      <c r="AB86" s="95">
        <f>VLOOKUP($C86,МНО!$B$16:$AB$104,13,0)</f>
        <v>16.439514027114335</v>
      </c>
      <c r="AC86" s="154">
        <f>VLOOKUP($C86,МНО!$B$16:$AB$104,18,0)</f>
        <v>1</v>
      </c>
      <c r="AD86" s="164">
        <f>VLOOKUP($C86,Контейнеры!$B$16:$AB$104,16,0)</f>
        <v>28111</v>
      </c>
      <c r="AE86" s="167">
        <f>VLOOKUP($C86,Контейнеры!$B$16:$AB$104,8,0)</f>
        <v>23969</v>
      </c>
      <c r="AF86" s="167">
        <f>VLOOKUP($C86,Контейнеры!$B$16:$AB$104,11,0)</f>
        <v>4142</v>
      </c>
      <c r="AG86" s="172">
        <f>VLOOKUP($C86,Контейнеры!$B$16:$AB$104,17,0)</f>
        <v>0.14734445590694034</v>
      </c>
      <c r="AH86" s="245"/>
      <c r="AI86" s="95">
        <f>VLOOKUP($C86,Контейнеры!$B$16:$AB$104,13,0)</f>
        <v>31.955130298913588</v>
      </c>
      <c r="AJ86" s="154">
        <f>VLOOKUP($C86,Контейнеры!$B$16:$AB$104,18,0)</f>
        <v>1</v>
      </c>
      <c r="AK86" s="135"/>
      <c r="AL86" s="94"/>
      <c r="AM86" s="94"/>
      <c r="AN86" s="116"/>
      <c r="AO86" s="79">
        <f>VLOOKUP($C86,Обработка!$B$16:$L$104,6,0)</f>
        <v>1E-3</v>
      </c>
      <c r="AP86" s="76">
        <f t="shared" si="11"/>
        <v>-0.54200000000000004</v>
      </c>
      <c r="AQ86" s="76">
        <f>VLOOKUP($C86,Обработка!$B$16:$L$104,7,0)</f>
        <v>0.23699999999999999</v>
      </c>
      <c r="AR86" s="177">
        <f t="shared" si="12"/>
        <v>-0.57000000000000006</v>
      </c>
      <c r="AS86" s="180">
        <f>VLOOKUP($C86,Утилизация!$B$16:$L$104,6,0)</f>
        <v>0</v>
      </c>
      <c r="AT86" s="76">
        <f t="shared" si="13"/>
        <v>-0.13900000000000001</v>
      </c>
      <c r="AU86" s="76">
        <f>VLOOKUP($C86,Утилизация!$B$16:$L$104,7,0)</f>
        <v>0.1</v>
      </c>
      <c r="AV86" s="184">
        <f t="shared" si="14"/>
        <v>-0.18599999999999997</v>
      </c>
      <c r="AW86" s="162" t="str">
        <f>VLOOKUP(C86,Захоронение!$B$16:$Q$104,16,0)</f>
        <v>белые пятна</v>
      </c>
      <c r="AX86" s="135"/>
      <c r="AY86" s="94"/>
      <c r="AZ86" s="94"/>
      <c r="BA86" s="98"/>
      <c r="BB86" s="127" t="str">
        <f>VLOOKUP(C86,'ДК ИП'!$B$16:$S$104,5,0)</f>
        <v>среднее</v>
      </c>
      <c r="BC86" s="224">
        <f>VLOOKUP(C86,'Радар олд'!$B$3:$E$87,4,0)</f>
        <v>4.6968135526335084</v>
      </c>
      <c r="BD86" s="98"/>
      <c r="BI86" s="8">
        <f t="shared" si="15"/>
        <v>1</v>
      </c>
      <c r="BJ86" s="8">
        <f>VLOOKUP(C86,Штаб!$B$16:$C$104,2)</f>
        <v>0</v>
      </c>
      <c r="BK86" s="8">
        <f>VLOOKUP(C86,'РО - регионы'!$B$16:$C$104,2)</f>
        <v>1</v>
      </c>
      <c r="BL86" s="8">
        <f>VLOOKUP(C86,'РО - регионы'!$B$16:$L$104,11)</f>
        <v>2</v>
      </c>
      <c r="BM86" s="8">
        <f>VLOOKUP(C86,Спецтехника!$B$16:$C$104,2)</f>
        <v>0</v>
      </c>
      <c r="BN86" s="8">
        <f>VLOOKUP($C86,МНО!$B$16:$AB$104,6,0)</f>
        <v>1</v>
      </c>
      <c r="BO86" s="8">
        <f>VLOOKUP($C86,МНО!$B$16:$AB$104,4,0)</f>
        <v>0</v>
      </c>
      <c r="BP86" s="8">
        <f>VLOOKUP($C86,МНО!$B$16:$AB$104,5,0)</f>
        <v>0</v>
      </c>
      <c r="BQ86" s="8">
        <f>VLOOKUP($C86,Контейнеры!$B$16:$G$104,6,0)</f>
        <v>0</v>
      </c>
      <c r="BR86" s="8">
        <f>VLOOKUP($C86,Контейнеры!$B$16:$G$104,4,0)</f>
        <v>0</v>
      </c>
      <c r="BS86" s="8">
        <f>VLOOKUP($C86,Контейнеры!$B$16:$G$104,5,0)</f>
        <v>0</v>
      </c>
      <c r="BT86" s="8">
        <f>VLOOKUP($C86,'ДК МНО'!$B$16:$C$104,2,0)</f>
        <v>2</v>
      </c>
      <c r="BU86" s="8">
        <f>VLOOKUP($C86,Обработка!$B$16:$F$104,5,0)</f>
        <v>2</v>
      </c>
      <c r="BV86" s="8">
        <f>VLOOKUP($C86,Обработка!$B$16:$F$104,4,0)</f>
        <v>2</v>
      </c>
      <c r="BW86" s="8">
        <f>VLOOKUP($C86,Утилизация!$B$16:$F$104,5,0)</f>
        <v>2</v>
      </c>
      <c r="BX86" s="8">
        <f>VLOOKUP($C86,Утилизация!$B$16:$F$104,4,0)</f>
        <v>2</v>
      </c>
      <c r="BY86" s="8">
        <f>VLOOKUP($C86,Захоронение!$B$16:$C$104,2,0)</f>
        <v>2</v>
      </c>
      <c r="BZ86" s="8">
        <f>VLOOKUP($C86,'ДК ИП'!$B$16:$C$104,2,0)</f>
        <v>1</v>
      </c>
      <c r="CA86" s="8">
        <f t="shared" si="16"/>
        <v>1.25</v>
      </c>
    </row>
    <row r="87" spans="1:79" ht="30" customHeight="1">
      <c r="A87" s="9" t="s">
        <v>658</v>
      </c>
      <c r="B87" s="261">
        <f t="shared" si="17"/>
        <v>76</v>
      </c>
      <c r="C87" s="258" t="s">
        <v>64</v>
      </c>
      <c r="D87" s="227" t="str">
        <f>VLOOKUP($C87,Штаб!$B$16:$J$104,6,0)</f>
        <v/>
      </c>
      <c r="E87" s="228" t="str">
        <f>VLOOKUP($C87,Штаб!$B$16:$J$104,7,0)</f>
        <v/>
      </c>
      <c r="F87" s="228" t="str">
        <f>VLOOKUP($C87,Штаб!$B$16:$J$104,8,0)</f>
        <v/>
      </c>
      <c r="G87" s="229" t="str">
        <f>VLOOKUP($C87,Штаб!$B$16:$J$104,9,0)</f>
        <v>✔️</v>
      </c>
      <c r="H87" s="160" t="str">
        <f>VLOOKUP(C87,'РО - регионы'!$B$16:$I$104,8,0)</f>
        <v>0 / 1 / 1 из 2</v>
      </c>
      <c r="I87" s="237"/>
      <c r="J87" s="122"/>
      <c r="K87" s="94"/>
      <c r="L87" s="94"/>
      <c r="M87" s="98"/>
      <c r="N87" s="163">
        <f>VLOOKUP(C87,Спецтехника!$B$16:$J$104,4,0)</f>
        <v>67</v>
      </c>
      <c r="O87" s="166">
        <f>VLOOKUP(C87,Спецтехника!$B$16:$J$104,5,0)</f>
        <v>67</v>
      </c>
      <c r="P87" s="166">
        <f>VLOOKUP(C87,Спецтехника!$B$16:$J$104,6,0)</f>
        <v>0</v>
      </c>
      <c r="Q87" s="169">
        <f>VLOOKUP(C87,Спецтехника!$B$16:$J$104,7,0)</f>
        <v>0</v>
      </c>
      <c r="R87" s="242"/>
      <c r="S87" s="122"/>
      <c r="T87" s="94"/>
      <c r="U87" s="94"/>
      <c r="V87" s="98"/>
      <c r="W87" s="164">
        <f>VLOOKUP($C87,МНО!$B$16:$AB$104,16,0)</f>
        <v>3589</v>
      </c>
      <c r="X87" s="167">
        <f>VLOOKUP($C87,МНО!$B$16:$AB$104,8,0)</f>
        <v>2989</v>
      </c>
      <c r="Y87" s="167">
        <f>VLOOKUP($C87,МНО!$B$16:$AB$104,11,0)</f>
        <v>600</v>
      </c>
      <c r="Z87" s="172">
        <f>VLOOKUP($C87,МНО!$B$16:$AB$104,17,0)</f>
        <v>0.16717748676511562</v>
      </c>
      <c r="AA87" s="245"/>
      <c r="AB87" s="95">
        <f>VLOOKUP($C87,МНО!$B$16:$AB$104,13,0)</f>
        <v>3.927062112688712</v>
      </c>
      <c r="AC87" s="154">
        <f>VLOOKUP($C87,МНО!$B$16:$AB$104,18,0)</f>
        <v>1</v>
      </c>
      <c r="AD87" s="164">
        <f>VLOOKUP($C87,Контейнеры!$B$16:$AB$104,16,0)</f>
        <v>7292</v>
      </c>
      <c r="AE87" s="167">
        <f>VLOOKUP($C87,Контейнеры!$B$16:$AB$104,8,0)</f>
        <v>6272</v>
      </c>
      <c r="AF87" s="167">
        <f>VLOOKUP($C87,Контейнеры!$B$16:$AB$104,11,0)</f>
        <v>1020</v>
      </c>
      <c r="AG87" s="172">
        <f>VLOOKUP($C87,Контейнеры!$B$16:$AB$104,17,0)</f>
        <v>0.1398793198025233</v>
      </c>
      <c r="AH87" s="245"/>
      <c r="AI87" s="95">
        <f>VLOOKUP($C87,Контейнеры!$B$16:$AB$104,13,0)</f>
        <v>9.2387597789885962</v>
      </c>
      <c r="AJ87" s="154">
        <f>VLOOKUP($C87,Контейнеры!$B$16:$AB$104,18,0)</f>
        <v>1</v>
      </c>
      <c r="AK87" s="135"/>
      <c r="AL87" s="94"/>
      <c r="AM87" s="94"/>
      <c r="AN87" s="116"/>
      <c r="AO87" s="79">
        <f>VLOOKUP($C87,Обработка!$B$16:$L$104,6,0)</f>
        <v>4.2999999999999997E-2</v>
      </c>
      <c r="AP87" s="76">
        <f t="shared" si="11"/>
        <v>-0.5</v>
      </c>
      <c r="AQ87" s="74">
        <f>VLOOKUP($C87,Обработка!$B$16:$L$104,7,0)</f>
        <v>0.7</v>
      </c>
      <c r="AR87" s="179">
        <f t="shared" si="12"/>
        <v>-0.1070000000000001</v>
      </c>
      <c r="AS87" s="180">
        <f>VLOOKUP($C87,Утилизация!$B$16:$L$104,6,0)</f>
        <v>1E-3</v>
      </c>
      <c r="AT87" s="76">
        <f t="shared" si="13"/>
        <v>-0.13800000000000001</v>
      </c>
      <c r="AU87" s="76">
        <f>VLOOKUP($C87,Утилизация!$B$16:$L$104,7,0)</f>
        <v>0.09</v>
      </c>
      <c r="AV87" s="184">
        <f t="shared" si="14"/>
        <v>-0.19599999999999998</v>
      </c>
      <c r="AW87" s="162" t="str">
        <f>VLOOKUP(C87,Захоронение!$B$16:$Q$104,16,0)</f>
        <v>белые пятна</v>
      </c>
      <c r="AX87" s="135"/>
      <c r="AY87" s="94"/>
      <c r="AZ87" s="94"/>
      <c r="BA87" s="98"/>
      <c r="BB87" s="127" t="str">
        <f>VLOOKUP(C87,'ДК ИП'!$B$16:$S$104,5,0)</f>
        <v>среднее</v>
      </c>
      <c r="BC87" s="224">
        <f>VLOOKUP(C87,'Радар олд'!$B$3:$E$87,4,0)</f>
        <v>1.4730165463948657E-2</v>
      </c>
      <c r="BD87" s="98"/>
      <c r="BI87" s="8">
        <f t="shared" si="15"/>
        <v>1</v>
      </c>
      <c r="BJ87" s="8">
        <f>VLOOKUP(C87,Штаб!$B$16:$C$104,2)</f>
        <v>2</v>
      </c>
      <c r="BK87" s="8">
        <f>VLOOKUP(C87,'РО - регионы'!$B$16:$C$104,2)</f>
        <v>1</v>
      </c>
      <c r="BL87" s="8">
        <f>VLOOKUP(C87,'РО - регионы'!$B$16:$L$104,11)</f>
        <v>2</v>
      </c>
      <c r="BM87" s="8">
        <f>VLOOKUP(C87,Спецтехника!$B$16:$C$104,2)</f>
        <v>0</v>
      </c>
      <c r="BN87" s="8">
        <f>VLOOKUP($C87,МНО!$B$16:$AB$104,6,0)</f>
        <v>0</v>
      </c>
      <c r="BO87" s="8">
        <f>VLOOKUP($C87,МНО!$B$16:$AB$104,4,0)</f>
        <v>1</v>
      </c>
      <c r="BP87" s="8">
        <f>VLOOKUP($C87,МНО!$B$16:$AB$104,5,0)</f>
        <v>0</v>
      </c>
      <c r="BQ87" s="8">
        <f>VLOOKUP($C87,Контейнеры!$B$16:$G$104,6,0)</f>
        <v>0</v>
      </c>
      <c r="BR87" s="8">
        <f>VLOOKUP($C87,Контейнеры!$B$16:$G$104,4,0)</f>
        <v>0</v>
      </c>
      <c r="BS87" s="8">
        <f>VLOOKUP($C87,Контейнеры!$B$16:$G$104,5,0)</f>
        <v>0</v>
      </c>
      <c r="BT87" s="8">
        <f>VLOOKUP($C87,'ДК МНО'!$B$16:$C$104,2,0)</f>
        <v>2</v>
      </c>
      <c r="BU87" s="8">
        <f>VLOOKUP($C87,Обработка!$B$16:$F$104,5,0)</f>
        <v>1</v>
      </c>
      <c r="BV87" s="8">
        <f>VLOOKUP($C87,Обработка!$B$16:$F$104,4,0)</f>
        <v>2</v>
      </c>
      <c r="BW87" s="8">
        <f>VLOOKUP($C87,Утилизация!$B$16:$F$104,5,0)</f>
        <v>2</v>
      </c>
      <c r="BX87" s="8">
        <f>VLOOKUP($C87,Утилизация!$B$16:$F$104,4,0)</f>
        <v>2</v>
      </c>
      <c r="BY87" s="8">
        <f>VLOOKUP($C87,Захоронение!$B$16:$C$104,2,0)</f>
        <v>2</v>
      </c>
      <c r="BZ87" s="8">
        <f>VLOOKUP($C87,'ДК ИП'!$B$16:$C$104,2,0)</f>
        <v>1</v>
      </c>
      <c r="CA87" s="8">
        <f t="shared" si="16"/>
        <v>1.2000000000000002</v>
      </c>
    </row>
    <row r="88" spans="1:79" ht="30" customHeight="1">
      <c r="A88" s="9" t="s">
        <v>653</v>
      </c>
      <c r="B88" s="261">
        <f t="shared" si="17"/>
        <v>77</v>
      </c>
      <c r="C88" s="258" t="s">
        <v>67</v>
      </c>
      <c r="D88" s="227" t="str">
        <f>VLOOKUP($C88,Штаб!$B$16:$J$104,6,0)</f>
        <v>✔️</v>
      </c>
      <c r="E88" s="228" t="str">
        <f>VLOOKUP($C88,Штаб!$B$16:$J$104,7,0)</f>
        <v/>
      </c>
      <c r="F88" s="228" t="str">
        <f>VLOOKUP($C88,Штаб!$B$16:$J$104,8,0)</f>
        <v/>
      </c>
      <c r="G88" s="229" t="str">
        <f>VLOOKUP($C88,Штаб!$B$16:$J$104,9,0)</f>
        <v/>
      </c>
      <c r="H88" s="160" t="str">
        <f>VLOOKUP(C88,'РО - регионы'!$B$16:$I$104,8,0)</f>
        <v>1 / 3 / 1 из 5</v>
      </c>
      <c r="I88" s="237"/>
      <c r="J88" s="122"/>
      <c r="K88" s="94"/>
      <c r="L88" s="94"/>
      <c r="M88" s="98"/>
      <c r="N88" s="163">
        <f>VLOOKUP(C88,Спецтехника!$B$16:$J$104,4,0)</f>
        <v>41</v>
      </c>
      <c r="O88" s="166">
        <f>VLOOKUP(C88,Спецтехника!$B$16:$J$104,5,0)</f>
        <v>41</v>
      </c>
      <c r="P88" s="166">
        <f>VLOOKUP(C88,Спецтехника!$B$16:$J$104,6,0)</f>
        <v>0</v>
      </c>
      <c r="Q88" s="169">
        <f>VLOOKUP(C88,Спецтехника!$B$16:$J$104,7,0)</f>
        <v>0</v>
      </c>
      <c r="R88" s="242"/>
      <c r="S88" s="122"/>
      <c r="T88" s="94"/>
      <c r="U88" s="94"/>
      <c r="V88" s="98"/>
      <c r="W88" s="165">
        <f>VLOOKUP($C88,МНО!$B$16:$AB$104,16,0)</f>
        <v>8171</v>
      </c>
      <c r="X88" s="168">
        <f>VLOOKUP($C88,МНО!$B$16:$AB$104,8,0)</f>
        <v>2585</v>
      </c>
      <c r="Y88" s="168">
        <f>VLOOKUP($C88,МНО!$B$16:$AB$104,11,0)</f>
        <v>5586</v>
      </c>
      <c r="Z88" s="174">
        <f>VLOOKUP($C88,МНО!$B$16:$AB$104,17,0)</f>
        <v>0.68363725370211725</v>
      </c>
      <c r="AA88" s="245"/>
      <c r="AB88" s="95">
        <f>VLOOKUP($C88,МНО!$B$16:$AB$104,13,0)</f>
        <v>3.7033180290623373</v>
      </c>
      <c r="AC88" s="154">
        <f>VLOOKUP($C88,МНО!$B$16:$AB$104,18,0)</f>
        <v>0.45833333333333331</v>
      </c>
      <c r="AD88" s="165">
        <f>VLOOKUP($C88,Контейнеры!$B$16:$AB$104,16,0)</f>
        <v>10611</v>
      </c>
      <c r="AE88" s="168">
        <f>VLOOKUP($C88,Контейнеры!$B$16:$AB$104,8,0)</f>
        <v>4867</v>
      </c>
      <c r="AF88" s="168">
        <f>VLOOKUP($C88,Контейнеры!$B$16:$AB$104,11,0)</f>
        <v>5744</v>
      </c>
      <c r="AG88" s="174">
        <f>VLOOKUP($C88,Контейнеры!$B$16:$AB$104,17,0)</f>
        <v>0.54132504005277537</v>
      </c>
      <c r="AH88" s="245"/>
      <c r="AI88" s="95">
        <f>VLOOKUP($C88,Контейнеры!$B$16:$AB$104,13,0)</f>
        <v>9.2147488995124718</v>
      </c>
      <c r="AJ88" s="154">
        <f>VLOOKUP($C88,Контейнеры!$B$16:$AB$104,18,0)</f>
        <v>0.47725044126299276</v>
      </c>
      <c r="AK88" s="135"/>
      <c r="AL88" s="94"/>
      <c r="AM88" s="94"/>
      <c r="AN88" s="116"/>
      <c r="AO88" s="79">
        <f>VLOOKUP($C88,Обработка!$B$16:$L$104,6,0)</f>
        <v>0</v>
      </c>
      <c r="AP88" s="76">
        <f t="shared" si="11"/>
        <v>-0.54300000000000004</v>
      </c>
      <c r="AQ88" s="74">
        <f>VLOOKUP($C88,Обработка!$B$16:$L$104,7,0)</f>
        <v>0.6</v>
      </c>
      <c r="AR88" s="179">
        <f t="shared" si="12"/>
        <v>-0.20700000000000007</v>
      </c>
      <c r="AS88" s="180">
        <f>VLOOKUP($C88,Утилизация!$B$16:$L$104,6,0)</f>
        <v>0</v>
      </c>
      <c r="AT88" s="76">
        <f t="shared" si="13"/>
        <v>-0.13900000000000001</v>
      </c>
      <c r="AU88" s="75">
        <f>VLOOKUP($C88,Утилизация!$B$16:$L$104,7,0)</f>
        <v>0.35</v>
      </c>
      <c r="AV88" s="185">
        <f t="shared" si="14"/>
        <v>6.4000000000000001E-2</v>
      </c>
      <c r="AW88" s="162" t="str">
        <f>VLOOKUP(C88,Захоронение!$B$16:$Q$104,16,0)</f>
        <v>765 приказ</v>
      </c>
      <c r="AX88" s="135"/>
      <c r="AY88" s="94"/>
      <c r="AZ88" s="94"/>
      <c r="BA88" s="98"/>
      <c r="BB88" s="127" t="str">
        <f>VLOOKUP(C88,'ДК ИП'!$B$16:$S$104,5,0)</f>
        <v>среднее</v>
      </c>
      <c r="BC88" s="224">
        <f>VLOOKUP(C88,'Радар олд'!$B$3:$E$87,4,0)</f>
        <v>0.35404932077436452</v>
      </c>
      <c r="BD88" s="98"/>
      <c r="BI88" s="8">
        <f t="shared" si="15"/>
        <v>2</v>
      </c>
      <c r="BJ88" s="8">
        <f>VLOOKUP(C88,Штаб!$B$16:$C$104,2)</f>
        <v>0</v>
      </c>
      <c r="BK88" s="8">
        <f>VLOOKUP(C88,'РО - регионы'!$B$16:$C$104,2)</f>
        <v>2</v>
      </c>
      <c r="BL88" s="8">
        <f>VLOOKUP(C88,'РО - регионы'!$B$16:$L$104,11)</f>
        <v>2</v>
      </c>
      <c r="BM88" s="8">
        <f>VLOOKUP(C88,Спецтехника!$B$16:$C$104,2)</f>
        <v>0</v>
      </c>
      <c r="BN88" s="8">
        <f>VLOOKUP($C88,МНО!$B$16:$AB$104,6,0)</f>
        <v>2</v>
      </c>
      <c r="BO88" s="8">
        <f>VLOOKUP($C88,МНО!$B$16:$AB$104,4,0)</f>
        <v>1</v>
      </c>
      <c r="BP88" s="8">
        <f>VLOOKUP($C88,МНО!$B$16:$AB$104,5,0)</f>
        <v>2</v>
      </c>
      <c r="BQ88" s="8">
        <f>VLOOKUP($C88,Контейнеры!$B$16:$G$104,6,0)</f>
        <v>2</v>
      </c>
      <c r="BR88" s="8">
        <f>VLOOKUP($C88,Контейнеры!$B$16:$G$104,4,0)</f>
        <v>0</v>
      </c>
      <c r="BS88" s="8">
        <f>VLOOKUP($C88,Контейнеры!$B$16:$G$104,5,0)</f>
        <v>2</v>
      </c>
      <c r="BT88" s="8">
        <f>VLOOKUP($C88,'ДК МНО'!$B$16:$C$104,2,0)</f>
        <v>2</v>
      </c>
      <c r="BU88" s="8">
        <f>VLOOKUP($C88,Обработка!$B$16:$F$104,5,0)</f>
        <v>1</v>
      </c>
      <c r="BV88" s="8">
        <f>VLOOKUP($C88,Обработка!$B$16:$F$104,4,0)</f>
        <v>2</v>
      </c>
      <c r="BW88" s="8">
        <f>VLOOKUP($C88,Утилизация!$B$16:$F$104,5,0)</f>
        <v>0</v>
      </c>
      <c r="BX88" s="8">
        <f>VLOOKUP($C88,Утилизация!$B$16:$F$104,4,0)</f>
        <v>2</v>
      </c>
      <c r="BY88" s="8">
        <f>VLOOKUP($C88,Захоронение!$B$16:$C$104,2,0)</f>
        <v>2</v>
      </c>
      <c r="BZ88" s="8">
        <f>VLOOKUP($C88,'ДК ИП'!$B$16:$C$104,2,0)</f>
        <v>1</v>
      </c>
      <c r="CA88" s="8">
        <f t="shared" si="16"/>
        <v>1.5</v>
      </c>
    </row>
    <row r="89" spans="1:79" ht="30" customHeight="1">
      <c r="A89" s="9" t="s">
        <v>654</v>
      </c>
      <c r="B89" s="261">
        <f t="shared" si="17"/>
        <v>78</v>
      </c>
      <c r="C89" s="258" t="s">
        <v>38</v>
      </c>
      <c r="D89" s="227" t="str">
        <f>VLOOKUP($C89,Штаб!$B$16:$J$104,6,0)</f>
        <v/>
      </c>
      <c r="E89" s="228" t="str">
        <f>VLOOKUP($C89,Штаб!$B$16:$J$104,7,0)</f>
        <v/>
      </c>
      <c r="F89" s="228" t="str">
        <f>VLOOKUP($C89,Штаб!$B$16:$J$104,8,0)</f>
        <v/>
      </c>
      <c r="G89" s="229" t="str">
        <f>VLOOKUP($C89,Штаб!$B$16:$J$104,9,0)</f>
        <v>✔️</v>
      </c>
      <c r="H89" s="162" t="str">
        <f>VLOOKUP(C89,'РО - регионы'!$B$16:$I$104,8,0)</f>
        <v>1 / 5 / 3 из 9</v>
      </c>
      <c r="I89" s="237"/>
      <c r="J89" s="122"/>
      <c r="K89" s="94"/>
      <c r="L89" s="94"/>
      <c r="M89" s="98"/>
      <c r="N89" s="165">
        <f>VLOOKUP(C89,Спецтехника!$B$16:$J$104,4,0)</f>
        <v>63</v>
      </c>
      <c r="O89" s="168">
        <f>VLOOKUP(C89,Спецтехника!$B$16:$J$104,5,0)</f>
        <v>34</v>
      </c>
      <c r="P89" s="168">
        <f>VLOOKUP(C89,Спецтехника!$B$16:$J$104,6,0)</f>
        <v>29</v>
      </c>
      <c r="Q89" s="171">
        <f>VLOOKUP(C89,Спецтехника!$B$16:$J$104,7,0)</f>
        <v>0.46031746031746029</v>
      </c>
      <c r="R89" s="242"/>
      <c r="S89" s="122"/>
      <c r="T89" s="94"/>
      <c r="U89" s="94"/>
      <c r="V89" s="98"/>
      <c r="W89" s="165">
        <f>VLOOKUP($C89,МНО!$B$16:$AB$104,16,0)</f>
        <v>954</v>
      </c>
      <c r="X89" s="168">
        <f>VLOOKUP($C89,МНО!$B$16:$AB$104,8,0)</f>
        <v>954</v>
      </c>
      <c r="Y89" s="168">
        <f>VLOOKUP($C89,МНО!$B$16:$AB$104,11,0)</f>
        <v>0</v>
      </c>
      <c r="Z89" s="174">
        <f>VLOOKUP($C89,МНО!$B$16:$AB$104,17,0)</f>
        <v>0</v>
      </c>
      <c r="AA89" s="245"/>
      <c r="AB89" s="95">
        <f>VLOOKUP($C89,МНО!$B$16:$AB$104,13,0)</f>
        <v>6.8672359375351419</v>
      </c>
      <c r="AC89" s="154">
        <f>VLOOKUP($C89,МНО!$B$16:$AB$104,18,0)</f>
        <v>1</v>
      </c>
      <c r="AD89" s="165">
        <f>VLOOKUP($C89,Контейнеры!$B$16:$AB$104,16,0)</f>
        <v>2657</v>
      </c>
      <c r="AE89" s="168">
        <f>VLOOKUP($C89,Контейнеры!$B$16:$AB$104,8,0)</f>
        <v>2657</v>
      </c>
      <c r="AF89" s="168">
        <f>VLOOKUP($C89,Контейнеры!$B$16:$AB$104,11,0)</f>
        <v>0</v>
      </c>
      <c r="AG89" s="174">
        <f>VLOOKUP($C89,Контейнеры!$B$16:$AB$104,17,0)</f>
        <v>0</v>
      </c>
      <c r="AH89" s="245"/>
      <c r="AI89" s="95">
        <f>VLOOKUP($C89,Контейнеры!$B$16:$AB$104,13,0)</f>
        <v>19.919482408330644</v>
      </c>
      <c r="AJ89" s="154">
        <f>VLOOKUP($C89,Контейнеры!$B$16:$AB$104,18,0)</f>
        <v>1</v>
      </c>
      <c r="AK89" s="135"/>
      <c r="AL89" s="94"/>
      <c r="AM89" s="94"/>
      <c r="AN89" s="116"/>
      <c r="AO89" s="79">
        <f>VLOOKUP($C89,Обработка!$B$16:$L$104,6,0)</f>
        <v>0</v>
      </c>
      <c r="AP89" s="76">
        <f t="shared" si="11"/>
        <v>-0.54300000000000004</v>
      </c>
      <c r="AQ89" s="75">
        <f>VLOOKUP($C89,Обработка!$B$16:$L$104,7,0)</f>
        <v>1</v>
      </c>
      <c r="AR89" s="178">
        <f t="shared" si="12"/>
        <v>0.19299999999999995</v>
      </c>
      <c r="AS89" s="180">
        <f>VLOOKUP($C89,Утилизация!$B$16:$L$104,6,0)</f>
        <v>0</v>
      </c>
      <c r="AT89" s="76">
        <f t="shared" si="13"/>
        <v>-0.13900000000000001</v>
      </c>
      <c r="AU89" s="75">
        <f>VLOOKUP($C89,Утилизация!$B$16:$L$104,7,0)</f>
        <v>0.4</v>
      </c>
      <c r="AV89" s="185">
        <f t="shared" si="14"/>
        <v>0.11400000000000005</v>
      </c>
      <c r="AW89" s="162" t="str">
        <f>VLOOKUP(C89,Захоронение!$B$16:$Q$104,16,0)</f>
        <v>белые пятна</v>
      </c>
      <c r="AX89" s="135"/>
      <c r="AY89" s="94"/>
      <c r="AZ89" s="94"/>
      <c r="BA89" s="98"/>
      <c r="BB89" s="127" t="str">
        <f>VLOOKUP(C89,'ДК ИП'!$B$16:$S$104,5,0)</f>
        <v>нет</v>
      </c>
      <c r="BC89" s="224">
        <f>VLOOKUP(C89,'Радар олд'!$B$3:$E$87,4,0)</f>
        <v>2.2490947393674045E-2</v>
      </c>
      <c r="BD89" s="98"/>
      <c r="BI89" s="8">
        <f t="shared" si="15"/>
        <v>2</v>
      </c>
      <c r="BJ89" s="8">
        <f>VLOOKUP(C89,Штаб!$B$16:$C$104,2)</f>
        <v>2</v>
      </c>
      <c r="BK89" s="8">
        <f>VLOOKUP(C89,'РО - регионы'!$B$16:$C$104,2)</f>
        <v>2</v>
      </c>
      <c r="BL89" s="8">
        <f>VLOOKUP(C89,'РО - регионы'!$B$16:$L$104,11)</f>
        <v>2</v>
      </c>
      <c r="BM89" s="8">
        <f>VLOOKUP(C89,Спецтехника!$B$16:$C$104,2)</f>
        <v>2</v>
      </c>
      <c r="BN89" s="8">
        <f>VLOOKUP($C89,МНО!$B$16:$AB$104,6,0)</f>
        <v>2</v>
      </c>
      <c r="BO89" s="8">
        <f>VLOOKUP($C89,МНО!$B$16:$AB$104,4,0)</f>
        <v>0</v>
      </c>
      <c r="BP89" s="8">
        <f>VLOOKUP($C89,МНО!$B$16:$AB$104,5,0)</f>
        <v>0</v>
      </c>
      <c r="BQ89" s="8">
        <f>VLOOKUP($C89,Контейнеры!$B$16:$G$104,6,0)</f>
        <v>2</v>
      </c>
      <c r="BR89" s="8">
        <f>VLOOKUP($C89,Контейнеры!$B$16:$G$104,4,0)</f>
        <v>0</v>
      </c>
      <c r="BS89" s="8">
        <f>VLOOKUP($C89,Контейнеры!$B$16:$G$104,5,0)</f>
        <v>0</v>
      </c>
      <c r="BT89" s="8">
        <f>VLOOKUP($C89,'ДК МНО'!$B$16:$C$104,2,0)</f>
        <v>2</v>
      </c>
      <c r="BU89" s="8">
        <f>VLOOKUP($C89,Обработка!$B$16:$F$104,5,0)</f>
        <v>0</v>
      </c>
      <c r="BV89" s="8">
        <f>VLOOKUP($C89,Обработка!$B$16:$F$104,4,0)</f>
        <v>2</v>
      </c>
      <c r="BW89" s="8">
        <f>VLOOKUP($C89,Утилизация!$B$16:$F$104,5,0)</f>
        <v>0</v>
      </c>
      <c r="BX89" s="8">
        <f>VLOOKUP($C89,Утилизация!$B$16:$F$104,4,0)</f>
        <v>2</v>
      </c>
      <c r="BY89" s="8">
        <f>VLOOKUP($C89,Захоронение!$B$16:$C$104,2,0)</f>
        <v>2</v>
      </c>
      <c r="BZ89" s="8">
        <f>VLOOKUP($C89,'ДК ИП'!$B$16:$C$104,2,0)</f>
        <v>0</v>
      </c>
      <c r="CA89" s="8">
        <f t="shared" si="16"/>
        <v>1.4</v>
      </c>
    </row>
    <row r="90" spans="1:79" ht="30" customHeight="1">
      <c r="A90" s="9" t="s">
        <v>653</v>
      </c>
      <c r="B90" s="261">
        <f t="shared" si="17"/>
        <v>79</v>
      </c>
      <c r="C90" s="258" t="s">
        <v>66</v>
      </c>
      <c r="D90" s="227" t="str">
        <f>VLOOKUP($C90,Штаб!$B$16:$J$104,6,0)</f>
        <v/>
      </c>
      <c r="E90" s="228" t="str">
        <f>VLOOKUP($C90,Штаб!$B$16:$J$104,7,0)</f>
        <v/>
      </c>
      <c r="F90" s="228" t="str">
        <f>VLOOKUP($C90,Штаб!$B$16:$J$104,8,0)</f>
        <v/>
      </c>
      <c r="G90" s="229" t="str">
        <f>VLOOKUP($C90,Штаб!$B$16:$J$104,9,0)</f>
        <v>✔️</v>
      </c>
      <c r="H90" s="160" t="str">
        <f>VLOOKUP(C90,'РО - регионы'!$B$16:$I$104,8,0)</f>
        <v>0 / 2 / 0 из 2</v>
      </c>
      <c r="I90" s="237"/>
      <c r="J90" s="122"/>
      <c r="K90" s="94"/>
      <c r="L90" s="94"/>
      <c r="M90" s="98"/>
      <c r="N90" s="165">
        <f>VLOOKUP(C90,Спецтехника!$B$16:$J$104,4,0)</f>
        <v>66</v>
      </c>
      <c r="O90" s="168">
        <f>VLOOKUP(C90,Спецтехника!$B$16:$J$104,5,0)</f>
        <v>46</v>
      </c>
      <c r="P90" s="168">
        <f>VLOOKUP(C90,Спецтехника!$B$16:$J$104,6,0)</f>
        <v>20</v>
      </c>
      <c r="Q90" s="171">
        <f>VLOOKUP(C90,Спецтехника!$B$16:$J$104,7,0)</f>
        <v>0.30303030303030304</v>
      </c>
      <c r="R90" s="242"/>
      <c r="S90" s="122"/>
      <c r="T90" s="94"/>
      <c r="U90" s="94"/>
      <c r="V90" s="98"/>
      <c r="W90" s="165">
        <f>VLOOKUP($C90,МНО!$B$16:$AB$104,16,0)</f>
        <v>1747</v>
      </c>
      <c r="X90" s="168">
        <f>VLOOKUP($C90,МНО!$B$16:$AB$104,8,0)</f>
        <v>637</v>
      </c>
      <c r="Y90" s="168">
        <f>VLOOKUP($C90,МНО!$B$16:$AB$104,11,0)</f>
        <v>1110</v>
      </c>
      <c r="Z90" s="174">
        <f>VLOOKUP($C90,МНО!$B$16:$AB$104,17,0)</f>
        <v>0.6353749284487693</v>
      </c>
      <c r="AA90" s="245"/>
      <c r="AB90" s="95">
        <f>VLOOKUP($C90,МНО!$B$16:$AB$104,13,0)</f>
        <v>1.7360699642120732</v>
      </c>
      <c r="AC90" s="154">
        <f>VLOOKUP($C90,МНО!$B$16:$AB$104,18,0)</f>
        <v>0.45338078291814948</v>
      </c>
      <c r="AD90" s="165">
        <f>VLOOKUP($C90,Контейнеры!$B$16:$AB$104,16,0)</f>
        <v>967</v>
      </c>
      <c r="AE90" s="168">
        <f>VLOOKUP($C90,Контейнеры!$B$16:$AB$104,8,0)</f>
        <v>967</v>
      </c>
      <c r="AF90" s="168">
        <f>VLOOKUP($C90,Контейнеры!$B$16:$AB$104,11,0)</f>
        <v>0</v>
      </c>
      <c r="AG90" s="174">
        <f>VLOOKUP($C90,Контейнеры!$B$16:$AB$104,17,0)</f>
        <v>0</v>
      </c>
      <c r="AH90" s="245"/>
      <c r="AI90" s="95">
        <f>VLOOKUP($C90,Контейнеры!$B$16:$AB$104,13,0)</f>
        <v>2.8648116986229941</v>
      </c>
      <c r="AJ90" s="154">
        <f>VLOOKUP($C90,Контейнеры!$B$16:$AB$104,18,0)</f>
        <v>0.38679999999999998</v>
      </c>
      <c r="AK90" s="135"/>
      <c r="AL90" s="94"/>
      <c r="AM90" s="94"/>
      <c r="AN90" s="116"/>
      <c r="AO90" s="79">
        <f>VLOOKUP($C90,Обработка!$B$16:$L$104,6,0)</f>
        <v>0</v>
      </c>
      <c r="AP90" s="76">
        <f t="shared" si="11"/>
        <v>-0.54300000000000004</v>
      </c>
      <c r="AQ90" s="75">
        <f>VLOOKUP($C90,Обработка!$B$16:$L$104,7,0)</f>
        <v>0.875</v>
      </c>
      <c r="AR90" s="178">
        <f t="shared" si="12"/>
        <v>6.7999999999999949E-2</v>
      </c>
      <c r="AS90" s="180">
        <f>VLOOKUP($C90,Утилизация!$B$16:$L$104,6,0)</f>
        <v>0</v>
      </c>
      <c r="AT90" s="76">
        <f t="shared" si="13"/>
        <v>-0.13900000000000001</v>
      </c>
      <c r="AU90" s="75">
        <f>VLOOKUP($C90,Утилизация!$B$16:$L$104,7,0)</f>
        <v>0.3</v>
      </c>
      <c r="AV90" s="185">
        <f t="shared" si="14"/>
        <v>1.4000000000000012E-2</v>
      </c>
      <c r="AW90" s="162" t="str">
        <f>VLOOKUP(C90,Захоронение!$B$16:$Q$104,16,0)</f>
        <v>белые пятна</v>
      </c>
      <c r="AX90" s="135"/>
      <c r="AY90" s="94"/>
      <c r="AZ90" s="94"/>
      <c r="BA90" s="98"/>
      <c r="BB90" s="127" t="str">
        <f>VLOOKUP(C90,'ДК ИП'!$B$16:$S$104,5,0)</f>
        <v>небольшое</v>
      </c>
      <c r="BC90" s="224">
        <f>VLOOKUP(C90,'Радар олд'!$B$3:$E$87,4,0)</f>
        <v>2.3700613845898607E-2</v>
      </c>
      <c r="BD90" s="98"/>
      <c r="BI90" s="8">
        <f t="shared" si="15"/>
        <v>2</v>
      </c>
      <c r="BJ90" s="8">
        <f>VLOOKUP(C90,Штаб!$B$16:$C$104,2)</f>
        <v>2</v>
      </c>
      <c r="BK90" s="8">
        <f>VLOOKUP(C90,'РО - регионы'!$B$16:$C$104,2)</f>
        <v>1</v>
      </c>
      <c r="BL90" s="8">
        <f>VLOOKUP(C90,'РО - регионы'!$B$16:$L$104,11)</f>
        <v>2</v>
      </c>
      <c r="BM90" s="8">
        <f>VLOOKUP(C90,Спецтехника!$B$16:$C$104,2)</f>
        <v>2</v>
      </c>
      <c r="BN90" s="8">
        <f>VLOOKUP($C90,МНО!$B$16:$AB$104,6,0)</f>
        <v>2</v>
      </c>
      <c r="BO90" s="8">
        <f>VLOOKUP($C90,МНО!$B$16:$AB$104,4,0)</f>
        <v>2</v>
      </c>
      <c r="BP90" s="8">
        <f>VLOOKUP($C90,МНО!$B$16:$AB$104,5,0)</f>
        <v>2</v>
      </c>
      <c r="BQ90" s="8">
        <f>VLOOKUP($C90,Контейнеры!$B$16:$G$104,6,0)</f>
        <v>2</v>
      </c>
      <c r="BR90" s="8">
        <f>VLOOKUP($C90,Контейнеры!$B$16:$G$104,4,0)</f>
        <v>2</v>
      </c>
      <c r="BS90" s="8">
        <f>VLOOKUP($C90,Контейнеры!$B$16:$G$104,5,0)</f>
        <v>2</v>
      </c>
      <c r="BT90" s="8">
        <f>VLOOKUP($C90,'ДК МНО'!$B$16:$C$104,2,0)</f>
        <v>2</v>
      </c>
      <c r="BU90" s="8">
        <f>VLOOKUP($C90,Обработка!$B$16:$F$104,5,0)</f>
        <v>0</v>
      </c>
      <c r="BV90" s="8">
        <f>VLOOKUP($C90,Обработка!$B$16:$F$104,4,0)</f>
        <v>2</v>
      </c>
      <c r="BW90" s="8">
        <f>VLOOKUP($C90,Утилизация!$B$16:$F$104,5,0)</f>
        <v>0</v>
      </c>
      <c r="BX90" s="8">
        <f>VLOOKUP($C90,Утилизация!$B$16:$F$104,4,0)</f>
        <v>2</v>
      </c>
      <c r="BY90" s="8">
        <f>VLOOKUP($C90,Захоронение!$B$16:$C$104,2,0)</f>
        <v>2</v>
      </c>
      <c r="BZ90" s="8">
        <f>VLOOKUP($C90,'ДК ИП'!$B$16:$C$104,2,0)</f>
        <v>0</v>
      </c>
      <c r="CA90" s="8">
        <f t="shared" si="16"/>
        <v>1.4</v>
      </c>
    </row>
    <row r="91" spans="1:79" ht="30" customHeight="1">
      <c r="A91" s="9" t="s">
        <v>654</v>
      </c>
      <c r="B91" s="261">
        <f t="shared" si="17"/>
        <v>80</v>
      </c>
      <c r="C91" s="258" t="s">
        <v>21</v>
      </c>
      <c r="D91" s="227" t="str">
        <f>VLOOKUP($C91,Штаб!$B$16:$J$104,6,0)</f>
        <v>✔️</v>
      </c>
      <c r="E91" s="228" t="str">
        <f>VLOOKUP($C91,Штаб!$B$16:$J$104,7,0)</f>
        <v/>
      </c>
      <c r="F91" s="228" t="str">
        <f>VLOOKUP($C91,Штаб!$B$16:$J$104,8,0)</f>
        <v/>
      </c>
      <c r="G91" s="229" t="str">
        <f>VLOOKUP($C91,Штаб!$B$16:$J$104,9,0)</f>
        <v/>
      </c>
      <c r="H91" s="160" t="str">
        <f>VLOOKUP(C91,'РО - регионы'!$B$16:$I$104,8,0)</f>
        <v>0 / 1 / 0 из 1</v>
      </c>
      <c r="I91" s="237"/>
      <c r="J91" s="122"/>
      <c r="K91" s="94"/>
      <c r="L91" s="94"/>
      <c r="M91" s="98"/>
      <c r="N91" s="163">
        <f>VLOOKUP(C91,Спецтехника!$B$16:$J$104,4,0)</f>
        <v>115</v>
      </c>
      <c r="O91" s="166">
        <f>VLOOKUP(C91,Спецтехника!$B$16:$J$104,5,0)</f>
        <v>105</v>
      </c>
      <c r="P91" s="166">
        <f>VLOOKUP(C91,Спецтехника!$B$16:$J$104,6,0)</f>
        <v>10</v>
      </c>
      <c r="Q91" s="169">
        <f>VLOOKUP(C91,Спецтехника!$B$16:$J$104,7,0)</f>
        <v>8.6956521739130432E-2</v>
      </c>
      <c r="R91" s="242"/>
      <c r="S91" s="122"/>
      <c r="T91" s="94"/>
      <c r="U91" s="94"/>
      <c r="V91" s="98"/>
      <c r="W91" s="165">
        <f>VLOOKUP($C91,МНО!$B$16:$AB$104,16,0)</f>
        <v>10090</v>
      </c>
      <c r="X91" s="168">
        <f>VLOOKUP($C91,МНО!$B$16:$AB$104,8,0)</f>
        <v>5551</v>
      </c>
      <c r="Y91" s="168">
        <f>VLOOKUP($C91,МНО!$B$16:$AB$104,11,0)</f>
        <v>4539</v>
      </c>
      <c r="Z91" s="174">
        <f>VLOOKUP($C91,МНО!$B$16:$AB$104,17,0)</f>
        <v>0.44985133795837462</v>
      </c>
      <c r="AA91" s="245"/>
      <c r="AB91" s="95">
        <f>VLOOKUP($C91,МНО!$B$16:$AB$104,13,0)</f>
        <v>4.0664570624596834</v>
      </c>
      <c r="AC91" s="154">
        <f>VLOOKUP($C91,МНО!$B$16:$AB$104,18,0)</f>
        <v>0.62511261261261264</v>
      </c>
      <c r="AD91" s="165">
        <f>VLOOKUP($C91,Контейнеры!$B$16:$AB$104,16,0)</f>
        <v>20711</v>
      </c>
      <c r="AE91" s="168">
        <f>VLOOKUP($C91,Контейнеры!$B$16:$AB$104,8,0)</f>
        <v>10664</v>
      </c>
      <c r="AF91" s="168">
        <f>VLOOKUP($C91,Контейнеры!$B$16:$AB$104,11,0)</f>
        <v>10047</v>
      </c>
      <c r="AG91" s="174">
        <f>VLOOKUP($C91,Контейнеры!$B$16:$AB$104,17,0)</f>
        <v>0.48510453382260632</v>
      </c>
      <c r="AH91" s="245"/>
      <c r="AI91" s="95">
        <f>VLOOKUP($C91,Контейнеры!$B$16:$AB$104,13,0)</f>
        <v>10.833049741211607</v>
      </c>
      <c r="AJ91" s="154">
        <f>VLOOKUP($C91,Контейнеры!$B$16:$AB$104,18,0)</f>
        <v>1</v>
      </c>
      <c r="AK91" s="135"/>
      <c r="AL91" s="94"/>
      <c r="AM91" s="94"/>
      <c r="AN91" s="116"/>
      <c r="AO91" s="79">
        <f>VLOOKUP($C91,Обработка!$B$16:$L$104,6,0)</f>
        <v>0.04</v>
      </c>
      <c r="AP91" s="76">
        <f t="shared" si="11"/>
        <v>-0.503</v>
      </c>
      <c r="AQ91" s="74">
        <f>VLOOKUP($C91,Обработка!$B$16:$L$104,7,0)</f>
        <v>0.59</v>
      </c>
      <c r="AR91" s="179">
        <f t="shared" si="12"/>
        <v>-0.21700000000000008</v>
      </c>
      <c r="AS91" s="180">
        <f>VLOOKUP($C91,Утилизация!$B$16:$L$104,6,0)</f>
        <v>3.0000000000000001E-3</v>
      </c>
      <c r="AT91" s="76">
        <f t="shared" si="13"/>
        <v>-0.13600000000000001</v>
      </c>
      <c r="AU91" s="74">
        <f>VLOOKUP($C91,Утилизация!$B$16:$L$104,7,0)</f>
        <v>0.15</v>
      </c>
      <c r="AV91" s="186">
        <f t="shared" si="14"/>
        <v>-0.13599999999999998</v>
      </c>
      <c r="AW91" s="162" t="str">
        <f>VLOOKUP(C91,Захоронение!$B$16:$Q$104,16,0)</f>
        <v>свалки</v>
      </c>
      <c r="AX91" s="135"/>
      <c r="AY91" s="94"/>
      <c r="AZ91" s="94"/>
      <c r="BA91" s="98"/>
      <c r="BB91" s="127" t="str">
        <f>VLOOKUP(C91,'ДК ИП'!$B$16:$S$104,5,0)</f>
        <v>существенное</v>
      </c>
      <c r="BC91" s="224">
        <f>VLOOKUP(C91,'Радар олд'!$B$3:$E$87,4,0)</f>
        <v>1.9301195150320756E-2</v>
      </c>
      <c r="BD91" s="98"/>
      <c r="BI91" s="8">
        <f t="shared" si="15"/>
        <v>2</v>
      </c>
      <c r="BJ91" s="8">
        <f>VLOOKUP(C91,Штаб!$B$16:$C$104,2)</f>
        <v>0</v>
      </c>
      <c r="BK91" s="8">
        <f>VLOOKUP(C91,'РО - регионы'!$B$16:$C$104,2)</f>
        <v>1</v>
      </c>
      <c r="BL91" s="8">
        <f>VLOOKUP(C91,'РО - регионы'!$B$16:$L$104,11)</f>
        <v>2</v>
      </c>
      <c r="BM91" s="8">
        <f>VLOOKUP(C91,Спецтехника!$B$16:$C$104,2)</f>
        <v>0</v>
      </c>
      <c r="BN91" s="8">
        <f>VLOOKUP($C91,МНО!$B$16:$AB$104,6,0)</f>
        <v>2</v>
      </c>
      <c r="BO91" s="8">
        <f>VLOOKUP($C91,МНО!$B$16:$AB$104,4,0)</f>
        <v>1</v>
      </c>
      <c r="BP91" s="8">
        <f>VLOOKUP($C91,МНО!$B$16:$AB$104,5,0)</f>
        <v>2</v>
      </c>
      <c r="BQ91" s="8">
        <f>VLOOKUP($C91,Контейнеры!$B$16:$G$104,6,0)</f>
        <v>2</v>
      </c>
      <c r="BR91" s="8">
        <f>VLOOKUP($C91,Контейнеры!$B$16:$G$104,4,0)</f>
        <v>0</v>
      </c>
      <c r="BS91" s="8">
        <f>VLOOKUP($C91,Контейнеры!$B$16:$G$104,5,0)</f>
        <v>0</v>
      </c>
      <c r="BT91" s="8">
        <f>VLOOKUP($C91,'ДК МНО'!$B$16:$C$104,2,0)</f>
        <v>2</v>
      </c>
      <c r="BU91" s="8">
        <f>VLOOKUP($C91,Обработка!$B$16:$F$104,5,0)</f>
        <v>1</v>
      </c>
      <c r="BV91" s="8">
        <f>VLOOKUP($C91,Обработка!$B$16:$F$104,4,0)</f>
        <v>2</v>
      </c>
      <c r="BW91" s="8">
        <f>VLOOKUP($C91,Утилизация!$B$16:$F$104,5,0)</f>
        <v>1</v>
      </c>
      <c r="BX91" s="8">
        <f>VLOOKUP($C91,Утилизация!$B$16:$F$104,4,0)</f>
        <v>2</v>
      </c>
      <c r="BY91" s="8">
        <f>VLOOKUP($C91,Захоронение!$B$16:$C$104,2,0)</f>
        <v>2</v>
      </c>
      <c r="BZ91" s="8">
        <f>VLOOKUP($C91,'ДК ИП'!$B$16:$C$104,2,0)</f>
        <v>2</v>
      </c>
      <c r="CA91" s="8">
        <f t="shared" si="16"/>
        <v>1.45</v>
      </c>
    </row>
    <row r="92" spans="1:79" ht="30" customHeight="1">
      <c r="A92" s="9" t="s">
        <v>657</v>
      </c>
      <c r="B92" s="261">
        <f t="shared" si="17"/>
        <v>81</v>
      </c>
      <c r="C92" s="258" t="s">
        <v>77</v>
      </c>
      <c r="D92" s="227" t="str">
        <f>VLOOKUP($C92,Штаб!$B$16:$J$104,6,0)</f>
        <v/>
      </c>
      <c r="E92" s="228" t="str">
        <f>VLOOKUP($C92,Штаб!$B$16:$J$104,7,0)</f>
        <v>✔️</v>
      </c>
      <c r="F92" s="228" t="str">
        <f>VLOOKUP($C92,Штаб!$B$16:$J$104,8,0)</f>
        <v/>
      </c>
      <c r="G92" s="229" t="str">
        <f>VLOOKUP($C92,Штаб!$B$16:$J$104,9,0)</f>
        <v/>
      </c>
      <c r="H92" s="160" t="str">
        <f>VLOOKUP(C92,'РО - регионы'!$B$16:$I$104,8,0)</f>
        <v>0 / 1 / 0 из 1</v>
      </c>
      <c r="I92" s="237"/>
      <c r="J92" s="122"/>
      <c r="K92" s="94"/>
      <c r="L92" s="94"/>
      <c r="M92" s="98"/>
      <c r="N92" s="165">
        <f>VLOOKUP(C92,Спецтехника!$B$16:$J$104,4,0)</f>
        <v>335</v>
      </c>
      <c r="O92" s="168">
        <f>VLOOKUP(C92,Спецтехника!$B$16:$J$104,5,0)</f>
        <v>255</v>
      </c>
      <c r="P92" s="168">
        <f>VLOOKUP(C92,Спецтехника!$B$16:$J$104,6,0)</f>
        <v>80</v>
      </c>
      <c r="Q92" s="171">
        <f>VLOOKUP(C92,Спецтехника!$B$16:$J$104,7,0)</f>
        <v>0.23880597014925373</v>
      </c>
      <c r="R92" s="242"/>
      <c r="S92" s="122"/>
      <c r="T92" s="94"/>
      <c r="U92" s="94"/>
      <c r="V92" s="98"/>
      <c r="W92" s="163">
        <f>VLOOKUP($C92,МНО!$B$16:$AB$104,16,0)</f>
        <v>10953</v>
      </c>
      <c r="X92" s="166">
        <f>VLOOKUP($C92,МНО!$B$16:$AB$104,8,0)</f>
        <v>9718</v>
      </c>
      <c r="Y92" s="166">
        <f>VLOOKUP($C92,МНО!$B$16:$AB$104,11,0)</f>
        <v>1235</v>
      </c>
      <c r="Z92" s="173">
        <f>VLOOKUP($C92,МНО!$B$16:$AB$104,17,0)</f>
        <v>0.11275449648498129</v>
      </c>
      <c r="AA92" s="245"/>
      <c r="AB92" s="95">
        <f>VLOOKUP($C92,МНО!$B$16:$AB$104,13,0)</f>
        <v>5.983761576399024</v>
      </c>
      <c r="AC92" s="154">
        <f>VLOOKUP($C92,МНО!$B$16:$AB$104,18,0)</f>
        <v>0.94450383905141411</v>
      </c>
      <c r="AD92" s="164">
        <f>VLOOKUP($C92,Контейнеры!$B$16:$AB$104,16,0)</f>
        <v>25653</v>
      </c>
      <c r="AE92" s="167">
        <f>VLOOKUP($C92,Контейнеры!$B$16:$AB$104,8,0)</f>
        <v>20453</v>
      </c>
      <c r="AF92" s="167">
        <f>VLOOKUP($C92,Контейнеры!$B$16:$AB$104,11,0)</f>
        <v>5200</v>
      </c>
      <c r="AG92" s="172">
        <f>VLOOKUP($C92,Контейнеры!$B$16:$AB$104,17,0)</f>
        <v>0.20270533660780415</v>
      </c>
      <c r="AH92" s="245"/>
      <c r="AI92" s="95">
        <f>VLOOKUP($C92,Контейнеры!$B$16:$AB$104,13,0)</f>
        <v>17.047760902923699</v>
      </c>
      <c r="AJ92" s="154">
        <f>VLOOKUP($C92,Контейнеры!$B$16:$AB$104,18,0)</f>
        <v>0.96832686298645965</v>
      </c>
      <c r="AK92" s="135"/>
      <c r="AL92" s="94"/>
      <c r="AM92" s="94"/>
      <c r="AN92" s="116"/>
      <c r="AO92" s="80">
        <f>VLOOKUP($C92,Обработка!$B$16:$L$104,6,0)</f>
        <v>0.31900000000000001</v>
      </c>
      <c r="AP92" s="74">
        <f t="shared" si="11"/>
        <v>-0.22400000000000003</v>
      </c>
      <c r="AQ92" s="76">
        <f>VLOOKUP($C92,Обработка!$B$16:$L$104,7,0)</f>
        <v>0.3</v>
      </c>
      <c r="AR92" s="177">
        <f t="shared" si="12"/>
        <v>-0.50700000000000012</v>
      </c>
      <c r="AS92" s="180">
        <f>VLOOKUP($C92,Утилизация!$B$16:$L$104,6,0)</f>
        <v>2.5000000000000001E-2</v>
      </c>
      <c r="AT92" s="76">
        <f t="shared" si="13"/>
        <v>-0.11400000000000002</v>
      </c>
      <c r="AU92" s="76">
        <f>VLOOKUP($C92,Утилизация!$B$16:$L$104,7,0)</f>
        <v>2.5000000000000001E-2</v>
      </c>
      <c r="AV92" s="184">
        <f t="shared" si="14"/>
        <v>-0.26099999999999995</v>
      </c>
      <c r="AW92" s="162" t="str">
        <f>VLOOKUP(C92,Захоронение!$B$16:$Q$104,16,0)</f>
        <v>765 приказ</v>
      </c>
      <c r="AX92" s="135"/>
      <c r="AY92" s="94"/>
      <c r="AZ92" s="94"/>
      <c r="BA92" s="98"/>
      <c r="BB92" s="127" t="str">
        <f>VLOOKUP(C92,'ДК ИП'!$B$16:$S$104,5,0)</f>
        <v>существенное</v>
      </c>
      <c r="BC92" s="224">
        <f>VLOOKUP(C92,'Радар олд'!$B$3:$E$87,4,0)</f>
        <v>0.16336777670625555</v>
      </c>
      <c r="BD92" s="98"/>
      <c r="BI92" s="8">
        <f t="shared" si="15"/>
        <v>2</v>
      </c>
      <c r="BJ92" s="8">
        <f>VLOOKUP(C92,Штаб!$B$16:$C$104,2)</f>
        <v>1</v>
      </c>
      <c r="BK92" s="8">
        <f>VLOOKUP(C92,'РО - регионы'!$B$16:$C$104,2)</f>
        <v>1</v>
      </c>
      <c r="BL92" s="8">
        <f>VLOOKUP(C92,'РО - регионы'!$B$16:$L$104,11)</f>
        <v>2</v>
      </c>
      <c r="BM92" s="8">
        <f>VLOOKUP(C92,Спецтехника!$B$16:$C$104,2)</f>
        <v>2</v>
      </c>
      <c r="BN92" s="8">
        <f>VLOOKUP($C92,МНО!$B$16:$AB$104,6,0)</f>
        <v>0</v>
      </c>
      <c r="BO92" s="8">
        <f>VLOOKUP($C92,МНО!$B$16:$AB$104,4,0)</f>
        <v>0</v>
      </c>
      <c r="BP92" s="8">
        <f>VLOOKUP($C92,МНО!$B$16:$AB$104,5,0)</f>
        <v>0</v>
      </c>
      <c r="BQ92" s="8">
        <f>VLOOKUP($C92,Контейнеры!$B$16:$G$104,6,0)</f>
        <v>1</v>
      </c>
      <c r="BR92" s="8">
        <f>VLOOKUP($C92,Контейнеры!$B$16:$G$104,4,0)</f>
        <v>0</v>
      </c>
      <c r="BS92" s="8">
        <f>VLOOKUP($C92,Контейнеры!$B$16:$G$104,5,0)</f>
        <v>0</v>
      </c>
      <c r="BT92" s="8">
        <f>VLOOKUP($C92,'ДК МНО'!$B$16:$C$104,2,0)</f>
        <v>2</v>
      </c>
      <c r="BU92" s="8">
        <f>VLOOKUP($C92,Обработка!$B$16:$F$104,5,0)</f>
        <v>2</v>
      </c>
      <c r="BV92" s="8">
        <f>VLOOKUP($C92,Обработка!$B$16:$F$104,4,0)</f>
        <v>1</v>
      </c>
      <c r="BW92" s="8">
        <f>VLOOKUP($C92,Утилизация!$B$16:$F$104,5,0)</f>
        <v>2</v>
      </c>
      <c r="BX92" s="8">
        <f>VLOOKUP($C92,Утилизация!$B$16:$F$104,4,0)</f>
        <v>2</v>
      </c>
      <c r="BY92" s="8">
        <f>VLOOKUP($C92,Захоронение!$B$16:$C$104,2,0)</f>
        <v>2</v>
      </c>
      <c r="BZ92" s="8">
        <f>VLOOKUP($C92,'ДК ИП'!$B$16:$C$104,2,0)</f>
        <v>2</v>
      </c>
      <c r="CA92" s="8">
        <f t="shared" si="16"/>
        <v>1.4000000000000001</v>
      </c>
    </row>
    <row r="93" spans="1:79" ht="30" customHeight="1">
      <c r="A93" s="9" t="s">
        <v>654</v>
      </c>
      <c r="B93" s="261">
        <f t="shared" si="17"/>
        <v>82</v>
      </c>
      <c r="C93" s="258" t="s">
        <v>54</v>
      </c>
      <c r="D93" s="227" t="str">
        <f>VLOOKUP($C93,Штаб!$B$16:$J$104,6,0)</f>
        <v/>
      </c>
      <c r="E93" s="228" t="str">
        <f>VLOOKUP($C93,Штаб!$B$16:$J$104,7,0)</f>
        <v/>
      </c>
      <c r="F93" s="228" t="str">
        <f>VLOOKUP($C93,Штаб!$B$16:$J$104,8,0)</f>
        <v/>
      </c>
      <c r="G93" s="229" t="str">
        <f>VLOOKUP($C93,Штаб!$B$16:$J$104,9,0)</f>
        <v>✔️</v>
      </c>
      <c r="H93" s="160" t="str">
        <f>VLOOKUP(C93,'РО - регионы'!$B$16:$I$104,8,0)</f>
        <v>0 / 0 / 3 из 3</v>
      </c>
      <c r="I93" s="237"/>
      <c r="J93" s="122"/>
      <c r="K93" s="94"/>
      <c r="L93" s="94"/>
      <c r="M93" s="98"/>
      <c r="N93" s="163">
        <f>VLOOKUP(C93,Спецтехника!$B$16:$J$104,4,0)</f>
        <v>191</v>
      </c>
      <c r="O93" s="166">
        <f>VLOOKUP(C93,Спецтехника!$B$16:$J$104,5,0)</f>
        <v>191</v>
      </c>
      <c r="P93" s="166">
        <f>VLOOKUP(C93,Спецтехника!$B$16:$J$104,6,0)</f>
        <v>0</v>
      </c>
      <c r="Q93" s="169">
        <f>VLOOKUP(C93,Спецтехника!$B$16:$J$104,7,0)</f>
        <v>0</v>
      </c>
      <c r="R93" s="242"/>
      <c r="S93" s="122"/>
      <c r="T93" s="94"/>
      <c r="U93" s="94"/>
      <c r="V93" s="98"/>
      <c r="W93" s="165">
        <f>VLOOKUP($C93,МНО!$B$16:$AB$104,16,0)</f>
        <v>10779</v>
      </c>
      <c r="X93" s="168">
        <f>VLOOKUP($C93,МНО!$B$16:$AB$104,8,0)</f>
        <v>3807</v>
      </c>
      <c r="Y93" s="168">
        <f>VLOOKUP($C93,МНО!$B$16:$AB$104,11,0)</f>
        <v>6972</v>
      </c>
      <c r="Z93" s="174">
        <f>VLOOKUP($C93,МНО!$B$16:$AB$104,17,0)</f>
        <v>0.64681324798218753</v>
      </c>
      <c r="AA93" s="245"/>
      <c r="AB93" s="95">
        <f>VLOOKUP($C93,МНО!$B$16:$AB$104,13,0)</f>
        <v>3.8439298626844542</v>
      </c>
      <c r="AC93" s="154">
        <f>VLOOKUP($C93,МНО!$B$16:$AB$104,18,0)</f>
        <v>1</v>
      </c>
      <c r="AD93" s="165">
        <f>VLOOKUP($C93,Контейнеры!$B$16:$AB$104,16,0)</f>
        <v>7328</v>
      </c>
      <c r="AE93" s="168">
        <f>VLOOKUP($C93,Контейнеры!$B$16:$AB$104,8,0)</f>
        <v>7328</v>
      </c>
      <c r="AF93" s="168">
        <f>VLOOKUP($C93,Контейнеры!$B$16:$AB$104,11,0)</f>
        <v>0</v>
      </c>
      <c r="AG93" s="174">
        <f>VLOOKUP($C93,Контейнеры!$B$16:$AB$104,17,0)</f>
        <v>0</v>
      </c>
      <c r="AH93" s="245"/>
      <c r="AI93" s="95">
        <f>VLOOKUP($C93,Контейнеры!$B$16:$AB$104,13,0)</f>
        <v>7.5396996878350322</v>
      </c>
      <c r="AJ93" s="154">
        <f>VLOOKUP($C93,Контейнеры!$B$16:$AB$104,18,0)</f>
        <v>1</v>
      </c>
      <c r="AK93" s="135"/>
      <c r="AL93" s="94"/>
      <c r="AM93" s="94"/>
      <c r="AN93" s="116"/>
      <c r="AO93" s="79">
        <f>VLOOKUP($C93,Обработка!$B$16:$L$104,6,0)</f>
        <v>0</v>
      </c>
      <c r="AP93" s="76">
        <f t="shared" si="11"/>
        <v>-0.54300000000000004</v>
      </c>
      <c r="AQ93" s="74">
        <f>VLOOKUP($C93,Обработка!$B$16:$L$104,7,0)</f>
        <v>0.66206900000000002</v>
      </c>
      <c r="AR93" s="179">
        <f t="shared" si="12"/>
        <v>-0.14493100000000003</v>
      </c>
      <c r="AS93" s="180">
        <f>VLOOKUP($C93,Утилизация!$B$16:$L$104,6,0)</f>
        <v>0</v>
      </c>
      <c r="AT93" s="76">
        <f t="shared" si="13"/>
        <v>-0.13900000000000001</v>
      </c>
      <c r="AU93" s="74">
        <f>VLOOKUP($C93,Утилизация!$B$16:$L$104,7,0)</f>
        <v>0.27147300000000002</v>
      </c>
      <c r="AV93" s="186">
        <f t="shared" si="14"/>
        <v>-1.4526999999999957E-2</v>
      </c>
      <c r="AW93" s="162" t="str">
        <f>VLOOKUP(C93,Захоронение!$B$16:$Q$104,16,0)</f>
        <v>свалки</v>
      </c>
      <c r="AX93" s="135"/>
      <c r="AY93" s="94"/>
      <c r="AZ93" s="94"/>
      <c r="BA93" s="98"/>
      <c r="BB93" s="127" t="str">
        <f>VLOOKUP(C93,'ДК ИП'!$B$16:$S$104,5,0)</f>
        <v>среднее</v>
      </c>
      <c r="BC93" s="224">
        <f>VLOOKUP(C93,'Радар олд'!$B$3:$E$87,4,0)</f>
        <v>1.2346669794489682E-2</v>
      </c>
      <c r="BD93" s="98"/>
      <c r="BI93" s="8">
        <f t="shared" si="15"/>
        <v>1</v>
      </c>
      <c r="BJ93" s="8">
        <f>VLOOKUP(C93,Штаб!$B$16:$C$104,2)</f>
        <v>2</v>
      </c>
      <c r="BK93" s="8">
        <f>VLOOKUP(C93,'РО - регионы'!$B$16:$C$104,2)</f>
        <v>0</v>
      </c>
      <c r="BL93" s="8">
        <f>VLOOKUP(C93,'РО - регионы'!$B$16:$L$104,11)</f>
        <v>0</v>
      </c>
      <c r="BM93" s="8">
        <f>VLOOKUP(C93,Спецтехника!$B$16:$C$104,2)</f>
        <v>0</v>
      </c>
      <c r="BN93" s="8">
        <f>VLOOKUP($C93,МНО!$B$16:$AB$104,6,0)</f>
        <v>2</v>
      </c>
      <c r="BO93" s="8">
        <f>VLOOKUP($C93,МНО!$B$16:$AB$104,4,0)</f>
        <v>1</v>
      </c>
      <c r="BP93" s="8">
        <f>VLOOKUP($C93,МНО!$B$16:$AB$104,5,0)</f>
        <v>0</v>
      </c>
      <c r="BQ93" s="8">
        <f>VLOOKUP($C93,Контейнеры!$B$16:$G$104,6,0)</f>
        <v>2</v>
      </c>
      <c r="BR93" s="8">
        <f>VLOOKUP($C93,Контейнеры!$B$16:$G$104,4,0)</f>
        <v>2</v>
      </c>
      <c r="BS93" s="8">
        <f>VLOOKUP($C93,Контейнеры!$B$16:$G$104,5,0)</f>
        <v>0</v>
      </c>
      <c r="BT93" s="8">
        <f>VLOOKUP($C93,'ДК МНО'!$B$16:$C$104,2,0)</f>
        <v>2</v>
      </c>
      <c r="BU93" s="8">
        <f>VLOOKUP($C93,Обработка!$B$16:$F$104,5,0)</f>
        <v>1</v>
      </c>
      <c r="BV93" s="8">
        <f>VLOOKUP($C93,Обработка!$B$16:$F$104,4,0)</f>
        <v>2</v>
      </c>
      <c r="BW93" s="8">
        <f>VLOOKUP($C93,Утилизация!$B$16:$F$104,5,0)</f>
        <v>1</v>
      </c>
      <c r="BX93" s="8">
        <f>VLOOKUP($C93,Утилизация!$B$16:$F$104,4,0)</f>
        <v>2</v>
      </c>
      <c r="BY93" s="8">
        <f>VLOOKUP($C93,Захоронение!$B$16:$C$104,2,0)</f>
        <v>2</v>
      </c>
      <c r="BZ93" s="8">
        <f>VLOOKUP($C93,'ДК ИП'!$B$16:$C$104,2,0)</f>
        <v>1</v>
      </c>
      <c r="CA93" s="8">
        <f t="shared" si="16"/>
        <v>1.25</v>
      </c>
    </row>
    <row r="94" spans="1:79" ht="30" customHeight="1">
      <c r="A94" s="9" t="s">
        <v>658</v>
      </c>
      <c r="B94" s="261">
        <f t="shared" si="17"/>
        <v>83</v>
      </c>
      <c r="C94" s="258" t="s">
        <v>56</v>
      </c>
      <c r="D94" s="227" t="str">
        <f>VLOOKUP($C94,Штаб!$B$16:$J$104,6,0)</f>
        <v>✔️</v>
      </c>
      <c r="E94" s="228" t="str">
        <f>VLOOKUP($C94,Штаб!$B$16:$J$104,7,0)</f>
        <v/>
      </c>
      <c r="F94" s="228" t="str">
        <f>VLOOKUP($C94,Штаб!$B$16:$J$104,8,0)</f>
        <v/>
      </c>
      <c r="G94" s="229" t="str">
        <f>VLOOKUP($C94,Штаб!$B$16:$J$104,9,0)</f>
        <v/>
      </c>
      <c r="H94" s="160" t="str">
        <f>VLOOKUP(C94,'РО - регионы'!$B$16:$I$104,8,0)</f>
        <v>0 / 1 / 0 из 1</v>
      </c>
      <c r="I94" s="237"/>
      <c r="J94" s="122"/>
      <c r="K94" s="94"/>
      <c r="L94" s="94"/>
      <c r="M94" s="98"/>
      <c r="N94" s="165">
        <f>VLOOKUP(C94,Спецтехника!$B$16:$J$104,4,0)</f>
        <v>91</v>
      </c>
      <c r="O94" s="168">
        <f>VLOOKUP(C94,Спецтехника!$B$16:$J$104,5,0)</f>
        <v>36</v>
      </c>
      <c r="P94" s="168">
        <f>VLOOKUP(C94,Спецтехника!$B$16:$J$104,6,0)</f>
        <v>55</v>
      </c>
      <c r="Q94" s="171">
        <f>VLOOKUP(C94,Спецтехника!$B$16:$J$104,7,0)</f>
        <v>0.60439560439560436</v>
      </c>
      <c r="R94" s="242"/>
      <c r="S94" s="122"/>
      <c r="T94" s="94"/>
      <c r="U94" s="94"/>
      <c r="V94" s="98"/>
      <c r="W94" s="165">
        <f>VLOOKUP($C94,МНО!$B$16:$AB$104,16,0)</f>
        <v>380</v>
      </c>
      <c r="X94" s="168">
        <f>VLOOKUP($C94,МНО!$B$16:$AB$104,8,0)</f>
        <v>58</v>
      </c>
      <c r="Y94" s="168">
        <f>VLOOKUP($C94,МНО!$B$16:$AB$104,11,0)</f>
        <v>322</v>
      </c>
      <c r="Z94" s="174">
        <f>VLOOKUP($C94,МНО!$B$16:$AB$104,17,0)</f>
        <v>0.84736842105263155</v>
      </c>
      <c r="AA94" s="245"/>
      <c r="AB94" s="95">
        <f>VLOOKUP($C94,МНО!$B$16:$AB$104,13,0)</f>
        <v>0.11001100110011001</v>
      </c>
      <c r="AC94" s="154">
        <f>VLOOKUP($C94,МНО!$B$16:$AB$104,18,0)</f>
        <v>0.2140221402214022</v>
      </c>
      <c r="AD94" s="165">
        <f>VLOOKUP($C94,Контейнеры!$B$16:$AB$104,16,0)</f>
        <v>319</v>
      </c>
      <c r="AE94" s="168">
        <f>VLOOKUP($C94,Контейнеры!$B$16:$AB$104,8,0)</f>
        <v>319</v>
      </c>
      <c r="AF94" s="168">
        <f>VLOOKUP($C94,Контейнеры!$B$16:$AB$104,11,0)</f>
        <v>0</v>
      </c>
      <c r="AG94" s="174">
        <f>VLOOKUP($C94,Контейнеры!$B$16:$AB$104,17,0)</f>
        <v>0</v>
      </c>
      <c r="AH94" s="245"/>
      <c r="AI94" s="95">
        <f>VLOOKUP($C94,Контейнеры!$B$16:$AB$104,13,0)</f>
        <v>0.60506050605060513</v>
      </c>
      <c r="AJ94" s="154">
        <f>VLOOKUP($C94,Контейнеры!$B$16:$AB$104,18,0)</f>
        <v>0.22867383512544803</v>
      </c>
      <c r="AK94" s="135"/>
      <c r="AL94" s="94"/>
      <c r="AM94" s="94"/>
      <c r="AN94" s="116"/>
      <c r="AO94" s="79">
        <f>VLOOKUP($C94,Обработка!$B$16:$L$104,6,0)</f>
        <v>1</v>
      </c>
      <c r="AP94" s="76">
        <f t="shared" si="11"/>
        <v>0.45699999999999996</v>
      </c>
      <c r="AQ94" s="75">
        <f>VLOOKUP($C94,Обработка!$B$16:$L$104,7,0)</f>
        <v>1</v>
      </c>
      <c r="AR94" s="178">
        <f t="shared" si="12"/>
        <v>0.19299999999999995</v>
      </c>
      <c r="AS94" s="180">
        <f>VLOOKUP($C94,Утилизация!$B$16:$L$104,6,0)</f>
        <v>0.35</v>
      </c>
      <c r="AT94" s="76">
        <f t="shared" si="13"/>
        <v>0.21099999999999997</v>
      </c>
      <c r="AU94" s="75">
        <f>VLOOKUP($C94,Утилизация!$B$16:$L$104,7,0)</f>
        <v>0.5</v>
      </c>
      <c r="AV94" s="185">
        <f t="shared" si="14"/>
        <v>0.21400000000000002</v>
      </c>
      <c r="AW94" s="162" t="str">
        <f>VLOOKUP(C94,Захоронение!$B$16:$Q$104,16,0)</f>
        <v>свалки</v>
      </c>
      <c r="AX94" s="135"/>
      <c r="AY94" s="94"/>
      <c r="AZ94" s="94"/>
      <c r="BA94" s="98"/>
      <c r="BB94" s="127" t="str">
        <f>VLOOKUP(C94,'ДК ИП'!$B$16:$S$104,5,0)</f>
        <v>существенное</v>
      </c>
      <c r="BC94" s="224">
        <f>VLOOKUP(C94,'Радар олд'!$B$3:$E$87,4,0)</f>
        <v>3.7934827965555177E-3</v>
      </c>
      <c r="BD94" s="98"/>
      <c r="BI94" s="8">
        <f t="shared" si="15"/>
        <v>2</v>
      </c>
      <c r="BJ94" s="8">
        <f>VLOOKUP(C94,Штаб!$B$16:$C$104,2)</f>
        <v>0</v>
      </c>
      <c r="BK94" s="8">
        <f>VLOOKUP(C94,'РО - регионы'!$B$16:$C$104,2)</f>
        <v>1</v>
      </c>
      <c r="BL94" s="8">
        <f>VLOOKUP(C94,'РО - регионы'!$B$16:$L$104,11)</f>
        <v>2</v>
      </c>
      <c r="BM94" s="8">
        <f>VLOOKUP(C94,Спецтехника!$B$16:$C$104,2)</f>
        <v>2</v>
      </c>
      <c r="BN94" s="8">
        <f>VLOOKUP($C94,МНО!$B$16:$AB$104,6,0)</f>
        <v>2</v>
      </c>
      <c r="BO94" s="8">
        <f>VLOOKUP($C94,МНО!$B$16:$AB$104,4,0)</f>
        <v>2</v>
      </c>
      <c r="BP94" s="8">
        <f>VLOOKUP($C94,МНО!$B$16:$AB$104,5,0)</f>
        <v>2</v>
      </c>
      <c r="BQ94" s="8">
        <f>VLOOKUP($C94,Контейнеры!$B$16:$G$104,6,0)</f>
        <v>2</v>
      </c>
      <c r="BR94" s="8">
        <f>VLOOKUP($C94,Контейнеры!$B$16:$G$104,4,0)</f>
        <v>2</v>
      </c>
      <c r="BS94" s="8">
        <f>VLOOKUP($C94,Контейнеры!$B$16:$G$104,5,0)</f>
        <v>2</v>
      </c>
      <c r="BT94" s="8">
        <f>VLOOKUP($C94,'ДК МНО'!$B$16:$C$104,2,0)</f>
        <v>2</v>
      </c>
      <c r="BU94" s="8">
        <f>VLOOKUP($C94,Обработка!$B$16:$F$104,5,0)</f>
        <v>0</v>
      </c>
      <c r="BV94" s="8">
        <f>VLOOKUP($C94,Обработка!$B$16:$F$104,4,0)</f>
        <v>2</v>
      </c>
      <c r="BW94" s="8">
        <f>VLOOKUP($C94,Утилизация!$B$16:$F$104,5,0)</f>
        <v>0</v>
      </c>
      <c r="BX94" s="8">
        <f>VLOOKUP($C94,Утилизация!$B$16:$F$104,4,0)</f>
        <v>2</v>
      </c>
      <c r="BY94" s="8">
        <f>VLOOKUP($C94,Захоронение!$B$16:$C$104,2,0)</f>
        <v>2</v>
      </c>
      <c r="BZ94" s="8">
        <f>VLOOKUP($C94,'ДК ИП'!$B$16:$C$104,2,0)</f>
        <v>2</v>
      </c>
      <c r="CA94" s="8">
        <f t="shared" si="16"/>
        <v>1.5999999999999999</v>
      </c>
    </row>
    <row r="95" spans="1:79" ht="30" customHeight="1">
      <c r="A95" s="9" t="s">
        <v>654</v>
      </c>
      <c r="B95" s="261">
        <f>B92+1</f>
        <v>82</v>
      </c>
      <c r="C95" s="258" t="s">
        <v>63</v>
      </c>
      <c r="D95" s="227" t="str">
        <f>VLOOKUP($C95,Штаб!$B$16:$J$104,6,0)</f>
        <v/>
      </c>
      <c r="E95" s="228" t="str">
        <f>VLOOKUP($C95,Штаб!$B$16:$J$104,7,0)</f>
        <v>✔️</v>
      </c>
      <c r="F95" s="228" t="str">
        <f>VLOOKUP($C95,Штаб!$B$16:$J$104,8,0)</f>
        <v/>
      </c>
      <c r="G95" s="229" t="str">
        <f>VLOOKUP($C95,Штаб!$B$16:$J$104,9,0)</f>
        <v/>
      </c>
      <c r="H95" s="162" t="str">
        <f>VLOOKUP(C95,'РО - регионы'!$B$16:$I$104,8,0)</f>
        <v>0 / 6 / 6 из 12</v>
      </c>
      <c r="I95" s="237"/>
      <c r="J95" s="122"/>
      <c r="K95" s="94"/>
      <c r="L95" s="94"/>
      <c r="M95" s="98"/>
      <c r="N95" s="164">
        <f>VLOOKUP(C95,Спецтехника!$B$16:$J$104,4,0)</f>
        <v>153</v>
      </c>
      <c r="O95" s="167">
        <f>VLOOKUP(C95,Спецтехника!$B$16:$J$104,5,0)</f>
        <v>138</v>
      </c>
      <c r="P95" s="167">
        <f>VLOOKUP(C95,Спецтехника!$B$16:$J$104,6,0)</f>
        <v>15</v>
      </c>
      <c r="Q95" s="170">
        <f>VLOOKUP(C95,Спецтехника!$B$16:$J$104,7,0)</f>
        <v>9.8039215686274508E-2</v>
      </c>
      <c r="R95" s="242"/>
      <c r="S95" s="122"/>
      <c r="T95" s="94"/>
      <c r="U95" s="94"/>
      <c r="V95" s="98"/>
      <c r="W95" s="165">
        <f>VLOOKUP($C95,МНО!$B$16:$AB$104,16,0)</f>
        <v>9911</v>
      </c>
      <c r="X95" s="168">
        <f>VLOOKUP($C95,МНО!$B$16:$AB$104,8,0)</f>
        <v>4707</v>
      </c>
      <c r="Y95" s="168">
        <f>VLOOKUP($C95,МНО!$B$16:$AB$104,11,0)</f>
        <v>5204</v>
      </c>
      <c r="Z95" s="174">
        <f>VLOOKUP($C95,МНО!$B$16:$AB$104,17,0)</f>
        <v>0.5250731510442942</v>
      </c>
      <c r="AA95" s="245"/>
      <c r="AB95" s="95">
        <f>VLOOKUP($C95,МНО!$B$16:$AB$104,13,0)</f>
        <v>3.6569148936170213</v>
      </c>
      <c r="AC95" s="154">
        <f>VLOOKUP($C95,МНО!$B$16:$AB$104,18,0)</f>
        <v>0.74595879556259903</v>
      </c>
      <c r="AD95" s="165">
        <f>VLOOKUP($C95,Контейнеры!$B$16:$AB$104,16,0)</f>
        <v>10461</v>
      </c>
      <c r="AE95" s="168">
        <f>VLOOKUP($C95,Контейнеры!$B$16:$AB$104,8,0)</f>
        <v>10461</v>
      </c>
      <c r="AF95" s="168">
        <f>VLOOKUP($C95,Контейнеры!$B$16:$AB$104,11,0)</f>
        <v>0</v>
      </c>
      <c r="AG95" s="174">
        <f>VLOOKUP($C95,Контейнеры!$B$16:$AB$104,17,0)</f>
        <v>0</v>
      </c>
      <c r="AH95" s="245"/>
      <c r="AI95" s="95">
        <f>VLOOKUP($C95,Контейнеры!$B$16:$AB$104,13,0)</f>
        <v>10.443621813302665</v>
      </c>
      <c r="AJ95" s="154">
        <f>VLOOKUP($C95,Контейнеры!$B$16:$AB$104,18,0)</f>
        <v>0.73225535489290217</v>
      </c>
      <c r="AK95" s="135"/>
      <c r="AL95" s="94"/>
      <c r="AM95" s="94"/>
      <c r="AN95" s="116"/>
      <c r="AO95" s="79">
        <f>VLOOKUP($C95,Обработка!$B$16:$L$104,6,0)</f>
        <v>0</v>
      </c>
      <c r="AP95" s="76">
        <f t="shared" si="11"/>
        <v>-0.54300000000000004</v>
      </c>
      <c r="AQ95" s="74">
        <f>VLOOKUP($C95,Обработка!$B$16:$L$104,7,0)</f>
        <v>0.49</v>
      </c>
      <c r="AR95" s="179">
        <f t="shared" si="12"/>
        <v>-0.31700000000000006</v>
      </c>
      <c r="AS95" s="180">
        <f>VLOOKUP($C95,Утилизация!$B$16:$L$104,6,0)</f>
        <v>6.9999999999999993E-3</v>
      </c>
      <c r="AT95" s="76">
        <f t="shared" si="13"/>
        <v>-0.13200000000000001</v>
      </c>
      <c r="AU95" s="76">
        <f>VLOOKUP($C95,Утилизация!$B$16:$L$104,7,0)</f>
        <v>0.1</v>
      </c>
      <c r="AV95" s="184">
        <f t="shared" si="14"/>
        <v>-0.18599999999999997</v>
      </c>
      <c r="AW95" s="162" t="str">
        <f>VLOOKUP(C95,Захоронение!$B$16:$Q$104,16,0)</f>
        <v>белые пятна</v>
      </c>
      <c r="AX95" s="135"/>
      <c r="AY95" s="94"/>
      <c r="AZ95" s="94"/>
      <c r="BA95" s="98"/>
      <c r="BB95" s="127" t="str">
        <f>VLOOKUP(C95,'ДК ИП'!$B$16:$S$104,5,0)</f>
        <v>среднее</v>
      </c>
      <c r="BC95" s="224">
        <f>VLOOKUP(C95,'Радар олд'!$B$3:$E$87,4,0)</f>
        <v>1.5973420228739377E-2</v>
      </c>
      <c r="BD95" s="98"/>
      <c r="BI95" s="8">
        <f t="shared" si="15"/>
        <v>2</v>
      </c>
      <c r="BJ95" s="8">
        <f>VLOOKUP(C95,Штаб!$B$16:$C$104,2)</f>
        <v>1</v>
      </c>
      <c r="BK95" s="8">
        <f>VLOOKUP(C95,'РО - регионы'!$B$16:$C$104,2)</f>
        <v>1</v>
      </c>
      <c r="BL95" s="8">
        <f>VLOOKUP(C95,'РО - регионы'!$B$16:$L$104,11)</f>
        <v>2</v>
      </c>
      <c r="BM95" s="8">
        <f>VLOOKUP(C95,Спецтехника!$B$16:$C$104,2)</f>
        <v>1</v>
      </c>
      <c r="BN95" s="8">
        <f>VLOOKUP($C95,МНО!$B$16:$AB$104,6,0)</f>
        <v>2</v>
      </c>
      <c r="BO95" s="8">
        <f>VLOOKUP($C95,МНО!$B$16:$AB$104,4,0)</f>
        <v>1</v>
      </c>
      <c r="BP95" s="8">
        <f>VLOOKUP($C95,МНО!$B$16:$AB$104,5,0)</f>
        <v>1</v>
      </c>
      <c r="BQ95" s="8">
        <f>VLOOKUP($C95,Контейнеры!$B$16:$G$104,6,0)</f>
        <v>2</v>
      </c>
      <c r="BR95" s="8">
        <f>VLOOKUP($C95,Контейнеры!$B$16:$G$104,4,0)</f>
        <v>0</v>
      </c>
      <c r="BS95" s="8">
        <f>VLOOKUP($C95,Контейнеры!$B$16:$G$104,5,0)</f>
        <v>2</v>
      </c>
      <c r="BT95" s="8">
        <f>VLOOKUP($C95,'ДК МНО'!$B$16:$C$104,2,0)</f>
        <v>2</v>
      </c>
      <c r="BU95" s="8">
        <f>VLOOKUP($C95,Обработка!$B$16:$F$104,5,0)</f>
        <v>1</v>
      </c>
      <c r="BV95" s="8">
        <f>VLOOKUP($C95,Обработка!$B$16:$F$104,4,0)</f>
        <v>2</v>
      </c>
      <c r="BW95" s="8">
        <f>VLOOKUP($C95,Утилизация!$B$16:$F$104,5,0)</f>
        <v>2</v>
      </c>
      <c r="BX95" s="8">
        <f>VLOOKUP($C95,Утилизация!$B$16:$F$104,4,0)</f>
        <v>2</v>
      </c>
      <c r="BY95" s="8">
        <f>VLOOKUP($C95,Захоронение!$B$16:$C$104,2,0)</f>
        <v>2</v>
      </c>
      <c r="BZ95" s="8">
        <f>VLOOKUP($C95,'ДК ИП'!$B$16:$C$104,2,0)</f>
        <v>1</v>
      </c>
      <c r="CA95" s="8">
        <f t="shared" si="16"/>
        <v>1.4500000000000002</v>
      </c>
    </row>
    <row r="96" spans="1:79" ht="30" customHeight="1">
      <c r="B96" s="261">
        <f>B95+1</f>
        <v>83</v>
      </c>
      <c r="C96" s="258" t="s">
        <v>580</v>
      </c>
      <c r="D96" s="227" t="str">
        <f>VLOOKUP($C96,Штаб!$B$16:$J$104,6,0)</f>
        <v/>
      </c>
      <c r="E96" s="228" t="str">
        <f>VLOOKUP($C96,Штаб!$B$16:$J$104,7,0)</f>
        <v/>
      </c>
      <c r="F96" s="228" t="str">
        <f>VLOOKUP($C96,Штаб!$B$16:$J$104,8,0)</f>
        <v/>
      </c>
      <c r="G96" s="229" t="str">
        <f>VLOOKUP($C96,Штаб!$B$16:$J$104,9,0)</f>
        <v>✔️</v>
      </c>
      <c r="H96" s="160" t="str">
        <f>VLOOKUP(C96,'РО - регионы'!$B$16:$I$104,8,0)</f>
        <v>0 / 1 / 0 из 1</v>
      </c>
      <c r="I96" s="237"/>
      <c r="J96" s="122"/>
      <c r="K96" s="94"/>
      <c r="L96" s="94"/>
      <c r="M96" s="98"/>
      <c r="N96" s="165">
        <f>VLOOKUP(C96,Спецтехника!$B$16:$J$104,4,0)</f>
        <v>415</v>
      </c>
      <c r="O96" s="168">
        <f>VLOOKUP(C96,Спецтехника!$B$16:$J$104,5,0)</f>
        <v>321</v>
      </c>
      <c r="P96" s="168">
        <f>VLOOKUP(C96,Спецтехника!$B$16:$J$104,6,0)</f>
        <v>94</v>
      </c>
      <c r="Q96" s="171">
        <f>VLOOKUP(C96,Спецтехника!$B$16:$J$104,7,0)</f>
        <v>0.22650602409638554</v>
      </c>
      <c r="R96" s="242"/>
      <c r="S96" s="122"/>
      <c r="T96" s="94"/>
      <c r="U96" s="94"/>
      <c r="V96" s="98"/>
      <c r="W96" s="163">
        <f>VLOOKUP($C96,МНО!$B$16:$AB$104,16,0)</f>
        <v>0</v>
      </c>
      <c r="X96" s="166">
        <f>VLOOKUP($C96,МНО!$B$16:$AB$104,8,0)</f>
        <v>0</v>
      </c>
      <c r="Y96" s="166">
        <f>VLOOKUP($C96,МНО!$B$16:$AB$104,11,0)</f>
        <v>0</v>
      </c>
      <c r="Z96" s="173">
        <f>VLOOKUP($C96,МНО!$B$16:$AB$104,17,0)</f>
        <v>0</v>
      </c>
      <c r="AA96" s="245"/>
      <c r="AB96" s="95"/>
      <c r="AC96" s="154"/>
      <c r="AD96" s="163">
        <f>VLOOKUP($C96,Контейнеры!$B$16:$AB$104,16,0)</f>
        <v>0</v>
      </c>
      <c r="AE96" s="166">
        <f>VLOOKUP($C96,Контейнеры!$B$16:$AB$104,8,0)</f>
        <v>0</v>
      </c>
      <c r="AF96" s="166">
        <f>VLOOKUP($C96,Контейнеры!$B$16:$AB$104,11,0)</f>
        <v>0</v>
      </c>
      <c r="AG96" s="173">
        <f>VLOOKUP($C96,Контейнеры!$B$16:$AB$104,17,0)</f>
        <v>0</v>
      </c>
      <c r="AH96" s="245"/>
      <c r="AI96" s="95"/>
      <c r="AJ96" s="154"/>
      <c r="AK96" s="135"/>
      <c r="AL96" s="94"/>
      <c r="AM96" s="94"/>
      <c r="AN96" s="116"/>
      <c r="AO96" s="78">
        <f>VLOOKUP($C96,Обработка!$B$16:$L$104,6,0)</f>
        <v>0</v>
      </c>
      <c r="AP96" s="75">
        <f t="shared" si="11"/>
        <v>-0.54300000000000004</v>
      </c>
      <c r="AQ96" s="75">
        <f>VLOOKUP($C96,Обработка!$B$16:$L$104,7,0)</f>
        <v>0</v>
      </c>
      <c r="AR96" s="178">
        <f t="shared" si="12"/>
        <v>-0.80700000000000005</v>
      </c>
      <c r="AS96" s="182">
        <f>VLOOKUP($C96,Утилизация!$B$16:$L$104,6,0)</f>
        <v>0</v>
      </c>
      <c r="AT96" s="75">
        <f t="shared" si="13"/>
        <v>-0.13900000000000001</v>
      </c>
      <c r="AU96" s="75">
        <f>VLOOKUP($C96,Утилизация!$B$16:$L$104,7,0)</f>
        <v>0</v>
      </c>
      <c r="AV96" s="185">
        <f t="shared" si="14"/>
        <v>-0.28599999999999998</v>
      </c>
      <c r="AW96" s="161"/>
      <c r="AX96" s="135"/>
      <c r="AY96" s="94"/>
      <c r="AZ96" s="94"/>
      <c r="BA96" s="98"/>
      <c r="BB96" s="127" t="str">
        <f>VLOOKUP(C96,'ДК ИП'!$B$16:$S$104,5,0)</f>
        <v>не подписана</v>
      </c>
      <c r="BC96" s="224" t="e">
        <f>VLOOKUP(C96,'Радар олд'!$B$3:$E$87,4,0)</f>
        <v>#N/A</v>
      </c>
      <c r="BD96" s="98"/>
      <c r="BI96" s="8">
        <f t="shared" si="15"/>
        <v>0</v>
      </c>
      <c r="BJ96" s="8">
        <f>VLOOKUP(C96,Штаб!$B$16:$C$104,2)</f>
        <v>2</v>
      </c>
      <c r="BK96" s="8">
        <f>VLOOKUP(C96,'РО - регионы'!$B$16:$C$104,2)</f>
        <v>1</v>
      </c>
      <c r="BL96" s="8">
        <f>VLOOKUP(C96,'РО - регионы'!$B$16:$L$104,11)</f>
        <v>2</v>
      </c>
      <c r="BM96" s="8">
        <f>VLOOKUP(C96,Спецтехника!$B$16:$C$104,2)</f>
        <v>2</v>
      </c>
      <c r="BN96" s="8">
        <f>VLOOKUP($C96,МНО!$B$16:$AB$104,6,0)</f>
        <v>0</v>
      </c>
      <c r="BO96" s="8">
        <f>VLOOKUP($C96,МНО!$B$16:$AB$104,4,0)</f>
        <v>0</v>
      </c>
      <c r="BP96" s="8">
        <f>VLOOKUP($C96,МНО!$B$16:$AB$104,5,0)</f>
        <v>0</v>
      </c>
      <c r="BQ96" s="8">
        <f>VLOOKUP($C96,Контейнеры!$B$16:$G$104,6,0)</f>
        <v>0</v>
      </c>
      <c r="BR96" s="8">
        <f>VLOOKUP($C96,Контейнеры!$B$16:$G$104,4,0)</f>
        <v>0</v>
      </c>
      <c r="BS96" s="8">
        <f>VLOOKUP($C96,Контейнеры!$B$16:$G$104,5,0)</f>
        <v>0</v>
      </c>
      <c r="BT96" s="8">
        <f>VLOOKUP($C96,'ДК МНО'!$B$16:$C$104,2,0)</f>
        <v>2</v>
      </c>
      <c r="BU96" s="8">
        <f>VLOOKUP($C96,Обработка!$B$16:$F$104,5,0)</f>
        <v>0</v>
      </c>
      <c r="BV96" s="8">
        <f>VLOOKUP($C96,Обработка!$B$16:$F$104,4,0)</f>
        <v>0</v>
      </c>
      <c r="BW96" s="8">
        <f>VLOOKUP($C96,Утилизация!$B$16:$F$104,5,0)</f>
        <v>0</v>
      </c>
      <c r="BX96" s="8">
        <f>VLOOKUP($C96,Утилизация!$B$16:$F$104,4,0)</f>
        <v>0</v>
      </c>
      <c r="BY96" s="8">
        <f>VLOOKUP($C96,Захоронение!$B$16:$C$104,2,0)</f>
        <v>0</v>
      </c>
      <c r="BZ96" s="8">
        <f>VLOOKUP($C96,'ДК ИП'!$B$16:$C$104,2,0)</f>
        <v>0</v>
      </c>
    </row>
    <row r="97" spans="2:78" ht="30" customHeight="1">
      <c r="B97" s="261">
        <f>B96+1</f>
        <v>84</v>
      </c>
      <c r="C97" s="258" t="s">
        <v>163</v>
      </c>
      <c r="D97" s="227" t="str">
        <f>VLOOKUP($C97,Штаб!$B$16:$J$104,6,0)</f>
        <v/>
      </c>
      <c r="E97" s="228" t="str">
        <f>VLOOKUP($C97,Штаб!$B$16:$J$104,7,0)</f>
        <v/>
      </c>
      <c r="F97" s="228" t="str">
        <f>VLOOKUP($C97,Штаб!$B$16:$J$104,8,0)</f>
        <v/>
      </c>
      <c r="G97" s="229" t="str">
        <f>VLOOKUP($C97,Штаб!$B$16:$J$104,9,0)</f>
        <v>✔️</v>
      </c>
      <c r="H97" s="161" t="str">
        <f>VLOOKUP(C97,'РО - регионы'!$B$16:$I$104,8,0)</f>
        <v>0 / 1 / 0 из 1</v>
      </c>
      <c r="I97" s="237"/>
      <c r="J97" s="122"/>
      <c r="K97" s="94"/>
      <c r="L97" s="94"/>
      <c r="M97" s="98"/>
      <c r="N97" s="164">
        <f>VLOOKUP(C97,Спецтехника!$B$16:$J$104,4,0)</f>
        <v>71</v>
      </c>
      <c r="O97" s="167">
        <f>VLOOKUP(C97,Спецтехника!$B$16:$J$104,5,0)</f>
        <v>59</v>
      </c>
      <c r="P97" s="167">
        <f>VLOOKUP(C97,Спецтехника!$B$16:$J$104,6,0)</f>
        <v>12</v>
      </c>
      <c r="Q97" s="170">
        <f>VLOOKUP(C97,Спецтехника!$B$16:$J$104,7,0)</f>
        <v>0.16901408450704225</v>
      </c>
      <c r="R97" s="242"/>
      <c r="S97" s="122"/>
      <c r="T97" s="94"/>
      <c r="U97" s="94"/>
      <c r="V97" s="98"/>
      <c r="W97" s="163">
        <f>VLOOKUP($C97,МНО!$B$16:$AB$104,16,0)</f>
        <v>0</v>
      </c>
      <c r="X97" s="166">
        <f>VLOOKUP($C97,МНО!$B$16:$AB$104,8,0)</f>
        <v>0</v>
      </c>
      <c r="Y97" s="166">
        <f>VLOOKUP($C97,МНО!$B$16:$AB$104,11,0)</f>
        <v>0</v>
      </c>
      <c r="Z97" s="173">
        <f>VLOOKUP($C97,МНО!$B$16:$AB$104,17,0)</f>
        <v>0</v>
      </c>
      <c r="AA97" s="245"/>
      <c r="AB97" s="95"/>
      <c r="AC97" s="154"/>
      <c r="AD97" s="163">
        <f>VLOOKUP($C97,Контейнеры!$B$16:$AB$104,16,0)</f>
        <v>0</v>
      </c>
      <c r="AE97" s="166">
        <f>VLOOKUP($C97,Контейнеры!$B$16:$AB$104,8,0)</f>
        <v>0</v>
      </c>
      <c r="AF97" s="166">
        <f>VLOOKUP($C97,Контейнеры!$B$16:$AB$104,11,0)</f>
        <v>0</v>
      </c>
      <c r="AG97" s="173">
        <f>VLOOKUP($C97,Контейнеры!$B$16:$AB$104,17,0)</f>
        <v>0</v>
      </c>
      <c r="AH97" s="245"/>
      <c r="AI97" s="95"/>
      <c r="AJ97" s="154"/>
      <c r="AK97" s="135"/>
      <c r="AL97" s="94"/>
      <c r="AM97" s="94"/>
      <c r="AN97" s="116"/>
      <c r="AO97" s="78">
        <f>VLOOKUP($C97,Обработка!$B$16:$L$104,6,0)</f>
        <v>0</v>
      </c>
      <c r="AP97" s="75">
        <f t="shared" si="11"/>
        <v>-0.54300000000000004</v>
      </c>
      <c r="AQ97" s="75">
        <f>VLOOKUP($C97,Обработка!$B$16:$L$104,7,0)</f>
        <v>0</v>
      </c>
      <c r="AR97" s="178">
        <f t="shared" si="12"/>
        <v>-0.80700000000000005</v>
      </c>
      <c r="AS97" s="182">
        <f>VLOOKUP($C97,Утилизация!$B$16:$L$104,6,0)</f>
        <v>0</v>
      </c>
      <c r="AT97" s="75">
        <f t="shared" si="13"/>
        <v>-0.13900000000000001</v>
      </c>
      <c r="AU97" s="75">
        <f>VLOOKUP($C97,Утилизация!$B$16:$L$104,7,0)</f>
        <v>0</v>
      </c>
      <c r="AV97" s="185">
        <f t="shared" si="14"/>
        <v>-0.28599999999999998</v>
      </c>
      <c r="AW97" s="161"/>
      <c r="AX97" s="135"/>
      <c r="AY97" s="94"/>
      <c r="AZ97" s="94"/>
      <c r="BA97" s="98"/>
      <c r="BB97" s="127" t="str">
        <f>VLOOKUP(C97,'ДК ИП'!$B$16:$S$104,5,0)</f>
        <v>не подписана</v>
      </c>
      <c r="BC97" s="224" t="e">
        <f>VLOOKUP(C97,'Радар олд'!$B$3:$E$87,4,0)</f>
        <v>#N/A</v>
      </c>
      <c r="BD97" s="98"/>
      <c r="BI97" s="8">
        <f t="shared" si="15"/>
        <v>0</v>
      </c>
      <c r="BJ97" s="8">
        <f>VLOOKUP(C97,Штаб!$B$16:$C$104,2)</f>
        <v>2</v>
      </c>
      <c r="BK97" s="8">
        <f>VLOOKUP(C97,'РО - регионы'!$B$16:$C$104,2)</f>
        <v>1</v>
      </c>
      <c r="BL97" s="8">
        <f>VLOOKUP(C97,'РО - регионы'!$B$16:$L$104,11)</f>
        <v>2</v>
      </c>
      <c r="BM97" s="8">
        <f>VLOOKUP(C97,Спецтехника!$B$16:$C$104,2)</f>
        <v>1</v>
      </c>
      <c r="BN97" s="8">
        <f>VLOOKUP($C97,МНО!$B$16:$AB$104,6,0)</f>
        <v>0</v>
      </c>
      <c r="BO97" s="8">
        <f>VLOOKUP($C97,МНО!$B$16:$AB$104,4,0)</f>
        <v>0</v>
      </c>
      <c r="BP97" s="8">
        <f>VLOOKUP($C97,МНО!$B$16:$AB$104,5,0)</f>
        <v>0</v>
      </c>
      <c r="BQ97" s="8">
        <f>VLOOKUP($C97,Контейнеры!$B$16:$G$104,6,0)</f>
        <v>0</v>
      </c>
      <c r="BR97" s="8">
        <f>VLOOKUP($C97,Контейнеры!$B$16:$G$104,4,0)</f>
        <v>0</v>
      </c>
      <c r="BS97" s="8">
        <f>VLOOKUP($C97,Контейнеры!$B$16:$G$104,5,0)</f>
        <v>0</v>
      </c>
      <c r="BT97" s="8">
        <f>VLOOKUP($C97,'ДК МНО'!$B$16:$C$104,2,0)</f>
        <v>2</v>
      </c>
      <c r="BU97" s="8">
        <f>VLOOKUP($C97,Обработка!$B$16:$F$104,5,0)</f>
        <v>0</v>
      </c>
      <c r="BV97" s="8">
        <f>VLOOKUP($C97,Обработка!$B$16:$F$104,4,0)</f>
        <v>0</v>
      </c>
      <c r="BW97" s="8">
        <f>VLOOKUP($C97,Утилизация!$B$16:$F$104,5,0)</f>
        <v>0</v>
      </c>
      <c r="BX97" s="8">
        <f>VLOOKUP($C97,Утилизация!$B$16:$F$104,4,0)</f>
        <v>0</v>
      </c>
      <c r="BY97" s="8">
        <f>VLOOKUP($C97,Захоронение!$B$16:$C$104,2,0)</f>
        <v>0</v>
      </c>
      <c r="BZ97" s="8">
        <f>VLOOKUP($C97,'ДК ИП'!$B$16:$C$104,2,0)</f>
        <v>0</v>
      </c>
    </row>
    <row r="98" spans="2:78" ht="30" customHeight="1">
      <c r="B98" s="261">
        <f>B97+1</f>
        <v>85</v>
      </c>
      <c r="C98" s="258" t="s">
        <v>581</v>
      </c>
      <c r="D98" s="227" t="str">
        <f>VLOOKUP($C98,Штаб!$B$16:$J$104,6,0)</f>
        <v/>
      </c>
      <c r="E98" s="228" t="str">
        <f>VLOOKUP($C98,Штаб!$B$16:$J$104,7,0)</f>
        <v/>
      </c>
      <c r="F98" s="228" t="str">
        <f>VLOOKUP($C98,Штаб!$B$16:$J$104,8,0)</f>
        <v/>
      </c>
      <c r="G98" s="229" t="str">
        <f>VLOOKUP($C98,Штаб!$B$16:$J$104,9,0)</f>
        <v>✔️</v>
      </c>
      <c r="H98" s="161" t="str">
        <f>VLOOKUP(C98,'РО - регионы'!$B$16:$I$104,8,0)</f>
        <v>0 / 0 / 0 из 0</v>
      </c>
      <c r="I98" s="237"/>
      <c r="J98" s="122"/>
      <c r="K98" s="94"/>
      <c r="L98" s="94"/>
      <c r="M98" s="98"/>
      <c r="N98" s="165">
        <f>VLOOKUP(C98,Спецтехника!$B$16:$J$104,4,0)</f>
        <v>532</v>
      </c>
      <c r="O98" s="168">
        <f>VLOOKUP(C98,Спецтехника!$B$16:$J$104,5,0)</f>
        <v>344</v>
      </c>
      <c r="P98" s="168">
        <f>VLOOKUP(C98,Спецтехника!$B$16:$J$104,6,0)</f>
        <v>188</v>
      </c>
      <c r="Q98" s="171">
        <f>VLOOKUP(C98,Спецтехника!$B$16:$J$104,7,0)</f>
        <v>0.35338345864661652</v>
      </c>
      <c r="R98" s="242"/>
      <c r="S98" s="122"/>
      <c r="T98" s="94"/>
      <c r="U98" s="94"/>
      <c r="V98" s="98"/>
      <c r="W98" s="163">
        <f>VLOOKUP($C98,МНО!$B$16:$AB$104,16,0)</f>
        <v>5695</v>
      </c>
      <c r="X98" s="166">
        <f>VLOOKUP($C98,МНО!$B$16:$AB$104,8,0)</f>
        <v>0</v>
      </c>
      <c r="Y98" s="166">
        <f>VLOOKUP($C98,МНО!$B$16:$AB$104,11,0)</f>
        <v>5695</v>
      </c>
      <c r="Z98" s="173">
        <f>VLOOKUP($C98,МНО!$B$16:$AB$104,17,0)</f>
        <v>0</v>
      </c>
      <c r="AA98" s="245"/>
      <c r="AB98" s="95"/>
      <c r="AC98" s="154"/>
      <c r="AD98" s="163">
        <f>VLOOKUP($C98,Контейнеры!$B$16:$AB$104,16,0)</f>
        <v>13829</v>
      </c>
      <c r="AE98" s="166">
        <f>VLOOKUP($C98,Контейнеры!$B$16:$AB$104,8,0)</f>
        <v>0</v>
      </c>
      <c r="AF98" s="166">
        <f>VLOOKUP($C98,Контейнеры!$B$16:$AB$104,11,0)</f>
        <v>13829</v>
      </c>
      <c r="AG98" s="173">
        <f>VLOOKUP($C98,Контейнеры!$B$16:$AB$104,17,0)</f>
        <v>0</v>
      </c>
      <c r="AH98" s="245"/>
      <c r="AI98" s="95"/>
      <c r="AJ98" s="154"/>
      <c r="AK98" s="135"/>
      <c r="AL98" s="94"/>
      <c r="AM98" s="94"/>
      <c r="AN98" s="116"/>
      <c r="AO98" s="78">
        <f>VLOOKUP($C98,Обработка!$B$16:$L$104,6,0)</f>
        <v>0</v>
      </c>
      <c r="AP98" s="75">
        <f t="shared" si="11"/>
        <v>-0.54300000000000004</v>
      </c>
      <c r="AQ98" s="75">
        <f>VLOOKUP($C98,Обработка!$B$16:$L$104,7,0)</f>
        <v>0</v>
      </c>
      <c r="AR98" s="178">
        <f t="shared" si="12"/>
        <v>-0.80700000000000005</v>
      </c>
      <c r="AS98" s="182">
        <f>VLOOKUP($C98,Утилизация!$B$16:$L$104,6,0)</f>
        <v>0</v>
      </c>
      <c r="AT98" s="75">
        <f t="shared" si="13"/>
        <v>-0.13900000000000001</v>
      </c>
      <c r="AU98" s="75">
        <f>VLOOKUP($C98,Утилизация!$B$16:$L$104,7,0)</f>
        <v>0</v>
      </c>
      <c r="AV98" s="185">
        <f t="shared" si="14"/>
        <v>-0.28599999999999998</v>
      </c>
      <c r="AW98" s="161"/>
      <c r="AX98" s="135"/>
      <c r="AY98" s="94"/>
      <c r="AZ98" s="94"/>
      <c r="BA98" s="98"/>
      <c r="BB98" s="127" t="str">
        <f>VLOOKUP(C98,'ДК ИП'!$B$16:$S$104,5,0)</f>
        <v>нет</v>
      </c>
      <c r="BC98" s="224" t="e">
        <f>VLOOKUP(C98,'Радар олд'!$B$3:$E$87,4,0)</f>
        <v>#N/A</v>
      </c>
      <c r="BD98" s="98"/>
      <c r="BI98" s="8">
        <f t="shared" si="15"/>
        <v>0</v>
      </c>
      <c r="BJ98" s="8">
        <f>VLOOKUP(C98,Штаб!$B$16:$C$104,2)</f>
        <v>2</v>
      </c>
      <c r="BK98" s="8">
        <f>VLOOKUP(C98,'РО - регионы'!$B$16:$C$104,2)</f>
        <v>0</v>
      </c>
      <c r="BL98" s="8">
        <f>VLOOKUP(C98,'РО - регионы'!$B$16:$L$104,11)</f>
        <v>0</v>
      </c>
      <c r="BM98" s="8">
        <f>VLOOKUP(C98,Спецтехника!$B$16:$C$104,2)</f>
        <v>2</v>
      </c>
      <c r="BN98" s="8">
        <f>VLOOKUP($C98,МНО!$B$16:$AB$104,6,0)</f>
        <v>0</v>
      </c>
      <c r="BO98" s="8">
        <f>VLOOKUP($C98,МНО!$B$16:$AB$104,4,0)</f>
        <v>0</v>
      </c>
      <c r="BP98" s="8">
        <f>VLOOKUP($C98,МНО!$B$16:$AB$104,5,0)</f>
        <v>0</v>
      </c>
      <c r="BQ98" s="8">
        <f>VLOOKUP($C98,Контейнеры!$B$16:$G$104,6,0)</f>
        <v>0</v>
      </c>
      <c r="BR98" s="8">
        <f>VLOOKUP($C98,Контейнеры!$B$16:$G$104,4,0)</f>
        <v>0</v>
      </c>
      <c r="BS98" s="8">
        <f>VLOOKUP($C98,Контейнеры!$B$16:$G$104,5,0)</f>
        <v>0</v>
      </c>
      <c r="BT98" s="8">
        <f>VLOOKUP($C98,'ДК МНО'!$B$16:$C$104,2,0)</f>
        <v>2</v>
      </c>
      <c r="BU98" s="8">
        <f>VLOOKUP($C98,Обработка!$B$16:$F$104,5,0)</f>
        <v>0</v>
      </c>
      <c r="BV98" s="8">
        <f>VLOOKUP($C98,Обработка!$B$16:$F$104,4,0)</f>
        <v>0</v>
      </c>
      <c r="BW98" s="8">
        <f>VLOOKUP($C98,Утилизация!$B$16:$F$104,5,0)</f>
        <v>0</v>
      </c>
      <c r="BX98" s="8">
        <f>VLOOKUP($C98,Утилизация!$B$16:$F$104,4,0)</f>
        <v>0</v>
      </c>
      <c r="BY98" s="8">
        <f>VLOOKUP($C98,Захоронение!$B$16:$C$104,2,0)</f>
        <v>0</v>
      </c>
      <c r="BZ98" s="8">
        <f>VLOOKUP($C98,'ДК ИП'!$B$16:$C$104,2,0)</f>
        <v>0</v>
      </c>
    </row>
    <row r="99" spans="2:78" ht="30" customHeight="1" thickBot="1">
      <c r="B99" s="262">
        <f>B98+1</f>
        <v>86</v>
      </c>
      <c r="C99" s="259" t="s">
        <v>166</v>
      </c>
      <c r="D99" s="230" t="str">
        <f>VLOOKUP($C99,Штаб!$B$16:$J$104,6,0)</f>
        <v/>
      </c>
      <c r="E99" s="231" t="str">
        <f>VLOOKUP($C99,Штаб!$B$16:$J$104,7,0)</f>
        <v/>
      </c>
      <c r="F99" s="231" t="str">
        <f>VLOOKUP($C99,Штаб!$B$16:$J$104,8,0)</f>
        <v/>
      </c>
      <c r="G99" s="232" t="str">
        <f>VLOOKUP($C99,Штаб!$B$16:$J$104,9,0)</f>
        <v>✔️</v>
      </c>
      <c r="H99" s="211" t="str">
        <f>VLOOKUP(C99,'РО - регионы'!$B$16:$I$104,8,0)</f>
        <v>0 / 1 / 0 из 1</v>
      </c>
      <c r="I99" s="238"/>
      <c r="J99" s="123"/>
      <c r="K99" s="99"/>
      <c r="L99" s="99"/>
      <c r="M99" s="101"/>
      <c r="N99" s="213">
        <f>VLOOKUP(C99,Спецтехника!$B$16:$J$104,4,0)</f>
        <v>50</v>
      </c>
      <c r="O99" s="215">
        <f>VLOOKUP(C99,Спецтехника!$B$16:$J$104,5,0)</f>
        <v>42</v>
      </c>
      <c r="P99" s="215">
        <f>VLOOKUP(C99,Спецтехника!$B$16:$J$104,6,0)</f>
        <v>8</v>
      </c>
      <c r="Q99" s="217">
        <f>VLOOKUP(C99,Спецтехника!$B$16:$J$104,7,0)</f>
        <v>0.16</v>
      </c>
      <c r="R99" s="243"/>
      <c r="S99" s="123"/>
      <c r="T99" s="99"/>
      <c r="U99" s="99"/>
      <c r="V99" s="101"/>
      <c r="W99" s="205">
        <f>VLOOKUP($C99,МНО!$B$16:$AB$104,16,0)</f>
        <v>0</v>
      </c>
      <c r="X99" s="206">
        <f>VLOOKUP($C99,МНО!$B$16:$AB$104,8,0)</f>
        <v>0</v>
      </c>
      <c r="Y99" s="206">
        <f>VLOOKUP($C99,МНО!$B$16:$AB$104,11,0)</f>
        <v>0</v>
      </c>
      <c r="Z99" s="207">
        <f>VLOOKUP($C99,МНО!$B$16:$AB$104,17,0)</f>
        <v>0</v>
      </c>
      <c r="AA99" s="246"/>
      <c r="AB99" s="100"/>
      <c r="AC99" s="155"/>
      <c r="AD99" s="205">
        <f>VLOOKUP($C99,Контейнеры!$B$16:$AB$104,16,0)</f>
        <v>0</v>
      </c>
      <c r="AE99" s="206">
        <f>VLOOKUP($C99,Контейнеры!$B$16:$AB$104,8,0)</f>
        <v>0</v>
      </c>
      <c r="AF99" s="206">
        <f>VLOOKUP($C99,Контейнеры!$B$16:$AB$104,11,0)</f>
        <v>0</v>
      </c>
      <c r="AG99" s="207">
        <f>VLOOKUP($C99,Контейнеры!$B$16:$AB$104,17,0)</f>
        <v>0</v>
      </c>
      <c r="AH99" s="246"/>
      <c r="AI99" s="100"/>
      <c r="AJ99" s="155"/>
      <c r="AK99" s="136"/>
      <c r="AL99" s="99"/>
      <c r="AM99" s="99"/>
      <c r="AN99" s="117"/>
      <c r="AO99" s="81">
        <f>VLOOKUP($C99,Обработка!$B$16:$L$104,6,0)</f>
        <v>0</v>
      </c>
      <c r="AP99" s="77">
        <f t="shared" si="11"/>
        <v>-0.54300000000000004</v>
      </c>
      <c r="AQ99" s="77">
        <f>VLOOKUP($C99,Обработка!$B$16:$L$104,7,0)</f>
        <v>0</v>
      </c>
      <c r="AR99" s="220">
        <f t="shared" si="12"/>
        <v>-0.80700000000000005</v>
      </c>
      <c r="AS99" s="222">
        <f>VLOOKUP($C99,Утилизация!$B$16:$L$104,6,0)</f>
        <v>0</v>
      </c>
      <c r="AT99" s="77">
        <f t="shared" si="13"/>
        <v>-0.13900000000000001</v>
      </c>
      <c r="AU99" s="77">
        <f>VLOOKUP($C99,Утилизация!$B$16:$L$104,7,0)</f>
        <v>0</v>
      </c>
      <c r="AV99" s="223">
        <f t="shared" si="14"/>
        <v>-0.28599999999999998</v>
      </c>
      <c r="AW99" s="204"/>
      <c r="AX99" s="136"/>
      <c r="AY99" s="99"/>
      <c r="AZ99" s="99"/>
      <c r="BA99" s="101"/>
      <c r="BB99" s="128" t="str">
        <f>VLOOKUP(C99,'ДК ИП'!$B$16:$S$104,5,0)</f>
        <v>не подписана</v>
      </c>
      <c r="BC99" s="224" t="e">
        <f>VLOOKUP(C99,'Радар олд'!$B$3:$E$87,4,0)</f>
        <v>#N/A</v>
      </c>
      <c r="BD99" s="101"/>
      <c r="BI99" s="8">
        <f t="shared" si="15"/>
        <v>0</v>
      </c>
      <c r="BJ99" s="8">
        <f>VLOOKUP(C99,Штаб!$B$16:$C$104,2)</f>
        <v>2</v>
      </c>
      <c r="BK99" s="8">
        <f>VLOOKUP(C99,'РО - регионы'!$B$16:$C$104,2)</f>
        <v>1</v>
      </c>
      <c r="BL99" s="8">
        <f>VLOOKUP(C99,'РО - регионы'!$B$16:$L$104,11)</f>
        <v>2</v>
      </c>
      <c r="BM99" s="8">
        <f>VLOOKUP(C99,Спецтехника!$B$16:$C$104,2)</f>
        <v>1</v>
      </c>
      <c r="BN99" s="8">
        <f>VLOOKUP($C99,МНО!$B$16:$AB$104,6,0)</f>
        <v>0</v>
      </c>
      <c r="BO99" s="8">
        <f>VLOOKUP($C99,МНО!$B$16:$AB$104,4,0)</f>
        <v>0</v>
      </c>
      <c r="BP99" s="8">
        <f>VLOOKUP($C99,МНО!$B$16:$AB$104,5,0)</f>
        <v>0</v>
      </c>
      <c r="BQ99" s="8">
        <f>VLOOKUP($C99,Контейнеры!$B$16:$G$104,6,0)</f>
        <v>0</v>
      </c>
      <c r="BR99" s="8">
        <f>VLOOKUP($C99,Контейнеры!$B$16:$G$104,4,0)</f>
        <v>0</v>
      </c>
      <c r="BS99" s="8">
        <f>VLOOKUP($C99,Контейнеры!$B$16:$G$104,5,0)</f>
        <v>0</v>
      </c>
      <c r="BT99" s="8">
        <f>VLOOKUP($C99,'ДК МНО'!$B$16:$C$104,2,0)</f>
        <v>2</v>
      </c>
      <c r="BU99" s="8">
        <f>VLOOKUP($C99,Обработка!$B$16:$F$104,5,0)</f>
        <v>0</v>
      </c>
      <c r="BV99" s="8">
        <f>VLOOKUP($C99,Обработка!$B$16:$F$104,4,0)</f>
        <v>0</v>
      </c>
      <c r="BW99" s="8">
        <f>VLOOKUP($C99,Утилизация!$B$16:$F$104,5,0)</f>
        <v>0</v>
      </c>
      <c r="BX99" s="8">
        <f>VLOOKUP($C99,Утилизация!$B$16:$F$104,4,0)</f>
        <v>0</v>
      </c>
      <c r="BY99" s="8">
        <f>VLOOKUP($C99,Захоронение!$B$16:$C$104,2,0)</f>
        <v>0</v>
      </c>
      <c r="BZ99" s="8">
        <f>VLOOKUP($C99,'ДК ИП'!$B$16:$C$104,2,0)</f>
        <v>0</v>
      </c>
    </row>
  </sheetData>
  <mergeCells count="28">
    <mergeCell ref="AX6:BA6"/>
    <mergeCell ref="N9:Q9"/>
    <mergeCell ref="W9:AC9"/>
    <mergeCell ref="AD9:AJ9"/>
    <mergeCell ref="AO9:AR9"/>
    <mergeCell ref="AS9:AV9"/>
    <mergeCell ref="AO5:BA5"/>
    <mergeCell ref="BC5:BD5"/>
    <mergeCell ref="D6:D7"/>
    <mergeCell ref="E6:E7"/>
    <mergeCell ref="F6:F7"/>
    <mergeCell ref="G6:G7"/>
    <mergeCell ref="H6:H7"/>
    <mergeCell ref="I6:I7"/>
    <mergeCell ref="J6:M6"/>
    <mergeCell ref="N6:R6"/>
    <mergeCell ref="W5:AN5"/>
    <mergeCell ref="W6:AC6"/>
    <mergeCell ref="AD6:AJ6"/>
    <mergeCell ref="AK6:AN6"/>
    <mergeCell ref="AO6:AR6"/>
    <mergeCell ref="AS6:AV6"/>
    <mergeCell ref="B5:B7"/>
    <mergeCell ref="C5:C7"/>
    <mergeCell ref="D5:G5"/>
    <mergeCell ref="H5:M5"/>
    <mergeCell ref="N5:V5"/>
    <mergeCell ref="S6:V6"/>
  </mergeCells>
  <conditionalFormatting sqref="AI11:AJ99">
    <cfRule type="colorScale" priority="1">
      <colorScale>
        <cfvo type="formula" val="$BN$11=0"/>
        <cfvo type="formula" val="$BN$11=1"/>
        <cfvo type="formula" val="$BN$11=2"/>
        <color theme="9" tint="0.79998168889431442"/>
        <color theme="7" tint="0.79998168889431442"/>
        <color theme="5" tint="0.79998168889431442"/>
      </colorScale>
    </cfRule>
  </conditionalFormatting>
  <pageMargins left="0.17" right="0.31" top="0.22" bottom="0.33" header="0.21" footer="0.31496062992125984"/>
  <pageSetup paperSize="8" scale="31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CC99"/>
  <sheetViews>
    <sheetView zoomScale="80" zoomScaleNormal="80" workbookViewId="0">
      <pane xSplit="3" ySplit="10" topLeftCell="F11" activePane="bottomRight" state="frozen"/>
      <selection pane="topRight" activeCell="D1" sqref="D1"/>
      <selection pane="bottomLeft" activeCell="A13" sqref="A13"/>
      <selection pane="bottomRight" activeCell="O17" sqref="O17"/>
    </sheetView>
  </sheetViews>
  <sheetFormatPr defaultColWidth="10.8984375" defaultRowHeight="15"/>
  <cols>
    <col min="1" max="1" width="10.8984375" style="9"/>
    <col min="2" max="2" width="5" style="8" customWidth="1"/>
    <col min="3" max="3" width="33.3984375" style="9" customWidth="1"/>
    <col min="4" max="7" width="3.59765625" style="8" customWidth="1"/>
    <col min="8" max="9" width="17.3984375" style="8" customWidth="1"/>
    <col min="10" max="12" width="12.3984375" style="8" customWidth="1"/>
    <col min="13" max="13" width="19.5" style="8" customWidth="1"/>
    <col min="14" max="16" width="11.5" style="84" customWidth="1"/>
    <col min="17" max="17" width="11.5" style="88" customWidth="1"/>
    <col min="18" max="18" width="11.5" style="88" hidden="1" customWidth="1"/>
    <col min="19" max="22" width="12.3984375" style="8" hidden="1" customWidth="1"/>
    <col min="23" max="25" width="11.5" style="84" customWidth="1"/>
    <col min="26" max="27" width="11.5" style="88" customWidth="1"/>
    <col min="28" max="29" width="12.8984375" style="8" customWidth="1"/>
    <col min="30" max="32" width="11.5" style="84" customWidth="1"/>
    <col min="33" max="34" width="11.5" style="88" customWidth="1"/>
    <col min="35" max="36" width="12.8984375" style="8" customWidth="1"/>
    <col min="37" max="40" width="12.3984375" style="8" hidden="1" customWidth="1"/>
    <col min="41" max="41" width="12.8984375" style="8" customWidth="1"/>
    <col min="42" max="42" width="12.8984375" style="8" hidden="1" customWidth="1"/>
    <col min="43" max="43" width="12.8984375" style="8" customWidth="1"/>
    <col min="44" max="44" width="12.8984375" style="8" hidden="1" customWidth="1"/>
    <col min="45" max="47" width="14.69921875" style="8" customWidth="1"/>
    <col min="48" max="48" width="12.8984375" style="8" hidden="1" customWidth="1"/>
    <col min="49" max="49" width="15" style="8" customWidth="1"/>
    <col min="50" max="53" width="12.3984375" style="8" hidden="1" customWidth="1"/>
    <col min="54" max="54" width="14.09765625" style="8" hidden="1" customWidth="1"/>
    <col min="55" max="55" width="14.09765625" style="8" customWidth="1"/>
    <col min="56" max="56" width="14.09765625" style="8" hidden="1" customWidth="1"/>
    <col min="57" max="60" width="14.09765625" style="8" customWidth="1"/>
    <col min="61" max="61" width="12.59765625" style="8" customWidth="1"/>
    <col min="62" max="65" width="11.59765625" style="8" customWidth="1"/>
    <col min="66" max="79" width="12.59765625" style="8" customWidth="1"/>
    <col min="80" max="80" width="11.8984375" style="8" customWidth="1"/>
    <col min="81" max="16384" width="10.8984375" style="9"/>
  </cols>
  <sheetData>
    <row r="1" spans="1:81">
      <c r="A1" s="9">
        <v>1</v>
      </c>
      <c r="B1" s="9">
        <f>A1+1</f>
        <v>2</v>
      </c>
      <c r="C1" s="9">
        <f t="shared" ref="C1:BN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  <c r="AT1" s="9">
        <f t="shared" si="0"/>
        <v>46</v>
      </c>
      <c r="AU1" s="9">
        <f t="shared" si="0"/>
        <v>47</v>
      </c>
      <c r="AV1" s="9">
        <f t="shared" si="0"/>
        <v>48</v>
      </c>
      <c r="AW1" s="9">
        <f t="shared" si="0"/>
        <v>49</v>
      </c>
      <c r="AX1" s="9">
        <f t="shared" si="0"/>
        <v>50</v>
      </c>
      <c r="AY1" s="9">
        <f t="shared" si="0"/>
        <v>51</v>
      </c>
      <c r="AZ1" s="9">
        <f t="shared" si="0"/>
        <v>52</v>
      </c>
      <c r="BA1" s="9">
        <f t="shared" si="0"/>
        <v>53</v>
      </c>
      <c r="BB1" s="9">
        <f t="shared" si="0"/>
        <v>54</v>
      </c>
      <c r="BC1" s="9">
        <f t="shared" si="0"/>
        <v>55</v>
      </c>
      <c r="BD1" s="9">
        <f t="shared" si="0"/>
        <v>56</v>
      </c>
      <c r="BE1" s="9">
        <f t="shared" si="0"/>
        <v>57</v>
      </c>
      <c r="BF1" s="9">
        <f t="shared" si="0"/>
        <v>58</v>
      </c>
      <c r="BG1" s="9">
        <f t="shared" si="0"/>
        <v>59</v>
      </c>
      <c r="BH1" s="9">
        <f t="shared" si="0"/>
        <v>60</v>
      </c>
      <c r="BI1" s="9">
        <f t="shared" si="0"/>
        <v>61</v>
      </c>
      <c r="BJ1" s="9">
        <f t="shared" si="0"/>
        <v>62</v>
      </c>
      <c r="BK1" s="9">
        <f t="shared" si="0"/>
        <v>63</v>
      </c>
      <c r="BL1" s="9">
        <f t="shared" si="0"/>
        <v>64</v>
      </c>
      <c r="BM1" s="9">
        <f t="shared" si="0"/>
        <v>65</v>
      </c>
      <c r="BN1" s="9">
        <f t="shared" si="0"/>
        <v>66</v>
      </c>
      <c r="BO1" s="9">
        <f t="shared" ref="BO1:BZ1" si="1">BN1+1</f>
        <v>67</v>
      </c>
      <c r="BP1" s="9">
        <f t="shared" si="1"/>
        <v>68</v>
      </c>
      <c r="BQ1" s="9">
        <f t="shared" si="1"/>
        <v>69</v>
      </c>
      <c r="BR1" s="9">
        <f t="shared" si="1"/>
        <v>70</v>
      </c>
      <c r="BS1" s="9">
        <f t="shared" si="1"/>
        <v>71</v>
      </c>
      <c r="BT1" s="9">
        <f t="shared" si="1"/>
        <v>72</v>
      </c>
      <c r="BU1" s="9">
        <f t="shared" si="1"/>
        <v>73</v>
      </c>
      <c r="BV1" s="9">
        <f t="shared" si="1"/>
        <v>74</v>
      </c>
      <c r="BW1" s="9">
        <f t="shared" si="1"/>
        <v>75</v>
      </c>
      <c r="BX1" s="9">
        <f t="shared" si="1"/>
        <v>76</v>
      </c>
      <c r="BY1" s="9">
        <f t="shared" si="1"/>
        <v>77</v>
      </c>
      <c r="BZ1" s="9">
        <f t="shared" si="1"/>
        <v>78</v>
      </c>
      <c r="CA1" s="9">
        <f t="shared" ref="CA1" si="2">BZ1+1</f>
        <v>79</v>
      </c>
      <c r="CB1" s="9">
        <f t="shared" ref="CB1" si="3">CA1+1</f>
        <v>80</v>
      </c>
      <c r="CC1" s="9">
        <f t="shared" ref="CC1" si="4">CB1+1</f>
        <v>81</v>
      </c>
    </row>
    <row r="2" spans="1:81" ht="15.6">
      <c r="C2" s="7" t="s">
        <v>582</v>
      </c>
    </row>
    <row r="3" spans="1:81" ht="15.6">
      <c r="C3" s="187">
        <v>45566</v>
      </c>
    </row>
    <row r="4" spans="1:81" ht="15.6" thickBot="1">
      <c r="J4" s="9"/>
      <c r="K4" s="9"/>
      <c r="L4" s="9"/>
      <c r="S4" s="9"/>
      <c r="T4" s="9"/>
      <c r="U4" s="9"/>
      <c r="AK4" s="9"/>
      <c r="AL4" s="9"/>
      <c r="AM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B4" s="9"/>
      <c r="BC4" s="9"/>
      <c r="BD4" s="9"/>
      <c r="BE4" s="9"/>
      <c r="BF4" s="9"/>
      <c r="BG4" s="9"/>
      <c r="BH4" s="9"/>
    </row>
    <row r="5" spans="1:81" s="82" customFormat="1" ht="37.049999999999997" customHeight="1" thickBot="1">
      <c r="B5" s="335" t="s">
        <v>167</v>
      </c>
      <c r="C5" s="348" t="s">
        <v>0</v>
      </c>
      <c r="D5" s="342" t="s">
        <v>98</v>
      </c>
      <c r="E5" s="340"/>
      <c r="F5" s="340"/>
      <c r="G5" s="341"/>
      <c r="H5" s="342" t="s">
        <v>626</v>
      </c>
      <c r="I5" s="342"/>
      <c r="J5" s="340"/>
      <c r="K5" s="340"/>
      <c r="L5" s="340"/>
      <c r="M5" s="343"/>
      <c r="N5" s="344" t="s">
        <v>627</v>
      </c>
      <c r="O5" s="345"/>
      <c r="P5" s="345"/>
      <c r="Q5" s="345"/>
      <c r="R5" s="345"/>
      <c r="S5" s="345"/>
      <c r="T5" s="345"/>
      <c r="U5" s="345"/>
      <c r="V5" s="346"/>
      <c r="W5" s="339" t="s">
        <v>635</v>
      </c>
      <c r="X5" s="340"/>
      <c r="Y5" s="340"/>
      <c r="Z5" s="340"/>
      <c r="AA5" s="340"/>
      <c r="AB5" s="340"/>
      <c r="AC5" s="340"/>
      <c r="AD5" s="340"/>
      <c r="AE5" s="340"/>
      <c r="AF5" s="340"/>
      <c r="AG5" s="340"/>
      <c r="AH5" s="340"/>
      <c r="AI5" s="340"/>
      <c r="AJ5" s="340"/>
      <c r="AK5" s="340"/>
      <c r="AL5" s="340"/>
      <c r="AM5" s="340"/>
      <c r="AN5" s="341"/>
      <c r="AO5" s="342" t="s">
        <v>606</v>
      </c>
      <c r="AP5" s="340"/>
      <c r="AQ5" s="340"/>
      <c r="AR5" s="340"/>
      <c r="AS5" s="340"/>
      <c r="AT5" s="340"/>
      <c r="AU5" s="340"/>
      <c r="AV5" s="340"/>
      <c r="AW5" s="340"/>
      <c r="AX5" s="340"/>
      <c r="AY5" s="340"/>
      <c r="AZ5" s="340"/>
      <c r="BA5" s="340"/>
      <c r="BB5" s="144"/>
      <c r="BC5" s="339" t="s">
        <v>625</v>
      </c>
      <c r="BD5" s="341"/>
      <c r="BE5" s="89"/>
      <c r="BF5" s="89"/>
      <c r="BG5" s="89"/>
      <c r="BH5" s="89"/>
      <c r="BI5" s="188"/>
      <c r="BJ5" s="188">
        <v>0</v>
      </c>
      <c r="BK5" s="188">
        <v>0.2</v>
      </c>
      <c r="BL5" s="188">
        <v>0</v>
      </c>
      <c r="BM5" s="188">
        <v>0.05</v>
      </c>
      <c r="BN5" s="188">
        <v>0.05</v>
      </c>
      <c r="BO5" s="188">
        <v>0.05</v>
      </c>
      <c r="BP5" s="188"/>
      <c r="BQ5" s="188">
        <v>0.05</v>
      </c>
      <c r="BR5" s="188">
        <v>0.05</v>
      </c>
      <c r="BS5" s="188"/>
      <c r="BT5" s="188">
        <v>0</v>
      </c>
      <c r="BU5" s="188">
        <v>0.05</v>
      </c>
      <c r="BV5" s="188">
        <v>0.05</v>
      </c>
      <c r="BW5" s="188">
        <v>0.05</v>
      </c>
      <c r="BX5" s="188">
        <v>0.05</v>
      </c>
      <c r="BY5" s="188">
        <v>0.25</v>
      </c>
      <c r="BZ5" s="188">
        <v>0.1</v>
      </c>
      <c r="CA5" s="188" t="s">
        <v>675</v>
      </c>
      <c r="CB5" s="188">
        <f>SUM(BJ5:BZ5)</f>
        <v>1</v>
      </c>
    </row>
    <row r="6" spans="1:81" s="89" customFormat="1" ht="37.049999999999997" customHeight="1" thickBot="1">
      <c r="B6" s="336"/>
      <c r="C6" s="380"/>
      <c r="D6" s="381" t="s">
        <v>602</v>
      </c>
      <c r="E6" s="351" t="s">
        <v>603</v>
      </c>
      <c r="F6" s="351" t="s">
        <v>605</v>
      </c>
      <c r="G6" s="353" t="s">
        <v>604</v>
      </c>
      <c r="H6" s="355" t="s">
        <v>641</v>
      </c>
      <c r="I6" s="355" t="s">
        <v>661</v>
      </c>
      <c r="J6" s="335" t="s">
        <v>649</v>
      </c>
      <c r="K6" s="347"/>
      <c r="L6" s="347"/>
      <c r="M6" s="348"/>
      <c r="N6" s="357" t="s">
        <v>628</v>
      </c>
      <c r="O6" s="358"/>
      <c r="P6" s="358"/>
      <c r="Q6" s="358"/>
      <c r="R6" s="359"/>
      <c r="S6" s="335" t="s">
        <v>650</v>
      </c>
      <c r="T6" s="347"/>
      <c r="U6" s="347"/>
      <c r="V6" s="348"/>
      <c r="W6" s="360" t="s">
        <v>630</v>
      </c>
      <c r="X6" s="361"/>
      <c r="Y6" s="361"/>
      <c r="Z6" s="361"/>
      <c r="AA6" s="361"/>
      <c r="AB6" s="361"/>
      <c r="AC6" s="362"/>
      <c r="AD6" s="363" t="s">
        <v>629</v>
      </c>
      <c r="AE6" s="364"/>
      <c r="AF6" s="364"/>
      <c r="AG6" s="364"/>
      <c r="AH6" s="364"/>
      <c r="AI6" s="364"/>
      <c r="AJ6" s="365"/>
      <c r="AK6" s="366" t="s">
        <v>650</v>
      </c>
      <c r="AL6" s="367"/>
      <c r="AM6" s="367"/>
      <c r="AN6" s="368"/>
      <c r="AO6" s="335" t="s">
        <v>623</v>
      </c>
      <c r="AP6" s="347"/>
      <c r="AQ6" s="347"/>
      <c r="AR6" s="348"/>
      <c r="AS6" s="366" t="s">
        <v>679</v>
      </c>
      <c r="AT6" s="367"/>
      <c r="AU6" s="367"/>
      <c r="AV6" s="368"/>
      <c r="AW6" s="141" t="s">
        <v>636</v>
      </c>
      <c r="AX6" s="366" t="s">
        <v>651</v>
      </c>
      <c r="AY6" s="367"/>
      <c r="AZ6" s="367"/>
      <c r="BA6" s="367"/>
      <c r="BB6" s="140" t="s">
        <v>639</v>
      </c>
      <c r="BC6" s="142" t="s">
        <v>644</v>
      </c>
      <c r="BD6" s="143" t="s">
        <v>646</v>
      </c>
      <c r="BE6" s="82"/>
      <c r="BF6" s="82"/>
      <c r="BG6" s="82"/>
      <c r="BH6" s="82"/>
      <c r="BI6" s="82" t="s">
        <v>577</v>
      </c>
      <c r="BJ6" s="82" t="s">
        <v>564</v>
      </c>
      <c r="BK6" s="82" t="s">
        <v>565</v>
      </c>
      <c r="BL6" s="82" t="s">
        <v>566</v>
      </c>
      <c r="BM6" s="82" t="s">
        <v>568</v>
      </c>
      <c r="BN6" s="82" t="s">
        <v>599</v>
      </c>
      <c r="BO6" s="82" t="s">
        <v>598</v>
      </c>
      <c r="BP6" s="82" t="s">
        <v>600</v>
      </c>
      <c r="BQ6" s="82" t="s">
        <v>601</v>
      </c>
      <c r="BR6" s="82" t="s">
        <v>607</v>
      </c>
      <c r="BS6" s="82" t="s">
        <v>600</v>
      </c>
      <c r="BT6" s="82" t="s">
        <v>569</v>
      </c>
      <c r="BU6" s="82" t="s">
        <v>608</v>
      </c>
      <c r="BV6" s="82" t="s">
        <v>609</v>
      </c>
      <c r="BW6" s="82" t="s">
        <v>610</v>
      </c>
      <c r="BX6" s="82" t="s">
        <v>611</v>
      </c>
      <c r="BY6" s="82" t="s">
        <v>570</v>
      </c>
      <c r="BZ6" s="82" t="s">
        <v>571</v>
      </c>
      <c r="CA6" s="82" t="s">
        <v>674</v>
      </c>
      <c r="CB6" s="82" t="s">
        <v>578</v>
      </c>
    </row>
    <row r="7" spans="1:81" s="11" customFormat="1" ht="43.05" customHeight="1">
      <c r="B7" s="336"/>
      <c r="C7" s="380"/>
      <c r="D7" s="382"/>
      <c r="E7" s="352"/>
      <c r="F7" s="352"/>
      <c r="G7" s="354"/>
      <c r="H7" s="356"/>
      <c r="I7" s="356"/>
      <c r="J7" s="118" t="s">
        <v>613</v>
      </c>
      <c r="K7" s="91" t="s">
        <v>614</v>
      </c>
      <c r="L7" s="91" t="s">
        <v>615</v>
      </c>
      <c r="M7" s="97" t="s">
        <v>638</v>
      </c>
      <c r="N7" s="148" t="s">
        <v>642</v>
      </c>
      <c r="O7" s="92" t="s">
        <v>643</v>
      </c>
      <c r="P7" s="92" t="s">
        <v>618</v>
      </c>
      <c r="Q7" s="149" t="s">
        <v>619</v>
      </c>
      <c r="R7" s="239" t="s">
        <v>661</v>
      </c>
      <c r="S7" s="118" t="s">
        <v>613</v>
      </c>
      <c r="T7" s="91" t="s">
        <v>614</v>
      </c>
      <c r="U7" s="91" t="s">
        <v>615</v>
      </c>
      <c r="V7" s="97" t="s">
        <v>638</v>
      </c>
      <c r="W7" s="148" t="s">
        <v>584</v>
      </c>
      <c r="X7" s="92" t="s">
        <v>585</v>
      </c>
      <c r="Y7" s="92" t="s">
        <v>618</v>
      </c>
      <c r="Z7" s="93" t="s">
        <v>619</v>
      </c>
      <c r="AA7" s="239" t="s">
        <v>661</v>
      </c>
      <c r="AB7" s="91" t="s">
        <v>631</v>
      </c>
      <c r="AC7" s="97" t="s">
        <v>632</v>
      </c>
      <c r="AD7" s="148" t="s">
        <v>584</v>
      </c>
      <c r="AE7" s="92" t="s">
        <v>585</v>
      </c>
      <c r="AF7" s="92" t="s">
        <v>618</v>
      </c>
      <c r="AG7" s="93" t="s">
        <v>619</v>
      </c>
      <c r="AH7" s="239" t="s">
        <v>661</v>
      </c>
      <c r="AI7" s="91" t="s">
        <v>631</v>
      </c>
      <c r="AJ7" s="96" t="s">
        <v>632</v>
      </c>
      <c r="AK7" s="131" t="s">
        <v>613</v>
      </c>
      <c r="AL7" s="91" t="s">
        <v>614</v>
      </c>
      <c r="AM7" s="91" t="s">
        <v>615</v>
      </c>
      <c r="AN7" s="113" t="s">
        <v>638</v>
      </c>
      <c r="AO7" s="118" t="s">
        <v>622</v>
      </c>
      <c r="AP7" s="91" t="s">
        <v>633</v>
      </c>
      <c r="AQ7" s="91" t="s">
        <v>624</v>
      </c>
      <c r="AR7" s="97" t="s">
        <v>634</v>
      </c>
      <c r="AS7" s="131" t="s">
        <v>622</v>
      </c>
      <c r="AT7" s="91" t="s">
        <v>633</v>
      </c>
      <c r="AU7" s="91" t="s">
        <v>624</v>
      </c>
      <c r="AV7" s="113" t="s">
        <v>634</v>
      </c>
      <c r="AW7" s="137" t="s">
        <v>637</v>
      </c>
      <c r="AX7" s="131" t="s">
        <v>613</v>
      </c>
      <c r="AY7" s="91" t="s">
        <v>614</v>
      </c>
      <c r="AZ7" s="91" t="s">
        <v>615</v>
      </c>
      <c r="BA7" s="91" t="s">
        <v>638</v>
      </c>
      <c r="BB7" s="113" t="s">
        <v>640</v>
      </c>
      <c r="BC7" s="118" t="s">
        <v>631</v>
      </c>
      <c r="BD7" s="97" t="s">
        <v>647</v>
      </c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</row>
    <row r="8" spans="1:81" s="10" customFormat="1" ht="15.6" thickBot="1">
      <c r="B8" s="189">
        <v>1</v>
      </c>
      <c r="C8" s="193">
        <f>B8+1</f>
        <v>2</v>
      </c>
      <c r="D8" s="195">
        <f t="shared" ref="D8:BD8" si="5">C8+1</f>
        <v>3</v>
      </c>
      <c r="E8" s="192">
        <f t="shared" si="5"/>
        <v>4</v>
      </c>
      <c r="F8" s="192">
        <f t="shared" si="5"/>
        <v>5</v>
      </c>
      <c r="G8" s="193">
        <f t="shared" si="5"/>
        <v>6</v>
      </c>
      <c r="H8" s="194">
        <f t="shared" si="5"/>
        <v>7</v>
      </c>
      <c r="I8" s="194">
        <f t="shared" si="5"/>
        <v>8</v>
      </c>
      <c r="J8" s="191">
        <f>I8+1</f>
        <v>9</v>
      </c>
      <c r="K8" s="192">
        <f t="shared" si="5"/>
        <v>10</v>
      </c>
      <c r="L8" s="192">
        <f t="shared" si="5"/>
        <v>11</v>
      </c>
      <c r="M8" s="193">
        <f t="shared" si="5"/>
        <v>12</v>
      </c>
      <c r="N8" s="191">
        <f t="shared" si="5"/>
        <v>13</v>
      </c>
      <c r="O8" s="192">
        <f t="shared" si="5"/>
        <v>14</v>
      </c>
      <c r="P8" s="192">
        <f t="shared" si="5"/>
        <v>15</v>
      </c>
      <c r="Q8" s="193">
        <f t="shared" si="5"/>
        <v>16</v>
      </c>
      <c r="R8" s="191">
        <f>Q8+1</f>
        <v>17</v>
      </c>
      <c r="S8" s="191">
        <f>R8+1</f>
        <v>18</v>
      </c>
      <c r="T8" s="192">
        <f t="shared" si="5"/>
        <v>19</v>
      </c>
      <c r="U8" s="192">
        <f t="shared" si="5"/>
        <v>20</v>
      </c>
      <c r="V8" s="193">
        <f t="shared" si="5"/>
        <v>21</v>
      </c>
      <c r="W8" s="191">
        <f t="shared" si="5"/>
        <v>22</v>
      </c>
      <c r="X8" s="192">
        <f t="shared" si="5"/>
        <v>23</v>
      </c>
      <c r="Y8" s="192">
        <f t="shared" si="5"/>
        <v>24</v>
      </c>
      <c r="Z8" s="192">
        <f t="shared" si="5"/>
        <v>25</v>
      </c>
      <c r="AA8" s="192"/>
      <c r="AB8" s="192">
        <f>Z8+1</f>
        <v>26</v>
      </c>
      <c r="AC8" s="193">
        <f t="shared" si="5"/>
        <v>27</v>
      </c>
      <c r="AD8" s="191">
        <f t="shared" si="5"/>
        <v>28</v>
      </c>
      <c r="AE8" s="192">
        <f t="shared" si="5"/>
        <v>29</v>
      </c>
      <c r="AF8" s="192">
        <f t="shared" si="5"/>
        <v>30</v>
      </c>
      <c r="AG8" s="192">
        <f t="shared" si="5"/>
        <v>31</v>
      </c>
      <c r="AH8" s="192">
        <f>AG8+1</f>
        <v>32</v>
      </c>
      <c r="AI8" s="192">
        <f>AH8+1</f>
        <v>33</v>
      </c>
      <c r="AJ8" s="193">
        <f t="shared" si="5"/>
        <v>34</v>
      </c>
      <c r="AK8" s="195">
        <f t="shared" si="5"/>
        <v>35</v>
      </c>
      <c r="AL8" s="192">
        <f t="shared" si="5"/>
        <v>36</v>
      </c>
      <c r="AM8" s="192">
        <f t="shared" si="5"/>
        <v>37</v>
      </c>
      <c r="AN8" s="190">
        <f t="shared" si="5"/>
        <v>38</v>
      </c>
      <c r="AO8" s="191">
        <f t="shared" si="5"/>
        <v>39</v>
      </c>
      <c r="AP8" s="192">
        <f t="shared" si="5"/>
        <v>40</v>
      </c>
      <c r="AQ8" s="192">
        <f t="shared" si="5"/>
        <v>41</v>
      </c>
      <c r="AR8" s="193">
        <f t="shared" si="5"/>
        <v>42</v>
      </c>
      <c r="AS8" s="195">
        <f t="shared" si="5"/>
        <v>43</v>
      </c>
      <c r="AT8" s="192">
        <f t="shared" si="5"/>
        <v>44</v>
      </c>
      <c r="AU8" s="192">
        <f t="shared" si="5"/>
        <v>45</v>
      </c>
      <c r="AV8" s="190">
        <f t="shared" si="5"/>
        <v>46</v>
      </c>
      <c r="AW8" s="194">
        <f t="shared" si="5"/>
        <v>47</v>
      </c>
      <c r="AX8" s="195">
        <f t="shared" si="5"/>
        <v>48</v>
      </c>
      <c r="AY8" s="192">
        <f t="shared" si="5"/>
        <v>49</v>
      </c>
      <c r="AZ8" s="192">
        <f t="shared" si="5"/>
        <v>50</v>
      </c>
      <c r="BA8" s="192">
        <f t="shared" si="5"/>
        <v>51</v>
      </c>
      <c r="BB8" s="190">
        <f t="shared" si="5"/>
        <v>52</v>
      </c>
      <c r="BC8" s="191">
        <f t="shared" si="5"/>
        <v>53</v>
      </c>
      <c r="BD8" s="193">
        <f t="shared" si="5"/>
        <v>54</v>
      </c>
      <c r="BE8" s="82"/>
      <c r="BF8" s="82"/>
      <c r="BG8" s="82"/>
      <c r="BH8" s="82"/>
    </row>
    <row r="9" spans="1:81" s="196" customFormat="1" ht="16.05" customHeight="1">
      <c r="B9" s="197"/>
      <c r="C9" s="275" t="s">
        <v>617</v>
      </c>
      <c r="D9" s="145"/>
      <c r="E9" s="111"/>
      <c r="F9" s="111"/>
      <c r="G9" s="112"/>
      <c r="H9" s="146" t="str">
        <f>_xlfn.TEXTJOIN(,0,COUNTIF('РО - регионы'!$D$16:$D$104,2)," / ",COUNTIF('РО - регионы'!$D$16:$D$104,1)," / ",COUNTIF('РО - регионы'!$D$16:$D$104,0)," из ",COUNTIF('РО - регионы'!$D$16:$D$104,"&lt;&gt;"""))</f>
        <v>4 / 40 / 45 из 89</v>
      </c>
      <c r="I9" s="234"/>
      <c r="J9" s="119"/>
      <c r="K9" s="111"/>
      <c r="L9" s="111"/>
      <c r="M9" s="208"/>
      <c r="N9" s="369" t="e">
        <f ca="1">_xlfn.TEXTJOIN(,0,COUNTIF(Спецтехника!$D$16:$D$104,2)," / ",COUNTIF(Спецтехника!$D$16:$D$104,1)," / ",COUNTIF(Спецтехника!$D$16:$D$104,0)," из ",COUNTIF(Спецтехника!$D$16:$D$104,"&lt;&gt;"""))</f>
        <v>#NAME?</v>
      </c>
      <c r="O9" s="370"/>
      <c r="P9" s="370"/>
      <c r="Q9" s="371"/>
      <c r="R9" s="240"/>
      <c r="S9" s="119"/>
      <c r="T9" s="111"/>
      <c r="U9" s="111"/>
      <c r="V9" s="209"/>
      <c r="W9" s="372" t="str">
        <f>_xlfn.TEXTJOIN(,0,COUNTIF(МНО!$D$16:$D$104,2)," / ",COUNTIF(МНО!$D$16:$D$104,1)," / ",COUNTIF(МНО!$D$16:$D$104,0)," из ",COUNTIF(МНО!$D$16:$D$104,"&lt;&gt;"""))</f>
        <v>22 / 21 / 46 из 89</v>
      </c>
      <c r="X9" s="373"/>
      <c r="Y9" s="373"/>
      <c r="Z9" s="373"/>
      <c r="AA9" s="373"/>
      <c r="AB9" s="373"/>
      <c r="AC9" s="374"/>
      <c r="AD9" s="372" t="str">
        <f>_xlfn.TEXTJOIN(,0,COUNTIF(Контейнеры!$D$16:$D$104,2)," / ",COUNTIF(Контейнеры!$D$16:$D$104,1)," / ",COUNTIF(Контейнеры!$D$16:$D$104,0)," из ",COUNTIF(Контейнеры!$D$16:$D$104,"&lt;&gt;"""))</f>
        <v>23 / 24 / 42 из 89</v>
      </c>
      <c r="AE9" s="373"/>
      <c r="AF9" s="373"/>
      <c r="AG9" s="373"/>
      <c r="AH9" s="373"/>
      <c r="AI9" s="373"/>
      <c r="AJ9" s="374"/>
      <c r="AK9" s="145"/>
      <c r="AL9" s="111"/>
      <c r="AM9" s="111"/>
      <c r="AN9" s="209"/>
      <c r="AO9" s="375" t="str">
        <f>_xlfn.TEXTJOIN(,0,COUNTIF(Обработка!$D$16:$D$104,2)," / ",COUNTIF(Обработка!$D$16:$D$104,1)," / ",COUNTIF(Обработка!$D$16:$D$104,0)," из ",COUNTIF(Обработка!$D$16:$D$104,"&lt;&gt;"""))</f>
        <v>4 / 23 / 23 из 89</v>
      </c>
      <c r="AP9" s="376"/>
      <c r="AQ9" s="376"/>
      <c r="AR9" s="377"/>
      <c r="AS9" s="378" t="str">
        <f>_xlfn.TEXTJOIN(,0,COUNTIF(Утилизация!$D$16:$D$104,2)," / ",COUNTIF(Утилизация!$D$16:$D$104,1)," / ",COUNTIF(Утилизация!$D$16:$D$104,0)," из ",COUNTIF(Утилизация!$D$16:$D$104,"&lt;&gt;"""))</f>
        <v>25 / 29 / 6 из 89</v>
      </c>
      <c r="AT9" s="376"/>
      <c r="AU9" s="376"/>
      <c r="AV9" s="379"/>
      <c r="AW9" s="138" t="str">
        <f>_xlfn.TEXTJOIN(,0,COUNTIF(Захоронение!$D$16:$D$104,2),"/",COUNTIF(Захоронение!$D$16:$D$104,1),"/",COUNTIF(Захоронение!$D$16:$D$104,0)," из ",COUNTIF(Захоронение!$D$16:$D$104,"&lt;&gt;"""))</f>
        <v>29/16/44 из 89</v>
      </c>
      <c r="AX9" s="132"/>
      <c r="AY9" s="129"/>
      <c r="AZ9" s="129"/>
      <c r="BA9" s="209"/>
      <c r="BB9" s="124" t="str">
        <f>'ДК ИП'!F15</f>
        <v>14 / 19 / 13</v>
      </c>
      <c r="BC9" s="119"/>
      <c r="BD9" s="112"/>
      <c r="BE9" s="83"/>
      <c r="BF9" s="83"/>
      <c r="BG9" s="83"/>
      <c r="BH9" s="83"/>
      <c r="BI9" s="90"/>
      <c r="BJ9" s="90"/>
      <c r="BK9" s="90"/>
      <c r="BL9" s="90"/>
      <c r="BM9" s="90"/>
      <c r="BN9" s="90"/>
      <c r="BO9" s="90"/>
      <c r="BP9" s="90"/>
      <c r="BQ9" s="90"/>
      <c r="BR9" s="90"/>
      <c r="BS9" s="90"/>
      <c r="BT9" s="90"/>
      <c r="BU9" s="90"/>
      <c r="BV9" s="90"/>
      <c r="BW9" s="90"/>
      <c r="BX9" s="90"/>
      <c r="BY9" s="90"/>
      <c r="BZ9" s="90"/>
      <c r="CA9" s="90"/>
      <c r="CB9" s="90"/>
    </row>
    <row r="10" spans="1:81" s="196" customFormat="1" ht="16.05" customHeight="1" thickBot="1">
      <c r="B10" s="199"/>
      <c r="C10" s="276" t="s">
        <v>616</v>
      </c>
      <c r="D10" s="282">
        <f>Штаб!G15</f>
        <v>36</v>
      </c>
      <c r="E10" s="283">
        <f>Штаб!H15</f>
        <v>14</v>
      </c>
      <c r="F10" s="283">
        <f>Штаб!I15</f>
        <v>15</v>
      </c>
      <c r="G10" s="284">
        <f>Штаб!J15</f>
        <v>24</v>
      </c>
      <c r="H10" s="147" t="str">
        <f>_xlfn.TEXTJOIN(,0,'РО - регионы'!I15," из ",'РО - регионы'!H15)</f>
        <v>4/97/159 из 260</v>
      </c>
      <c r="I10" s="235"/>
      <c r="J10" s="120"/>
      <c r="K10" s="105"/>
      <c r="L10" s="105"/>
      <c r="M10" s="110"/>
      <c r="N10" s="150">
        <f>Спецтехника!E15</f>
        <v>25984</v>
      </c>
      <c r="O10" s="106">
        <f>Спецтехника!F15</f>
        <v>23597</v>
      </c>
      <c r="P10" s="106">
        <f>Спецтехника!G15</f>
        <v>2387</v>
      </c>
      <c r="Q10" s="151">
        <f>Спецтехника!H15</f>
        <v>9.1864224137931036E-2</v>
      </c>
      <c r="R10" s="233"/>
      <c r="S10" s="120"/>
      <c r="T10" s="105"/>
      <c r="U10" s="105"/>
      <c r="V10" s="110"/>
      <c r="W10" s="150">
        <f>МНО!Q15</f>
        <v>1201872</v>
      </c>
      <c r="X10" s="106">
        <f>МНО!I15</f>
        <v>980980</v>
      </c>
      <c r="Y10" s="106">
        <f>МНО!L15</f>
        <v>220892</v>
      </c>
      <c r="Z10" s="107">
        <f>МНО!R15</f>
        <v>0.18378995433789955</v>
      </c>
      <c r="AA10" s="107"/>
      <c r="AB10" s="108">
        <f>МНО!N15</f>
        <v>5.9442443379488017</v>
      </c>
      <c r="AC10" s="152">
        <f>МНО!S15</f>
        <v>0.67392218341499344</v>
      </c>
      <c r="AD10" s="150">
        <f>Контейнеры!Q15</f>
        <v>2366240</v>
      </c>
      <c r="AE10" s="106">
        <f>Контейнеры!I15</f>
        <v>2005049</v>
      </c>
      <c r="AF10" s="106">
        <f>Контейнеры!L15</f>
        <v>361191</v>
      </c>
      <c r="AG10" s="107">
        <f>Контейнеры!R15</f>
        <v>0.15264343430928393</v>
      </c>
      <c r="AH10" s="107"/>
      <c r="AI10" s="108">
        <f>Контейнеры!N15</f>
        <v>13.719043282072189</v>
      </c>
      <c r="AJ10" s="156">
        <f>Контейнеры!S15</f>
        <v>0.81796834682642161</v>
      </c>
      <c r="AK10" s="133"/>
      <c r="AL10" s="105"/>
      <c r="AM10" s="105"/>
      <c r="AN10" s="114"/>
      <c r="AO10" s="158">
        <f>Обработка!G15</f>
        <v>0.54300000000000004</v>
      </c>
      <c r="AP10" s="109">
        <v>0</v>
      </c>
      <c r="AQ10" s="109">
        <f>Обработка!H15</f>
        <v>0.80700000000000005</v>
      </c>
      <c r="AR10" s="159">
        <v>0</v>
      </c>
      <c r="AS10" s="157">
        <f>Утилизация!G15</f>
        <v>0.13900000000000001</v>
      </c>
      <c r="AT10" s="109">
        <v>0</v>
      </c>
      <c r="AU10" s="109">
        <f>Утилизация!H15</f>
        <v>0.28599999999999998</v>
      </c>
      <c r="AV10" s="130">
        <v>0</v>
      </c>
      <c r="AW10" s="139"/>
      <c r="AX10" s="133"/>
      <c r="AY10" s="105"/>
      <c r="AZ10" s="105"/>
      <c r="BA10" s="110"/>
      <c r="BB10" s="125"/>
      <c r="BC10" s="273">
        <f>Радар!G15</f>
        <v>0.10387901498089072</v>
      </c>
      <c r="BD10" s="110"/>
      <c r="BE10" s="83"/>
      <c r="BF10" s="295"/>
      <c r="BG10" s="83"/>
      <c r="BH10" s="83"/>
      <c r="BI10" s="90"/>
      <c r="BJ10" s="90"/>
      <c r="BK10" s="90"/>
      <c r="BL10" s="90"/>
      <c r="BM10" s="90"/>
      <c r="BN10" s="90"/>
      <c r="BO10" s="90"/>
      <c r="BP10" s="90"/>
      <c r="BQ10" s="90"/>
      <c r="BR10" s="90"/>
      <c r="BS10" s="90"/>
      <c r="BT10" s="90"/>
      <c r="BU10" s="90"/>
      <c r="BV10" s="90"/>
      <c r="BW10" s="90"/>
      <c r="BX10" s="90"/>
      <c r="BY10" s="90"/>
      <c r="BZ10" s="90"/>
      <c r="CA10" s="90"/>
      <c r="CB10" s="90"/>
    </row>
    <row r="11" spans="1:81" ht="15.6" thickBot="1">
      <c r="A11" s="9" t="s">
        <v>653</v>
      </c>
      <c r="B11" s="121">
        <f t="shared" ref="B11:B42" si="6">B10+1</f>
        <v>1</v>
      </c>
      <c r="C11" s="201" t="s">
        <v>1</v>
      </c>
      <c r="D11" s="277" t="str">
        <f>VLOOKUP($C11,Штаб!$B$16:$J$104,6,0)</f>
        <v>✔️</v>
      </c>
      <c r="E11" s="285" t="str">
        <f>VLOOKUP($C11,Штаб!$B$16:$J$104,7,0)</f>
        <v/>
      </c>
      <c r="F11" s="285" t="str">
        <f>VLOOKUP($C11,Штаб!$B$16:$J$104,8,0)</f>
        <v/>
      </c>
      <c r="G11" s="286" t="str">
        <f>VLOOKUP($C11,Штаб!$B$16:$J$104,9,0)</f>
        <v/>
      </c>
      <c r="H11" s="287" t="str">
        <f>VLOOKUP(C11,'РО - регионы'!$B$16:$I$104,8,0)</f>
        <v>0 / 4 / 3 из 7</v>
      </c>
      <c r="I11" s="236"/>
      <c r="J11" s="121"/>
      <c r="K11" s="102"/>
      <c r="L11" s="102"/>
      <c r="M11" s="104"/>
      <c r="N11" s="252">
        <f>VLOOKUP(C11,Спецтехника!$B$16:$J$104,4,0)</f>
        <v>401</v>
      </c>
      <c r="O11" s="253">
        <f>VLOOKUP(C11,Спецтехника!$B$16:$J$104,5,0)</f>
        <v>352</v>
      </c>
      <c r="P11" s="253">
        <f>VLOOKUP(C11,Спецтехника!$B$16:$J$104,6,0)</f>
        <v>49</v>
      </c>
      <c r="Q11" s="298">
        <f>VLOOKUP(C11,Спецтехника!$B$16:$J$104,7,0)</f>
        <v>0.12219451371571072</v>
      </c>
      <c r="R11" s="241"/>
      <c r="S11" s="121"/>
      <c r="T11" s="102"/>
      <c r="U11" s="102"/>
      <c r="V11" s="104"/>
      <c r="W11" s="255">
        <f>VLOOKUP($C11,МНО!$B$16:$AB$104,16,0)</f>
        <v>38081</v>
      </c>
      <c r="X11" s="256">
        <f>VLOOKUP($C11,МНО!$B$16:$AB$104,8,0)</f>
        <v>20660</v>
      </c>
      <c r="Y11" s="256">
        <f>VLOOKUP($C11,МНО!$B$16:$AB$104,11,0)</f>
        <v>17421</v>
      </c>
      <c r="Z11" s="299">
        <f>VLOOKUP($C11,МНО!$B$16:$AB$104,17,0)</f>
        <v>0.45747223024605449</v>
      </c>
      <c r="AA11" s="244"/>
      <c r="AB11" s="103">
        <f>VLOOKUP($C11,МНО!$B$16:$AB$104,13,0)</f>
        <v>8.1709141174713089</v>
      </c>
      <c r="AC11" s="153">
        <f>VLOOKUP($C11,МНО!$B$16:$AB$104,18,0)</f>
        <v>1</v>
      </c>
      <c r="AD11" s="252">
        <f>VLOOKUP($C11,Контейнеры!$B$16:$AB$104,16,0)</f>
        <v>46247</v>
      </c>
      <c r="AE11" s="253">
        <f>VLOOKUP($C11,Контейнеры!$B$16:$AB$104,8,0)</f>
        <v>34946</v>
      </c>
      <c r="AF11" s="253">
        <f>VLOOKUP($C11,Контейнеры!$B$16:$AB$104,11,0)</f>
        <v>11301</v>
      </c>
      <c r="AG11" s="292">
        <f>VLOOKUP($C11,Контейнеры!$B$16:$AB$104,17,0)</f>
        <v>0.24436179644085021</v>
      </c>
      <c r="AH11" s="244"/>
      <c r="AI11" s="103">
        <f>VLOOKUP($C11,Контейнеры!$B$16:$AB$104,13,0)</f>
        <v>16.520525616127767</v>
      </c>
      <c r="AJ11" s="153">
        <f>VLOOKUP($C11,Контейнеры!$B$16:$AB$104,18,0)</f>
        <v>1</v>
      </c>
      <c r="AK11" s="134"/>
      <c r="AL11" s="102"/>
      <c r="AM11" s="102"/>
      <c r="AN11" s="115"/>
      <c r="AO11" s="300">
        <f>VLOOKUP($C11,Обработка!$B$16:$L$104,6,0)</f>
        <v>0</v>
      </c>
      <c r="AP11" s="250">
        <f t="shared" ref="AP11:AP42" si="7">AO11-$AO$10</f>
        <v>-0.54300000000000004</v>
      </c>
      <c r="AQ11" s="175">
        <f>VLOOKUP($C11,Обработка!$B$16:$L$104,7,0)</f>
        <v>1</v>
      </c>
      <c r="AR11" s="176">
        <f t="shared" ref="AR11:AR42" si="8">AQ11-$AQ$10</f>
        <v>0.19299999999999995</v>
      </c>
      <c r="AS11" s="249">
        <f>VLOOKUP($C11,Утилизация!$B$16:$L$104,6,0)</f>
        <v>0</v>
      </c>
      <c r="AT11" s="250">
        <f t="shared" ref="AT11:AT42" si="9">AS11-$AS$10</f>
        <v>-0.13900000000000001</v>
      </c>
      <c r="AU11" s="175">
        <f>VLOOKUP($C11,Утилизация!$B$16:$L$104,7,0)</f>
        <v>0.47</v>
      </c>
      <c r="AV11" s="183">
        <f t="shared" ref="AV11:AV42" si="10">AU11-$AU$10</f>
        <v>0.184</v>
      </c>
      <c r="AW11" s="251" t="str">
        <f>VLOOKUP(C11,Захоронение!$B$16:$Q$104,16,0)</f>
        <v>765 приказ</v>
      </c>
      <c r="AX11" s="134"/>
      <c r="AY11" s="102"/>
      <c r="AZ11" s="102"/>
      <c r="BA11" s="104"/>
      <c r="BB11" s="126" t="str">
        <f>VLOOKUP(C11,'ДК ИП'!$B$16:$JO$104,5,0)</f>
        <v>небольшое</v>
      </c>
      <c r="BC11" s="306">
        <f>VLOOKUP(C11,Радар!$B$16:$G$104,6,0)</f>
        <v>2.0800753365467346E-2</v>
      </c>
      <c r="BD11" s="272"/>
      <c r="BF11" s="293">
        <f t="shared" ref="BF11:BF42" si="11">(BU11+BV11+BW11+BX11+BY11*4+BZ11)/12</f>
        <v>1</v>
      </c>
      <c r="BI11" s="8">
        <f t="shared" ref="BI11:BI42" si="12">IF(CB11&gt;=1.3,2,IF(CB11&gt;=0.8,1,0))</f>
        <v>1</v>
      </c>
      <c r="BJ11" s="8">
        <f>VLOOKUP(C11,Штаб!$B$16:$C$104,2)</f>
        <v>0</v>
      </c>
      <c r="BK11" s="8">
        <f>VLOOKUP(C11,'РО - регионы'!$B$16:$C$104,2)</f>
        <v>1</v>
      </c>
      <c r="BL11" s="8">
        <f>VLOOKUP(C11,'РО - регионы'!$B$16:$L$104,11)</f>
        <v>2</v>
      </c>
      <c r="BM11" s="8">
        <f>VLOOKUP(C11,Спецтехника!$B$16:$C$104,2)</f>
        <v>1</v>
      </c>
      <c r="BN11" s="8">
        <f>VLOOKUP($C11,МНО!$B$16:$AB$104,6,0)</f>
        <v>2</v>
      </c>
      <c r="BO11" s="8">
        <f>VLOOKUP($C11,МНО!$B$16:$AB$104,4,0)</f>
        <v>0</v>
      </c>
      <c r="BP11" s="8">
        <f>VLOOKUP($C11,МНО!$B$16:$AB$104,5,0)</f>
        <v>0</v>
      </c>
      <c r="BQ11" s="8">
        <f>VLOOKUP($C11,Контейнеры!$B$16:$G$104,6,0)</f>
        <v>1</v>
      </c>
      <c r="BR11" s="8">
        <f>VLOOKUP($C11,Контейнеры!$B$16:$G$104,4,0)</f>
        <v>2</v>
      </c>
      <c r="BS11" s="8">
        <f>VLOOKUP($C11,Контейнеры!$B$16:$G$104,5,0)</f>
        <v>0</v>
      </c>
      <c r="BT11" s="8">
        <f>VLOOKUP($C11,'ДК МНО'!$B$16:$C$104,2,0)</f>
        <v>2</v>
      </c>
      <c r="BU11" s="8">
        <f>VLOOKUP($C11,Обработка!$B$16:$F$104,5,0)</f>
        <v>0</v>
      </c>
      <c r="BV11" s="8">
        <f>VLOOKUP($C11,Обработка!$B$16:$F$104,4,0)</f>
        <v>2</v>
      </c>
      <c r="BW11" s="8">
        <f>VLOOKUP($C11,Утилизация!$B$16:$F$104,5,0)</f>
        <v>0</v>
      </c>
      <c r="BX11" s="8">
        <f>VLOOKUP($C11,Утилизация!$B$16:$F$104,4,0)</f>
        <v>2</v>
      </c>
      <c r="BY11" s="8">
        <f>VLOOKUP($C11,Захоронение!$B$16:$C$104,2,0)</f>
        <v>2</v>
      </c>
      <c r="BZ11" s="8">
        <f>VLOOKUP($C11,'ДК ИП'!$B$16:$C$104,2,0)</f>
        <v>0</v>
      </c>
      <c r="CA11" s="8">
        <f>VLOOKUP(C11,Радар!$B$16:$G$104,2,0)</f>
        <v>0</v>
      </c>
      <c r="CB11" s="8">
        <f t="shared" ref="CB11:CB42" si="13">SUMPRODUCT(BJ11:BZ11,$BJ$5:$BZ$5)</f>
        <v>1.2</v>
      </c>
    </row>
    <row r="12" spans="1:81" ht="15.6" thickBot="1">
      <c r="A12" s="9" t="s">
        <v>654</v>
      </c>
      <c r="B12" s="122">
        <f t="shared" si="6"/>
        <v>2</v>
      </c>
      <c r="C12" s="202" t="s">
        <v>9</v>
      </c>
      <c r="D12" s="277" t="str">
        <f>VLOOKUP($C12,Штаб!$B$16:$J$104,6,0)</f>
        <v>✔️</v>
      </c>
      <c r="E12" s="285" t="str">
        <f>VLOOKUP($C12,Штаб!$B$16:$J$104,7,0)</f>
        <v/>
      </c>
      <c r="F12" s="285" t="str">
        <f>VLOOKUP($C12,Штаб!$B$16:$J$104,8,0)</f>
        <v/>
      </c>
      <c r="G12" s="286" t="str">
        <f>VLOOKUP($C12,Штаб!$B$16:$J$104,9,0)</f>
        <v/>
      </c>
      <c r="H12" s="278" t="str">
        <f>VLOOKUP(C12,'РО - регионы'!$B$16:$I$104,8,0)</f>
        <v>0 / 3 / 2 из 5</v>
      </c>
      <c r="I12" s="237"/>
      <c r="J12" s="122"/>
      <c r="K12" s="94"/>
      <c r="L12" s="94"/>
      <c r="M12" s="98"/>
      <c r="N12" s="163">
        <f>VLOOKUP(C12,Спецтехника!$B$16:$J$104,4,0)</f>
        <v>260</v>
      </c>
      <c r="O12" s="166">
        <f>VLOOKUP(C12,Спецтехника!$B$16:$J$104,5,0)</f>
        <v>260</v>
      </c>
      <c r="P12" s="166">
        <f>VLOOKUP(C12,Спецтехника!$B$16:$J$104,6,0)</f>
        <v>0</v>
      </c>
      <c r="Q12" s="169">
        <f>VLOOKUP(C12,Спецтехника!$B$16:$J$104,7,0)</f>
        <v>0</v>
      </c>
      <c r="R12" s="242"/>
      <c r="S12" s="122"/>
      <c r="T12" s="94"/>
      <c r="U12" s="94"/>
      <c r="V12" s="98"/>
      <c r="W12" s="164">
        <f>VLOOKUP($C12,МНО!$B$16:$AB$104,16,0)</f>
        <v>17035</v>
      </c>
      <c r="X12" s="167">
        <f>VLOOKUP($C12,МНО!$B$16:$AB$104,8,0)</f>
        <v>13606</v>
      </c>
      <c r="Y12" s="167">
        <f>VLOOKUP($C12,МНО!$B$16:$AB$104,11,0)</f>
        <v>3429</v>
      </c>
      <c r="Z12" s="172">
        <f>VLOOKUP($C12,МНО!$B$16:$AB$104,17,0)</f>
        <v>0.20129145876137364</v>
      </c>
      <c r="AA12" s="245"/>
      <c r="AB12" s="95">
        <f>VLOOKUP($C12,МНО!$B$16:$AB$104,13,0)</f>
        <v>16.439514027114335</v>
      </c>
      <c r="AC12" s="154">
        <f>VLOOKUP($C12,МНО!$B$16:$AB$104,18,0)</f>
        <v>1</v>
      </c>
      <c r="AD12" s="163">
        <f>VLOOKUP($C12,Контейнеры!$B$16:$AB$104,16,0)</f>
        <v>28111</v>
      </c>
      <c r="AE12" s="166">
        <f>VLOOKUP($C12,Контейнеры!$B$16:$AB$104,8,0)</f>
        <v>23969</v>
      </c>
      <c r="AF12" s="166">
        <f>VLOOKUP($C12,Контейнеры!$B$16:$AB$104,11,0)</f>
        <v>4142</v>
      </c>
      <c r="AG12" s="173">
        <f>VLOOKUP($C12,Контейнеры!$B$16:$AB$104,17,0)</f>
        <v>0.14734445590694034</v>
      </c>
      <c r="AH12" s="245"/>
      <c r="AI12" s="95">
        <f>VLOOKUP($C12,Контейнеры!$B$16:$AB$104,13,0)</f>
        <v>31.955130298913588</v>
      </c>
      <c r="AJ12" s="154">
        <f>VLOOKUP($C12,Контейнеры!$B$16:$AB$104,18,0)</f>
        <v>1</v>
      </c>
      <c r="AK12" s="135"/>
      <c r="AL12" s="94"/>
      <c r="AM12" s="94"/>
      <c r="AN12" s="116"/>
      <c r="AO12" s="79">
        <f>VLOOKUP($C12,Обработка!$B$16:$L$104,6,0)</f>
        <v>1E-3</v>
      </c>
      <c r="AP12" s="75">
        <f t="shared" si="7"/>
        <v>-0.54200000000000004</v>
      </c>
      <c r="AQ12" s="76">
        <f>VLOOKUP($C12,Обработка!$B$16:$L$104,7,0)</f>
        <v>0.23699999999999999</v>
      </c>
      <c r="AR12" s="177">
        <f t="shared" si="8"/>
        <v>-0.57000000000000006</v>
      </c>
      <c r="AS12" s="180">
        <f>VLOOKUP($C12,Утилизация!$B$16:$L$104,6,0)</f>
        <v>0</v>
      </c>
      <c r="AT12" s="76">
        <f t="shared" si="9"/>
        <v>-0.13900000000000001</v>
      </c>
      <c r="AU12" s="76">
        <f>VLOOKUP($C12,Утилизация!$B$16:$L$104,7,0)</f>
        <v>0.1</v>
      </c>
      <c r="AV12" s="184">
        <f t="shared" si="10"/>
        <v>-0.18599999999999997</v>
      </c>
      <c r="AW12" s="162" t="str">
        <f>VLOOKUP(C12,Захоронение!$B$16:$Q$104,16,0)</f>
        <v>белые пятна</v>
      </c>
      <c r="AX12" s="135"/>
      <c r="AY12" s="94"/>
      <c r="AZ12" s="94"/>
      <c r="BA12" s="98"/>
      <c r="BB12" s="127" t="str">
        <f>VLOOKUP(C12,'ДК ИП'!$B$16:$S$104,5,0)</f>
        <v>среднее</v>
      </c>
      <c r="BC12" s="288">
        <f>VLOOKUP(C12,Радар!$B$16:$G$104,6,0)</f>
        <v>4.6968135526335084</v>
      </c>
      <c r="BD12" s="98"/>
      <c r="BF12" s="293">
        <f t="shared" si="11"/>
        <v>1.4166666666666667</v>
      </c>
      <c r="BI12" s="8">
        <f t="shared" si="12"/>
        <v>1</v>
      </c>
      <c r="BJ12" s="8">
        <f>VLOOKUP(C12,Штаб!$B$16:$C$104,2)</f>
        <v>0</v>
      </c>
      <c r="BK12" s="8">
        <f>VLOOKUP(C12,'РО - регионы'!$B$16:$C$104,2)</f>
        <v>1</v>
      </c>
      <c r="BL12" s="8">
        <f>VLOOKUP(C12,'РО - регионы'!$B$16:$L$104,11)</f>
        <v>2</v>
      </c>
      <c r="BM12" s="8">
        <f>VLOOKUP(C12,Спецтехника!$B$16:$C$104,2)</f>
        <v>0</v>
      </c>
      <c r="BN12" s="8">
        <f>VLOOKUP($C12,МНО!$B$16:$AB$104,6,0)</f>
        <v>1</v>
      </c>
      <c r="BO12" s="8">
        <f>VLOOKUP($C12,МНО!$B$16:$AB$104,4,0)</f>
        <v>0</v>
      </c>
      <c r="BP12" s="8">
        <f>VLOOKUP($C12,МНО!$B$16:$AB$104,5,0)</f>
        <v>0</v>
      </c>
      <c r="BQ12" s="8">
        <f>VLOOKUP($C12,Контейнеры!$B$16:$G$104,6,0)</f>
        <v>0</v>
      </c>
      <c r="BR12" s="8">
        <f>VLOOKUP($C12,Контейнеры!$B$16:$G$104,4,0)</f>
        <v>0</v>
      </c>
      <c r="BS12" s="8">
        <f>VLOOKUP($C12,Контейнеры!$B$16:$G$104,5,0)</f>
        <v>0</v>
      </c>
      <c r="BT12" s="8">
        <f>VLOOKUP($C12,'ДК МНО'!$B$16:$C$104,2,0)</f>
        <v>2</v>
      </c>
      <c r="BU12" s="8">
        <f>VLOOKUP($C12,Обработка!$B$16:$F$104,5,0)</f>
        <v>2</v>
      </c>
      <c r="BV12" s="8">
        <f>VLOOKUP($C12,Обработка!$B$16:$F$104,4,0)</f>
        <v>2</v>
      </c>
      <c r="BW12" s="8">
        <f>VLOOKUP($C12,Утилизация!$B$16:$F$104,5,0)</f>
        <v>2</v>
      </c>
      <c r="BX12" s="8">
        <f>VLOOKUP($C12,Утилизация!$B$16:$F$104,4,0)</f>
        <v>2</v>
      </c>
      <c r="BY12" s="8">
        <f>VLOOKUP($C12,Захоронение!$B$16:$C$104,2,0)</f>
        <v>2</v>
      </c>
      <c r="BZ12" s="8">
        <f>VLOOKUP($C12,'ДК ИП'!$B$16:$C$104,2,0)</f>
        <v>1</v>
      </c>
      <c r="CA12" s="8">
        <f>VLOOKUP(C12,Радар!$B$16:$G$104,2,0)</f>
        <v>2</v>
      </c>
      <c r="CB12" s="8">
        <f t="shared" si="13"/>
        <v>1.25</v>
      </c>
    </row>
    <row r="13" spans="1:81" ht="15.6" thickBot="1">
      <c r="A13" s="9" t="s">
        <v>655</v>
      </c>
      <c r="B13" s="121">
        <f t="shared" si="6"/>
        <v>3</v>
      </c>
      <c r="C13" s="202" t="s">
        <v>10</v>
      </c>
      <c r="D13" s="277" t="str">
        <f>VLOOKUP($C13,Штаб!$B$16:$J$104,6,0)</f>
        <v>✔️</v>
      </c>
      <c r="E13" s="285" t="str">
        <f>VLOOKUP($C13,Штаб!$B$16:$J$104,7,0)</f>
        <v/>
      </c>
      <c r="F13" s="285" t="str">
        <f>VLOOKUP($C13,Штаб!$B$16:$J$104,8,0)</f>
        <v/>
      </c>
      <c r="G13" s="286" t="str">
        <f>VLOOKUP($C13,Штаб!$B$16:$J$104,9,0)</f>
        <v/>
      </c>
      <c r="H13" s="278" t="str">
        <f>VLOOKUP(C13,'РО - регионы'!$B$16:$I$104,8,0)</f>
        <v>0 / 1 / 0 из 1</v>
      </c>
      <c r="I13" s="237"/>
      <c r="J13" s="122"/>
      <c r="K13" s="94"/>
      <c r="L13" s="94"/>
      <c r="M13" s="98"/>
      <c r="N13" s="164">
        <f>VLOOKUP(C13,Спецтехника!$B$16:$J$104,4,0)</f>
        <v>256</v>
      </c>
      <c r="O13" s="167">
        <f>VLOOKUP(C13,Спецтехника!$B$16:$J$104,5,0)</f>
        <v>224</v>
      </c>
      <c r="P13" s="167">
        <f>VLOOKUP(C13,Спецтехника!$B$16:$J$104,6,0)</f>
        <v>32</v>
      </c>
      <c r="Q13" s="170">
        <f>VLOOKUP(C13,Спецтехника!$B$16:$J$104,7,0)</f>
        <v>0.125</v>
      </c>
      <c r="R13" s="242"/>
      <c r="S13" s="122"/>
      <c r="T13" s="94"/>
      <c r="U13" s="94"/>
      <c r="V13" s="98"/>
      <c r="W13" s="163">
        <f>VLOOKUP($C13,МНО!$B$16:$AB$104,16,0)</f>
        <v>12496</v>
      </c>
      <c r="X13" s="166">
        <f>VLOOKUP($C13,МНО!$B$16:$AB$104,8,0)</f>
        <v>11033</v>
      </c>
      <c r="Y13" s="166">
        <f>VLOOKUP($C13,МНО!$B$16:$AB$104,11,0)</f>
        <v>1463</v>
      </c>
      <c r="Z13" s="173">
        <f>VLOOKUP($C13,МНО!$B$16:$AB$104,17,0)</f>
        <v>0.11707746478873239</v>
      </c>
      <c r="AA13" s="245"/>
      <c r="AB13" s="95">
        <f>VLOOKUP($C13,МНО!$B$16:$AB$104,13,0)</f>
        <v>10.556071676668257</v>
      </c>
      <c r="AC13" s="154">
        <f>VLOOKUP($C13,МНО!$B$16:$AB$104,18,0)</f>
        <v>1</v>
      </c>
      <c r="AD13" s="163">
        <f>VLOOKUP($C13,Контейнеры!$B$16:$AB$104,16,0)</f>
        <v>28980</v>
      </c>
      <c r="AE13" s="166">
        <f>VLOOKUP($C13,Контейнеры!$B$16:$AB$104,8,0)</f>
        <v>25191</v>
      </c>
      <c r="AF13" s="166">
        <f>VLOOKUP($C13,Контейнеры!$B$16:$AB$104,11,0)</f>
        <v>3789</v>
      </c>
      <c r="AG13" s="173">
        <f>VLOOKUP($C13,Контейнеры!$B$16:$AB$104,17,0)</f>
        <v>0.13074534161490683</v>
      </c>
      <c r="AH13" s="245"/>
      <c r="AI13" s="95">
        <f>VLOOKUP($C13,Контейнеры!$B$16:$AB$104,13,0)</f>
        <v>26.354608682552037</v>
      </c>
      <c r="AJ13" s="154">
        <f>VLOOKUP($C13,Контейнеры!$B$16:$AB$104,18,0)</f>
        <v>1</v>
      </c>
      <c r="AK13" s="135"/>
      <c r="AL13" s="94"/>
      <c r="AM13" s="94"/>
      <c r="AN13" s="116"/>
      <c r="AO13" s="79">
        <f>VLOOKUP($C13,Обработка!$B$16:$L$104,6,0)</f>
        <v>9.9000000000000005E-2</v>
      </c>
      <c r="AP13" s="75">
        <f t="shared" si="7"/>
        <v>-0.44400000000000006</v>
      </c>
      <c r="AQ13" s="75">
        <f>VLOOKUP($C13,Обработка!$B$16:$L$104,7,0)</f>
        <v>1</v>
      </c>
      <c r="AR13" s="178">
        <f t="shared" si="8"/>
        <v>0.19299999999999995</v>
      </c>
      <c r="AS13" s="180">
        <f>VLOOKUP($C13,Утилизация!$B$16:$L$104,6,0)</f>
        <v>3.0000000000000001E-3</v>
      </c>
      <c r="AT13" s="76">
        <f t="shared" si="9"/>
        <v>-0.13600000000000001</v>
      </c>
      <c r="AU13" s="75">
        <f>VLOOKUP($C13,Утилизация!$B$16:$L$104,7,0)</f>
        <v>0.55000000000000004</v>
      </c>
      <c r="AV13" s="185">
        <f t="shared" si="10"/>
        <v>0.26400000000000007</v>
      </c>
      <c r="AW13" s="162" t="str">
        <f>VLOOKUP(C13,Захоронение!$B$16:$Q$104,16,0)</f>
        <v>765 приказ</v>
      </c>
      <c r="AX13" s="135"/>
      <c r="AY13" s="94"/>
      <c r="AZ13" s="94"/>
      <c r="BA13" s="98"/>
      <c r="BB13" s="127" t="str">
        <f>VLOOKUP(C13,'ДК ИП'!$B$16:$S$104,5,0)</f>
        <v>небольшое</v>
      </c>
      <c r="BC13" s="290">
        <f>VLOOKUP(C13,Радар!$B$16:$G$104,6,0)</f>
        <v>1.7785254559302313E-2</v>
      </c>
      <c r="BD13" s="98"/>
      <c r="BF13" s="293">
        <f t="shared" si="11"/>
        <v>1</v>
      </c>
      <c r="BI13" s="8">
        <f t="shared" si="12"/>
        <v>1</v>
      </c>
      <c r="BJ13" s="8">
        <f>VLOOKUP(C13,Штаб!$B$16:$C$104,2)</f>
        <v>0</v>
      </c>
      <c r="BK13" s="8">
        <f>VLOOKUP(C13,'РО - регионы'!$B$16:$C$104,2)</f>
        <v>1</v>
      </c>
      <c r="BL13" s="8">
        <f>VLOOKUP(C13,'РО - регионы'!$B$16:$L$104,11)</f>
        <v>2</v>
      </c>
      <c r="BM13" s="8">
        <f>VLOOKUP(C13,Спецтехника!$B$16:$C$104,2)</f>
        <v>1</v>
      </c>
      <c r="BN13" s="8">
        <f>VLOOKUP($C13,МНО!$B$16:$AB$104,6,0)</f>
        <v>0</v>
      </c>
      <c r="BO13" s="8">
        <f>VLOOKUP($C13,МНО!$B$16:$AB$104,4,0)</f>
        <v>0</v>
      </c>
      <c r="BP13" s="8">
        <f>VLOOKUP($C13,МНО!$B$16:$AB$104,5,0)</f>
        <v>0</v>
      </c>
      <c r="BQ13" s="8">
        <f>VLOOKUP($C13,Контейнеры!$B$16:$G$104,6,0)</f>
        <v>0</v>
      </c>
      <c r="BR13" s="8">
        <f>VLOOKUP($C13,Контейнеры!$B$16:$G$104,4,0)</f>
        <v>0</v>
      </c>
      <c r="BS13" s="8">
        <f>VLOOKUP($C13,Контейнеры!$B$16:$G$104,5,0)</f>
        <v>0</v>
      </c>
      <c r="BT13" s="8">
        <f>VLOOKUP($C13,'ДК МНО'!$B$16:$C$104,2,0)</f>
        <v>2</v>
      </c>
      <c r="BU13" s="8">
        <f>VLOOKUP($C13,Обработка!$B$16:$F$104,5,0)</f>
        <v>0</v>
      </c>
      <c r="BV13" s="8">
        <f>VLOOKUP($C13,Обработка!$B$16:$F$104,4,0)</f>
        <v>2</v>
      </c>
      <c r="BW13" s="8">
        <f>VLOOKUP($C13,Утилизация!$B$16:$F$104,5,0)</f>
        <v>0</v>
      </c>
      <c r="BX13" s="8">
        <f>VLOOKUP($C13,Утилизация!$B$16:$F$104,4,0)</f>
        <v>2</v>
      </c>
      <c r="BY13" s="8">
        <f>VLOOKUP($C13,Захоронение!$B$16:$C$104,2,0)</f>
        <v>2</v>
      </c>
      <c r="BZ13" s="8">
        <f>VLOOKUP($C13,'ДК ИП'!$B$16:$C$104,2,0)</f>
        <v>0</v>
      </c>
      <c r="CA13" s="8">
        <f>VLOOKUP(C13,Радар!$B$16:$G$104,2,0)</f>
        <v>1</v>
      </c>
      <c r="CB13" s="8">
        <f t="shared" si="13"/>
        <v>0.95</v>
      </c>
    </row>
    <row r="14" spans="1:81" ht="15.6" thickBot="1">
      <c r="A14" s="9" t="s">
        <v>656</v>
      </c>
      <c r="B14" s="122">
        <f t="shared" si="6"/>
        <v>4</v>
      </c>
      <c r="C14" s="202" t="s">
        <v>2</v>
      </c>
      <c r="D14" s="277" t="str">
        <f>VLOOKUP($C14,Штаб!$B$16:$J$104,6,0)</f>
        <v/>
      </c>
      <c r="E14" s="285" t="str">
        <f>VLOOKUP($C14,Штаб!$B$16:$J$104,7,0)</f>
        <v/>
      </c>
      <c r="F14" s="285" t="str">
        <f>VLOOKUP($C14,Штаб!$B$16:$J$104,8,0)</f>
        <v>✔️</v>
      </c>
      <c r="G14" s="286" t="str">
        <f>VLOOKUP($C14,Штаб!$B$16:$J$104,9,0)</f>
        <v/>
      </c>
      <c r="H14" s="279" t="str">
        <f>VLOOKUP(C14,'РО - регионы'!$B$16:$I$104,8,0)</f>
        <v>0 / 0 / 2 из 2</v>
      </c>
      <c r="I14" s="237"/>
      <c r="J14" s="122"/>
      <c r="K14" s="94"/>
      <c r="L14" s="94"/>
      <c r="M14" s="98"/>
      <c r="N14" s="163">
        <f>VLOOKUP(C14,Спецтехника!$B$16:$J$104,4,0)</f>
        <v>127</v>
      </c>
      <c r="O14" s="166">
        <f>VLOOKUP(C14,Спецтехника!$B$16:$J$104,5,0)</f>
        <v>127</v>
      </c>
      <c r="P14" s="166">
        <f>VLOOKUP(C14,Спецтехника!$B$16:$J$104,6,0)</f>
        <v>0</v>
      </c>
      <c r="Q14" s="169">
        <f>VLOOKUP(C14,Спецтехника!$B$16:$J$104,7,0)</f>
        <v>0</v>
      </c>
      <c r="R14" s="242"/>
      <c r="S14" s="122"/>
      <c r="T14" s="94"/>
      <c r="U14" s="94"/>
      <c r="V14" s="98"/>
      <c r="W14" s="163">
        <f>VLOOKUP($C14,МНО!$B$16:$AB$104,16,0)</f>
        <v>4217</v>
      </c>
      <c r="X14" s="166">
        <f>VLOOKUP($C14,МНО!$B$16:$AB$104,8,0)</f>
        <v>4098</v>
      </c>
      <c r="Y14" s="166">
        <f>VLOOKUP($C14,МНО!$B$16:$AB$104,11,0)</f>
        <v>119</v>
      </c>
      <c r="Z14" s="173">
        <f>VLOOKUP($C14,МНО!$B$16:$AB$104,17,0)</f>
        <v>2.8219113113587858E-2</v>
      </c>
      <c r="AA14" s="245"/>
      <c r="AB14" s="95">
        <f>VLOOKUP($C14,МНО!$B$16:$AB$104,13,0)</f>
        <v>4.2824131551336659</v>
      </c>
      <c r="AC14" s="154">
        <f>VLOOKUP($C14,МНО!$B$16:$AB$104,18,0)</f>
        <v>0.31455326988025789</v>
      </c>
      <c r="AD14" s="164">
        <f>VLOOKUP($C14,Контейнеры!$B$16:$AB$104,16,0)</f>
        <v>8364</v>
      </c>
      <c r="AE14" s="167">
        <f>VLOOKUP($C14,Контейнеры!$B$16:$AB$104,8,0)</f>
        <v>6951</v>
      </c>
      <c r="AF14" s="167">
        <f>VLOOKUP($C14,Контейнеры!$B$16:$AB$104,11,0)</f>
        <v>1413</v>
      </c>
      <c r="AG14" s="172">
        <f>VLOOKUP($C14,Контейнеры!$B$16:$AB$104,17,0)</f>
        <v>0.16893830703012913</v>
      </c>
      <c r="AH14" s="245"/>
      <c r="AI14" s="95">
        <f>VLOOKUP($C14,Контейнеры!$B$16:$AB$104,13,0)</f>
        <v>7.3444495044002238</v>
      </c>
      <c r="AJ14" s="154">
        <f>VLOOKUP($C14,Контейнеры!$B$16:$AB$104,18,0)</f>
        <v>0.29712746858168759</v>
      </c>
      <c r="AK14" s="135"/>
      <c r="AL14" s="94"/>
      <c r="AM14" s="94"/>
      <c r="AN14" s="116"/>
      <c r="AO14" s="78">
        <f>VLOOKUP($C14,Обработка!$B$16:$L$104,6,0)</f>
        <v>0.72099999999999997</v>
      </c>
      <c r="AP14" s="75">
        <f t="shared" si="7"/>
        <v>0.17799999999999994</v>
      </c>
      <c r="AQ14" s="75">
        <f>VLOOKUP($C14,Обработка!$B$16:$L$104,7,0)</f>
        <v>0.9</v>
      </c>
      <c r="AR14" s="178">
        <f t="shared" si="8"/>
        <v>9.2999999999999972E-2</v>
      </c>
      <c r="AS14" s="181">
        <f>VLOOKUP($C14,Утилизация!$B$16:$L$104,6,0)</f>
        <v>0.13</v>
      </c>
      <c r="AT14" s="74">
        <f t="shared" si="9"/>
        <v>-9.000000000000008E-3</v>
      </c>
      <c r="AU14" s="74">
        <f>VLOOKUP($C14,Утилизация!$B$16:$L$104,7,0)</f>
        <v>0.251</v>
      </c>
      <c r="AV14" s="186">
        <f t="shared" si="10"/>
        <v>-3.4999999999999976E-2</v>
      </c>
      <c r="AW14" s="160" t="str">
        <f>VLOOKUP(C14,Захоронение!$B$16:$Q$104,16,0)</f>
        <v>перегруз</v>
      </c>
      <c r="AX14" s="135"/>
      <c r="AY14" s="94"/>
      <c r="AZ14" s="94"/>
      <c r="BA14" s="98"/>
      <c r="BB14" s="127" t="str">
        <f>VLOOKUP(C14,'ДК ИП'!$B$16:$S$104,5,0)</f>
        <v>существенное</v>
      </c>
      <c r="BC14" s="288">
        <f>VLOOKUP(C14,Радар!$B$16:$G$104,6,0)</f>
        <v>0.14898106461234809</v>
      </c>
      <c r="BD14" s="98"/>
      <c r="BF14" s="294">
        <f t="shared" si="11"/>
        <v>0.66666666666666663</v>
      </c>
      <c r="BI14" s="8">
        <f t="shared" si="12"/>
        <v>0</v>
      </c>
      <c r="BJ14" s="8">
        <f>VLOOKUP(C14,Штаб!$B$16:$C$104,2)</f>
        <v>1</v>
      </c>
      <c r="BK14" s="8">
        <f>VLOOKUP(C14,'РО - регионы'!$B$16:$C$104,2)</f>
        <v>0</v>
      </c>
      <c r="BL14" s="8">
        <f>VLOOKUP(C14,'РО - регионы'!$B$16:$L$104,11)</f>
        <v>0</v>
      </c>
      <c r="BM14" s="8">
        <f>VLOOKUP(C14,Спецтехника!$B$16:$C$104,2)</f>
        <v>0</v>
      </c>
      <c r="BN14" s="8">
        <f>VLOOKUP($C14,МНО!$B$16:$AB$104,6,0)</f>
        <v>0</v>
      </c>
      <c r="BO14" s="8">
        <f>VLOOKUP($C14,МНО!$B$16:$AB$104,4,0)</f>
        <v>1</v>
      </c>
      <c r="BP14" s="8">
        <f>VLOOKUP($C14,МНО!$B$16:$AB$104,5,0)</f>
        <v>2</v>
      </c>
      <c r="BQ14" s="8">
        <f>VLOOKUP($C14,Контейнеры!$B$16:$G$104,6,0)</f>
        <v>1</v>
      </c>
      <c r="BR14" s="8">
        <f>VLOOKUP($C14,Контейнеры!$B$16:$G$104,4,0)</f>
        <v>0</v>
      </c>
      <c r="BS14" s="8">
        <f>VLOOKUP($C14,Контейнеры!$B$16:$G$104,5,0)</f>
        <v>2</v>
      </c>
      <c r="BT14" s="8">
        <f>VLOOKUP($C14,'ДК МНО'!$B$16:$C$104,2,0)</f>
        <v>2</v>
      </c>
      <c r="BU14" s="8">
        <f>VLOOKUP($C14,Обработка!$B$16:$F$104,5,0)</f>
        <v>0</v>
      </c>
      <c r="BV14" s="8">
        <f>VLOOKUP($C14,Обработка!$B$16:$F$104,4,0)</f>
        <v>0</v>
      </c>
      <c r="BW14" s="8">
        <f>VLOOKUP($C14,Утилизация!$B$16:$F$104,5,0)</f>
        <v>1</v>
      </c>
      <c r="BX14" s="8">
        <f>VLOOKUP($C14,Утилизация!$B$16:$F$104,4,0)</f>
        <v>1</v>
      </c>
      <c r="BY14" s="8">
        <f>VLOOKUP($C14,Захоронение!$B$16:$C$104,2,0)</f>
        <v>1</v>
      </c>
      <c r="BZ14" s="8">
        <f>VLOOKUP($C14,'ДК ИП'!$B$16:$C$104,2,0)</f>
        <v>2</v>
      </c>
      <c r="CA14" s="8">
        <f>VLOOKUP(C14,Радар!$B$16:$G$104,2,0)</f>
        <v>2</v>
      </c>
      <c r="CB14" s="8">
        <f t="shared" si="13"/>
        <v>0.65</v>
      </c>
    </row>
    <row r="15" spans="1:81" ht="15.6" thickBot="1">
      <c r="A15" s="9" t="s">
        <v>657</v>
      </c>
      <c r="B15" s="121">
        <f t="shared" si="6"/>
        <v>5</v>
      </c>
      <c r="C15" s="202" t="s">
        <v>11</v>
      </c>
      <c r="D15" s="277" t="str">
        <f>VLOOKUP($C15,Штаб!$B$16:$J$104,6,0)</f>
        <v/>
      </c>
      <c r="E15" s="285" t="str">
        <f>VLOOKUP($C15,Штаб!$B$16:$J$104,7,0)</f>
        <v/>
      </c>
      <c r="F15" s="285" t="str">
        <f>VLOOKUP($C15,Штаб!$B$16:$J$104,8,0)</f>
        <v/>
      </c>
      <c r="G15" s="286" t="str">
        <f>VLOOKUP($C15,Штаб!$B$16:$J$104,9,0)</f>
        <v>✔️</v>
      </c>
      <c r="H15" s="279" t="str">
        <f>VLOOKUP(C15,'РО - регионы'!$B$16:$I$104,8,0)</f>
        <v>0 / 0 / 1 из 1</v>
      </c>
      <c r="I15" s="237"/>
      <c r="J15" s="122"/>
      <c r="K15" s="94"/>
      <c r="L15" s="94"/>
      <c r="M15" s="98"/>
      <c r="N15" s="163">
        <f>VLOOKUP(C15,Спецтехника!$B$16:$J$104,4,0)</f>
        <v>242</v>
      </c>
      <c r="O15" s="166">
        <f>VLOOKUP(C15,Спецтехника!$B$16:$J$104,5,0)</f>
        <v>223</v>
      </c>
      <c r="P15" s="166">
        <f>VLOOKUP(C15,Спецтехника!$B$16:$J$104,6,0)</f>
        <v>19</v>
      </c>
      <c r="Q15" s="169">
        <f>VLOOKUP(C15,Спецтехника!$B$16:$J$104,7,0)</f>
        <v>7.8512396694214878E-2</v>
      </c>
      <c r="R15" s="242"/>
      <c r="S15" s="122"/>
      <c r="T15" s="94"/>
      <c r="U15" s="94"/>
      <c r="V15" s="98"/>
      <c r="W15" s="163">
        <f>VLOOKUP($C15,МНО!$B$16:$AB$104,16,0)</f>
        <v>25727</v>
      </c>
      <c r="X15" s="166">
        <f>VLOOKUP($C15,МНО!$B$16:$AB$104,8,0)</f>
        <v>23354</v>
      </c>
      <c r="Y15" s="166">
        <f>VLOOKUP($C15,МНО!$B$16:$AB$104,11,0)</f>
        <v>2373</v>
      </c>
      <c r="Z15" s="173">
        <f>VLOOKUP($C15,МНО!$B$16:$AB$104,17,0)</f>
        <v>9.2237726901698611E-2</v>
      </c>
      <c r="AA15" s="245"/>
      <c r="AB15" s="95">
        <f>VLOOKUP($C15,МНО!$B$16:$AB$104,13,0)</f>
        <v>15.232641126331831</v>
      </c>
      <c r="AC15" s="154">
        <f>VLOOKUP($C15,МНО!$B$16:$AB$104,18,0)</f>
        <v>1</v>
      </c>
      <c r="AD15" s="164">
        <f>VLOOKUP($C15,Контейнеры!$B$16:$AB$104,16,0)</f>
        <v>44882</v>
      </c>
      <c r="AE15" s="167">
        <f>VLOOKUP($C15,Контейнеры!$B$16:$AB$104,8,0)</f>
        <v>35519</v>
      </c>
      <c r="AF15" s="167">
        <f>VLOOKUP($C15,Контейнеры!$B$16:$AB$104,11,0)</f>
        <v>9363</v>
      </c>
      <c r="AG15" s="172">
        <f>VLOOKUP($C15,Контейнеры!$B$16:$AB$104,17,0)</f>
        <v>0.20861369814179404</v>
      </c>
      <c r="AH15" s="245"/>
      <c r="AI15" s="95">
        <f>VLOOKUP($C15,Контейнеры!$B$16:$AB$104,13,0)</f>
        <v>23.668934781319408</v>
      </c>
      <c r="AJ15" s="154">
        <f>VLOOKUP($C15,Контейнеры!$B$16:$AB$104,18,0)</f>
        <v>1</v>
      </c>
      <c r="AK15" s="135"/>
      <c r="AL15" s="94"/>
      <c r="AM15" s="94"/>
      <c r="AN15" s="116"/>
      <c r="AO15" s="78">
        <f>VLOOKUP($C15,Обработка!$B$16:$L$104,6,0)</f>
        <v>0.67299999999999993</v>
      </c>
      <c r="AP15" s="75">
        <f t="shared" si="7"/>
        <v>0.12999999999999989</v>
      </c>
      <c r="AQ15" s="76">
        <f>VLOOKUP($C15,Обработка!$B$16:$L$104,7,0)</f>
        <v>0.32</v>
      </c>
      <c r="AR15" s="177">
        <f t="shared" si="8"/>
        <v>-0.48700000000000004</v>
      </c>
      <c r="AS15" s="180">
        <f>VLOOKUP($C15,Утилизация!$B$16:$L$104,6,0)</f>
        <v>6.4000000000000001E-2</v>
      </c>
      <c r="AT15" s="76">
        <f t="shared" si="9"/>
        <v>-7.5000000000000011E-2</v>
      </c>
      <c r="AU15" s="76">
        <f>VLOOKUP($C15,Утилизация!$B$16:$L$104,7,0)</f>
        <v>4.5999999999999999E-2</v>
      </c>
      <c r="AV15" s="184">
        <f t="shared" si="10"/>
        <v>-0.24</v>
      </c>
      <c r="AW15" s="160" t="str">
        <f>VLOOKUP(C15,Захоронение!$B$16:$Q$104,16,0)</f>
        <v>перегруз</v>
      </c>
      <c r="AX15" s="135"/>
      <c r="AY15" s="94"/>
      <c r="AZ15" s="94"/>
      <c r="BA15" s="98"/>
      <c r="BB15" s="127" t="str">
        <f>VLOOKUP(C15,'ДК ИП'!$B$16:$S$104,5,0)</f>
        <v>не подписана</v>
      </c>
      <c r="BC15" s="288">
        <f>VLOOKUP(C15,Радар!$B$16:$G$104,6,0)</f>
        <v>0.29786913615951394</v>
      </c>
      <c r="BD15" s="98"/>
      <c r="BF15" s="294">
        <f t="shared" si="11"/>
        <v>0.83333333333333337</v>
      </c>
      <c r="BI15" s="8">
        <f t="shared" si="12"/>
        <v>0</v>
      </c>
      <c r="BJ15" s="8">
        <f>VLOOKUP(C15,Штаб!$B$16:$C$104,2)</f>
        <v>2</v>
      </c>
      <c r="BK15" s="8">
        <f>VLOOKUP(C15,'РО - регионы'!$B$16:$C$104,2)</f>
        <v>0</v>
      </c>
      <c r="BL15" s="8">
        <f>VLOOKUP(C15,'РО - регионы'!$B$16:$L$104,11)</f>
        <v>0</v>
      </c>
      <c r="BM15" s="8">
        <f>VLOOKUP(C15,Спецтехника!$B$16:$C$104,2)</f>
        <v>0</v>
      </c>
      <c r="BN15" s="8">
        <f>VLOOKUP($C15,МНО!$B$16:$AB$104,6,0)</f>
        <v>0</v>
      </c>
      <c r="BO15" s="8">
        <f>VLOOKUP($C15,МНО!$B$16:$AB$104,4,0)</f>
        <v>0</v>
      </c>
      <c r="BP15" s="8">
        <f>VLOOKUP($C15,МНО!$B$16:$AB$104,5,0)</f>
        <v>0</v>
      </c>
      <c r="BQ15" s="8">
        <f>VLOOKUP($C15,Контейнеры!$B$16:$G$104,6,0)</f>
        <v>1</v>
      </c>
      <c r="BR15" s="8">
        <f>VLOOKUP($C15,Контейнеры!$B$16:$G$104,4,0)</f>
        <v>0</v>
      </c>
      <c r="BS15" s="8">
        <f>VLOOKUP($C15,Контейнеры!$B$16:$G$104,5,0)</f>
        <v>0</v>
      </c>
      <c r="BT15" s="8">
        <f>VLOOKUP($C15,'ДК МНО'!$B$16:$C$104,2,0)</f>
        <v>2</v>
      </c>
      <c r="BU15" s="8">
        <f>VLOOKUP($C15,Обработка!$B$16:$F$104,5,0)</f>
        <v>2</v>
      </c>
      <c r="BV15" s="8">
        <f>VLOOKUP($C15,Обработка!$B$16:$F$104,4,0)</f>
        <v>0</v>
      </c>
      <c r="BW15" s="8">
        <f>VLOOKUP($C15,Утилизация!$B$16:$F$104,5,0)</f>
        <v>2</v>
      </c>
      <c r="BX15" s="8">
        <f>VLOOKUP($C15,Утилизация!$B$16:$F$104,4,0)</f>
        <v>2</v>
      </c>
      <c r="BY15" s="8">
        <f>VLOOKUP($C15,Захоронение!$B$16:$C$104,2,0)</f>
        <v>1</v>
      </c>
      <c r="BZ15" s="8">
        <f>VLOOKUP($C15,'ДК ИП'!$B$16:$C$104,2,0)</f>
        <v>0</v>
      </c>
      <c r="CA15" s="8">
        <f>VLOOKUP(C15,Радар!$B$16:$G$104,2,0)</f>
        <v>2</v>
      </c>
      <c r="CB15" s="8">
        <f t="shared" si="13"/>
        <v>0.6</v>
      </c>
    </row>
    <row r="16" spans="1:81" ht="15.6" thickBot="1">
      <c r="A16" s="9" t="s">
        <v>657</v>
      </c>
      <c r="B16" s="122">
        <f t="shared" si="6"/>
        <v>6</v>
      </c>
      <c r="C16" s="202" t="s">
        <v>12</v>
      </c>
      <c r="D16" s="277" t="str">
        <f>VLOOKUP($C16,Штаб!$B$16:$J$104,6,0)</f>
        <v>✔️</v>
      </c>
      <c r="E16" s="285" t="str">
        <f>VLOOKUP($C16,Штаб!$B$16:$J$104,7,0)</f>
        <v/>
      </c>
      <c r="F16" s="285" t="str">
        <f>VLOOKUP($C16,Штаб!$B$16:$J$104,8,0)</f>
        <v/>
      </c>
      <c r="G16" s="286" t="str">
        <f>VLOOKUP($C16,Штаб!$B$16:$J$104,9,0)</f>
        <v/>
      </c>
      <c r="H16" s="279" t="str">
        <f>VLOOKUP(C16,'РО - регионы'!$B$16:$I$104,8,0)</f>
        <v>0 / 0 / 2 из 2</v>
      </c>
      <c r="I16" s="237"/>
      <c r="J16" s="122"/>
      <c r="K16" s="94"/>
      <c r="L16" s="94"/>
      <c r="M16" s="98"/>
      <c r="N16" s="163">
        <f>VLOOKUP(C16,Спецтехника!$B$16:$J$104,4,0)</f>
        <v>234</v>
      </c>
      <c r="O16" s="166">
        <f>VLOOKUP(C16,Спецтехника!$B$16:$J$104,5,0)</f>
        <v>227</v>
      </c>
      <c r="P16" s="166">
        <f>VLOOKUP(C16,Спецтехника!$B$16:$J$104,6,0)</f>
        <v>7</v>
      </c>
      <c r="Q16" s="169">
        <f>VLOOKUP(C16,Спецтехника!$B$16:$J$104,7,0)</f>
        <v>2.9914529914529916E-2</v>
      </c>
      <c r="R16" s="242"/>
      <c r="S16" s="122"/>
      <c r="T16" s="94"/>
      <c r="U16" s="94"/>
      <c r="V16" s="98"/>
      <c r="W16" s="164">
        <f>VLOOKUP($C16,МНО!$B$16:$AB$104,16,0)</f>
        <v>9792</v>
      </c>
      <c r="X16" s="167">
        <f>VLOOKUP($C16,МНО!$B$16:$AB$104,8,0)</f>
        <v>6622</v>
      </c>
      <c r="Y16" s="167">
        <f>VLOOKUP($C16,МНО!$B$16:$AB$104,11,0)</f>
        <v>3170</v>
      </c>
      <c r="Z16" s="172">
        <f>VLOOKUP($C16,МНО!$B$16:$AB$104,17,0)</f>
        <v>0.32373366013071897</v>
      </c>
      <c r="AA16" s="245"/>
      <c r="AB16" s="95">
        <f>VLOOKUP($C16,МНО!$B$16:$AB$104,13,0)</f>
        <v>3.9933333566759224</v>
      </c>
      <c r="AC16" s="154">
        <f>VLOOKUP($C16,МНО!$B$16:$AB$104,18,0)</f>
        <v>1</v>
      </c>
      <c r="AD16" s="163">
        <f>VLOOKUP($C16,Контейнеры!$B$16:$AB$104,16,0)</f>
        <v>12742</v>
      </c>
      <c r="AE16" s="166">
        <f>VLOOKUP($C16,Контейнеры!$B$16:$AB$104,8,0)</f>
        <v>11721</v>
      </c>
      <c r="AF16" s="166">
        <f>VLOOKUP($C16,Контейнеры!$B$16:$AB$104,11,0)</f>
        <v>1021</v>
      </c>
      <c r="AG16" s="173">
        <f>VLOOKUP($C16,Контейнеры!$B$16:$AB$104,17,0)</f>
        <v>8.0128708209072363E-2</v>
      </c>
      <c r="AH16" s="245"/>
      <c r="AI16" s="95">
        <f>VLOOKUP($C16,Контейнеры!$B$16:$AB$104,13,0)</f>
        <v>10.259943067426235</v>
      </c>
      <c r="AJ16" s="154">
        <f>VLOOKUP($C16,Контейнеры!$B$16:$AB$104,18,0)</f>
        <v>0.91427457098283926</v>
      </c>
      <c r="AK16" s="135"/>
      <c r="AL16" s="94"/>
      <c r="AM16" s="94"/>
      <c r="AN16" s="116"/>
      <c r="AO16" s="78">
        <f>VLOOKUP($C16,Обработка!$B$16:$L$104,6,0)</f>
        <v>0.61299999999999999</v>
      </c>
      <c r="AP16" s="75">
        <f t="shared" si="7"/>
        <v>6.9999999999999951E-2</v>
      </c>
      <c r="AQ16" s="75">
        <f>VLOOKUP($C16,Обработка!$B$16:$L$104,7,0)</f>
        <v>0.85</v>
      </c>
      <c r="AR16" s="178">
        <f t="shared" si="8"/>
        <v>4.2999999999999927E-2</v>
      </c>
      <c r="AS16" s="180">
        <f>VLOOKUP($C16,Утилизация!$B$16:$L$104,6,0)</f>
        <v>3.7000000000000005E-2</v>
      </c>
      <c r="AT16" s="76">
        <f t="shared" si="9"/>
        <v>-0.10200000000000001</v>
      </c>
      <c r="AU16" s="75">
        <f>VLOOKUP($C16,Утилизация!$B$16:$L$104,7,0)</f>
        <v>0.34399999999999997</v>
      </c>
      <c r="AV16" s="185">
        <f t="shared" si="10"/>
        <v>5.7999999999999996E-2</v>
      </c>
      <c r="AW16" s="160" t="str">
        <f>VLOOKUP(C16,Захоронение!$B$16:$Q$104,16,0)</f>
        <v>765 приказ</v>
      </c>
      <c r="AX16" s="135"/>
      <c r="AY16" s="94"/>
      <c r="AZ16" s="94"/>
      <c r="BA16" s="98"/>
      <c r="BB16" s="127" t="str">
        <f>VLOOKUP(C16,'ДК ИП'!$B$16:$S$104,5,0)</f>
        <v>небольшое</v>
      </c>
      <c r="BC16" s="288">
        <f>VLOOKUP(C16,Радар!$B$16:$G$104,6,0)</f>
        <v>9.6288178262681157E-2</v>
      </c>
      <c r="BD16" s="98"/>
      <c r="BF16" s="294">
        <f t="shared" si="11"/>
        <v>0.5</v>
      </c>
      <c r="BI16" s="8">
        <f t="shared" si="12"/>
        <v>0</v>
      </c>
      <c r="BJ16" s="8">
        <f>VLOOKUP(C16,Штаб!$B$16:$C$104,2)</f>
        <v>0</v>
      </c>
      <c r="BK16" s="8">
        <f>VLOOKUP(C16,'РО - регионы'!$B$16:$C$104,2)</f>
        <v>0</v>
      </c>
      <c r="BL16" s="8">
        <f>VLOOKUP(C16,'РО - регионы'!$B$16:$L$104,11)</f>
        <v>0</v>
      </c>
      <c r="BM16" s="8">
        <f>VLOOKUP(C16,Спецтехника!$B$16:$C$104,2)</f>
        <v>0</v>
      </c>
      <c r="BN16" s="8">
        <f>VLOOKUP($C16,МНО!$B$16:$AB$104,6,0)</f>
        <v>1</v>
      </c>
      <c r="BO16" s="8">
        <f>VLOOKUP($C16,МНО!$B$16:$AB$104,4,0)</f>
        <v>1</v>
      </c>
      <c r="BP16" s="8">
        <f>VLOOKUP($C16,МНО!$B$16:$AB$104,5,0)</f>
        <v>0</v>
      </c>
      <c r="BQ16" s="8">
        <f>VLOOKUP($C16,Контейнеры!$B$16:$G$104,6,0)</f>
        <v>0</v>
      </c>
      <c r="BR16" s="8">
        <f>VLOOKUP($C16,Контейнеры!$B$16:$G$104,4,0)</f>
        <v>0</v>
      </c>
      <c r="BS16" s="8">
        <f>VLOOKUP($C16,Контейнеры!$B$16:$G$104,5,0)</f>
        <v>0</v>
      </c>
      <c r="BT16" s="8">
        <f>VLOOKUP($C16,'ДК МНО'!$B$16:$C$104,2,0)</f>
        <v>2</v>
      </c>
      <c r="BU16" s="8">
        <f>VLOOKUP($C16,Обработка!$B$16:$F$104,5,0)</f>
        <v>0</v>
      </c>
      <c r="BV16" s="8">
        <f>VLOOKUP($C16,Обработка!$B$16:$F$104,4,0)</f>
        <v>0</v>
      </c>
      <c r="BW16" s="8">
        <f>VLOOKUP($C16,Утилизация!$B$16:$F$104,5,0)</f>
        <v>0</v>
      </c>
      <c r="BX16" s="8">
        <f>VLOOKUP($C16,Утилизация!$B$16:$F$104,4,0)</f>
        <v>2</v>
      </c>
      <c r="BY16" s="8">
        <f>VLOOKUP($C16,Захоронение!$B$16:$C$104,2,0)</f>
        <v>1</v>
      </c>
      <c r="BZ16" s="8">
        <f>VLOOKUP($C16,'ДК ИП'!$B$16:$C$104,2,0)</f>
        <v>0</v>
      </c>
      <c r="CA16" s="8">
        <f>VLOOKUP(C16,Радар!$B$16:$G$104,2,0)</f>
        <v>2</v>
      </c>
      <c r="CB16" s="8">
        <f t="shared" si="13"/>
        <v>0.45</v>
      </c>
    </row>
    <row r="17" spans="1:80" ht="15.6" thickBot="1">
      <c r="A17" s="9" t="s">
        <v>657</v>
      </c>
      <c r="B17" s="121">
        <f t="shared" si="6"/>
        <v>7</v>
      </c>
      <c r="C17" s="202" t="s">
        <v>13</v>
      </c>
      <c r="D17" s="277" t="str">
        <f>VLOOKUP($C17,Штаб!$B$16:$J$104,6,0)</f>
        <v>✔️</v>
      </c>
      <c r="E17" s="285" t="str">
        <f>VLOOKUP($C17,Штаб!$B$16:$J$104,7,0)</f>
        <v/>
      </c>
      <c r="F17" s="285" t="str">
        <f>VLOOKUP($C17,Штаб!$B$16:$J$104,8,0)</f>
        <v/>
      </c>
      <c r="G17" s="286" t="str">
        <f>VLOOKUP($C17,Штаб!$B$16:$J$104,9,0)</f>
        <v/>
      </c>
      <c r="H17" s="278" t="str">
        <f>VLOOKUP(C17,'РО - регионы'!$B$16:$I$104,8,0)</f>
        <v>0 / 1 / 2 из 3</v>
      </c>
      <c r="I17" s="237"/>
      <c r="J17" s="122"/>
      <c r="K17" s="94"/>
      <c r="L17" s="94"/>
      <c r="M17" s="98"/>
      <c r="N17" s="163">
        <f>VLOOKUP(C17,Спецтехника!$B$16:$J$104,4,0)</f>
        <v>258</v>
      </c>
      <c r="O17" s="166">
        <f>VLOOKUP(C17,Спецтехника!$B$16:$J$104,5,0)</f>
        <v>249</v>
      </c>
      <c r="P17" s="166">
        <f>VLOOKUP(C17,Спецтехника!$B$16:$J$104,6,0)</f>
        <v>9</v>
      </c>
      <c r="Q17" s="169">
        <f>VLOOKUP(C17,Спецтехника!$B$16:$J$104,7,0)</f>
        <v>3.4883720930232558E-2</v>
      </c>
      <c r="R17" s="242"/>
      <c r="S17" s="122"/>
      <c r="T17" s="94"/>
      <c r="U17" s="94"/>
      <c r="V17" s="98"/>
      <c r="W17" s="163">
        <f>VLOOKUP($C17,МНО!$B$16:$AB$104,16,0)</f>
        <v>11895</v>
      </c>
      <c r="X17" s="166">
        <f>VLOOKUP($C17,МНО!$B$16:$AB$104,8,0)</f>
        <v>11298</v>
      </c>
      <c r="Y17" s="166">
        <f>VLOOKUP($C17,МНО!$B$16:$AB$104,11,0)</f>
        <v>597</v>
      </c>
      <c r="Z17" s="173">
        <f>VLOOKUP($C17,МНО!$B$16:$AB$104,17,0)</f>
        <v>5.0189155107187897E-2</v>
      </c>
      <c r="AA17" s="245"/>
      <c r="AB17" s="95">
        <f>VLOOKUP($C17,МНО!$B$16:$AB$104,13,0)</f>
        <v>7.9224881712320094</v>
      </c>
      <c r="AC17" s="154">
        <f>VLOOKUP($C17,МНО!$B$16:$AB$104,18,0)</f>
        <v>1</v>
      </c>
      <c r="AD17" s="163">
        <f>VLOOKUP($C17,Контейнеры!$B$16:$AB$104,16,0)</f>
        <v>26723</v>
      </c>
      <c r="AE17" s="166">
        <f>VLOOKUP($C17,Контейнеры!$B$16:$AB$104,8,0)</f>
        <v>25352</v>
      </c>
      <c r="AF17" s="166">
        <f>VLOOKUP($C17,Контейнеры!$B$16:$AB$104,11,0)</f>
        <v>1371</v>
      </c>
      <c r="AG17" s="173">
        <f>VLOOKUP($C17,Контейнеры!$B$16:$AB$104,17,0)</f>
        <v>5.1304120046401974E-2</v>
      </c>
      <c r="AH17" s="245"/>
      <c r="AI17" s="95">
        <f>VLOOKUP($C17,Контейнеры!$B$16:$AB$104,13,0)</f>
        <v>19.353528629511839</v>
      </c>
      <c r="AJ17" s="154">
        <f>VLOOKUP($C17,Контейнеры!$B$16:$AB$104,18,0)</f>
        <v>1</v>
      </c>
      <c r="AK17" s="135"/>
      <c r="AL17" s="94"/>
      <c r="AM17" s="94"/>
      <c r="AN17" s="116"/>
      <c r="AO17" s="80">
        <f>VLOOKUP($C17,Обработка!$B$16:$L$104,6,0)</f>
        <v>0.36499999999999999</v>
      </c>
      <c r="AP17" s="75">
        <f t="shared" si="7"/>
        <v>-0.17800000000000005</v>
      </c>
      <c r="AQ17" s="76">
        <f>VLOOKUP($C17,Обработка!$B$16:$L$104,7,0)</f>
        <v>0.27699999999999997</v>
      </c>
      <c r="AR17" s="177">
        <f t="shared" si="8"/>
        <v>-0.53</v>
      </c>
      <c r="AS17" s="180">
        <f>VLOOKUP($C17,Утилизация!$B$16:$L$104,6,0)</f>
        <v>1.4999999999999999E-2</v>
      </c>
      <c r="AT17" s="76">
        <f t="shared" si="9"/>
        <v>-0.12400000000000001</v>
      </c>
      <c r="AU17" s="76">
        <f>VLOOKUP($C17,Утилизация!$B$16:$L$104,7,0)</f>
        <v>1.6E-2</v>
      </c>
      <c r="AV17" s="184">
        <f t="shared" si="10"/>
        <v>-0.26999999999999996</v>
      </c>
      <c r="AW17" s="161" t="str">
        <f>VLOOKUP(C17,Захоронение!$B$16:$Q$104,16,0)</f>
        <v/>
      </c>
      <c r="AX17" s="135"/>
      <c r="AY17" s="94"/>
      <c r="AZ17" s="94"/>
      <c r="BA17" s="98"/>
      <c r="BB17" s="127" t="str">
        <f>VLOOKUP(C17,'ДК ИП'!$B$16:$S$104,5,0)</f>
        <v>среднее</v>
      </c>
      <c r="BC17" s="288">
        <f>VLOOKUP(C17,Радар!$B$16:$G$104,6,0)</f>
        <v>0.31070077911846478</v>
      </c>
      <c r="BD17" s="98"/>
      <c r="BF17" s="294">
        <f t="shared" si="11"/>
        <v>0.66666666666666663</v>
      </c>
      <c r="BI17" s="8">
        <f t="shared" si="12"/>
        <v>0</v>
      </c>
      <c r="BJ17" s="8">
        <f>VLOOKUP(C17,Штаб!$B$16:$C$104,2)</f>
        <v>0</v>
      </c>
      <c r="BK17" s="8">
        <f>VLOOKUP(C17,'РО - регионы'!$B$16:$C$104,2)</f>
        <v>1</v>
      </c>
      <c r="BL17" s="8">
        <f>VLOOKUP(C17,'РО - регионы'!$B$16:$L$104,11)</f>
        <v>2</v>
      </c>
      <c r="BM17" s="8">
        <f>VLOOKUP(C17,Спецтехника!$B$16:$C$104,2)</f>
        <v>0</v>
      </c>
      <c r="BN17" s="8">
        <f>VLOOKUP($C17,МНО!$B$16:$AB$104,6,0)</f>
        <v>0</v>
      </c>
      <c r="BO17" s="8">
        <f>VLOOKUP($C17,МНО!$B$16:$AB$104,4,0)</f>
        <v>0</v>
      </c>
      <c r="BP17" s="8">
        <f>VLOOKUP($C17,МНО!$B$16:$AB$104,5,0)</f>
        <v>0</v>
      </c>
      <c r="BQ17" s="8">
        <f>VLOOKUP($C17,Контейнеры!$B$16:$G$104,6,0)</f>
        <v>0</v>
      </c>
      <c r="BR17" s="8">
        <f>VLOOKUP($C17,Контейнеры!$B$16:$G$104,4,0)</f>
        <v>0</v>
      </c>
      <c r="BS17" s="8">
        <f>VLOOKUP($C17,Контейнеры!$B$16:$G$104,5,0)</f>
        <v>0</v>
      </c>
      <c r="BT17" s="8">
        <f>VLOOKUP($C17,'ДК МНО'!$B$16:$C$104,2,0)</f>
        <v>2</v>
      </c>
      <c r="BU17" s="8">
        <f>VLOOKUP($C17,Обработка!$B$16:$F$104,5,0)</f>
        <v>2</v>
      </c>
      <c r="BV17" s="8">
        <f>VLOOKUP($C17,Обработка!$B$16:$F$104,4,0)</f>
        <v>1</v>
      </c>
      <c r="BW17" s="8">
        <f>VLOOKUP($C17,Утилизация!$B$16:$F$104,5,0)</f>
        <v>2</v>
      </c>
      <c r="BX17" s="8">
        <f>VLOOKUP($C17,Утилизация!$B$16:$F$104,4,0)</f>
        <v>2</v>
      </c>
      <c r="BY17" s="8">
        <f>VLOOKUP($C17,Захоронение!$B$16:$C$104,2,0)</f>
        <v>0</v>
      </c>
      <c r="BZ17" s="8">
        <f>VLOOKUP($C17,'ДК ИП'!$B$16:$C$104,2,0)</f>
        <v>1</v>
      </c>
      <c r="CA17" s="8">
        <f>VLOOKUP(C17,Радар!$B$16:$G$104,2,0)</f>
        <v>2</v>
      </c>
      <c r="CB17" s="8">
        <f t="shared" si="13"/>
        <v>0.65</v>
      </c>
    </row>
    <row r="18" spans="1:80" ht="15.6" thickBot="1">
      <c r="A18" s="9" t="s">
        <v>656</v>
      </c>
      <c r="B18" s="122">
        <f t="shared" si="6"/>
        <v>8</v>
      </c>
      <c r="C18" s="202" t="s">
        <v>14</v>
      </c>
      <c r="D18" s="277" t="str">
        <f>VLOOKUP($C18,Штаб!$B$16:$J$104,6,0)</f>
        <v/>
      </c>
      <c r="E18" s="285" t="str">
        <f>VLOOKUP($C18,Штаб!$B$16:$J$104,7,0)</f>
        <v/>
      </c>
      <c r="F18" s="285" t="str">
        <f>VLOOKUP($C18,Штаб!$B$16:$J$104,8,0)</f>
        <v>✔️</v>
      </c>
      <c r="G18" s="286" t="str">
        <f>VLOOKUP($C18,Штаб!$B$16:$J$104,9,0)</f>
        <v/>
      </c>
      <c r="H18" s="279" t="str">
        <f>VLOOKUP(C18,'РО - регионы'!$B$16:$I$104,8,0)</f>
        <v>0 / 0 / 1 из 1</v>
      </c>
      <c r="I18" s="237"/>
      <c r="J18" s="122"/>
      <c r="K18" s="94"/>
      <c r="L18" s="94"/>
      <c r="M18" s="98"/>
      <c r="N18" s="163">
        <f>VLOOKUP(C18,Спецтехника!$B$16:$J$104,4,0)</f>
        <v>244</v>
      </c>
      <c r="O18" s="166">
        <f>VLOOKUP(C18,Спецтехника!$B$16:$J$104,5,0)</f>
        <v>231</v>
      </c>
      <c r="P18" s="166">
        <f>VLOOKUP(C18,Спецтехника!$B$16:$J$104,6,0)</f>
        <v>13</v>
      </c>
      <c r="Q18" s="169">
        <f>VLOOKUP(C18,Спецтехника!$B$16:$J$104,7,0)</f>
        <v>5.3278688524590161E-2</v>
      </c>
      <c r="R18" s="242"/>
      <c r="S18" s="122"/>
      <c r="T18" s="94"/>
      <c r="U18" s="94"/>
      <c r="V18" s="98"/>
      <c r="W18" s="164">
        <f>VLOOKUP($C18,МНО!$B$16:$AB$104,16,0)</f>
        <v>26057</v>
      </c>
      <c r="X18" s="167">
        <f>VLOOKUP($C18,МНО!$B$16:$AB$104,8,0)</f>
        <v>20660</v>
      </c>
      <c r="Y18" s="167">
        <f>VLOOKUP($C18,МНО!$B$16:$AB$104,11,0)</f>
        <v>5397</v>
      </c>
      <c r="Z18" s="172">
        <f>VLOOKUP($C18,МНО!$B$16:$AB$104,17,0)</f>
        <v>0.20712284606823503</v>
      </c>
      <c r="AA18" s="245"/>
      <c r="AB18" s="95">
        <f>VLOOKUP($C18,МНО!$B$16:$AB$104,13,0)</f>
        <v>8.1409251729289469</v>
      </c>
      <c r="AC18" s="154">
        <f>VLOOKUP($C18,МНО!$B$16:$AB$104,18,0)</f>
        <v>1</v>
      </c>
      <c r="AD18" s="165">
        <f>VLOOKUP($C18,Контейнеры!$B$16:$AB$104,16,0)</f>
        <v>49272</v>
      </c>
      <c r="AE18" s="168">
        <f>VLOOKUP($C18,Контейнеры!$B$16:$AB$104,8,0)</f>
        <v>32010</v>
      </c>
      <c r="AF18" s="168">
        <f>VLOOKUP($C18,Контейнеры!$B$16:$AB$104,11,0)</f>
        <v>17262</v>
      </c>
      <c r="AG18" s="174">
        <f>VLOOKUP($C18,Контейнеры!$B$16:$AB$104,17,0)</f>
        <v>0.35034096444227958</v>
      </c>
      <c r="AH18" s="245"/>
      <c r="AI18" s="95">
        <f>VLOOKUP($C18,Контейнеры!$B$16:$AB$104,13,0)</f>
        <v>13.044551974042932</v>
      </c>
      <c r="AJ18" s="154">
        <f>VLOOKUP($C18,Контейнеры!$B$16:$AB$104,18,0)</f>
        <v>1</v>
      </c>
      <c r="AK18" s="135"/>
      <c r="AL18" s="94"/>
      <c r="AM18" s="94"/>
      <c r="AN18" s="116"/>
      <c r="AO18" s="78">
        <f>VLOOKUP($C18,Обработка!$B$16:$L$104,6,0)</f>
        <v>0.80200000000000005</v>
      </c>
      <c r="AP18" s="75">
        <f t="shared" si="7"/>
        <v>0.25900000000000001</v>
      </c>
      <c r="AQ18" s="74">
        <f>VLOOKUP($C18,Обработка!$B$16:$L$104,7,0)</f>
        <v>0.8</v>
      </c>
      <c r="AR18" s="179">
        <f t="shared" si="8"/>
        <v>-7.0000000000000062E-3</v>
      </c>
      <c r="AS18" s="180">
        <f>VLOOKUP($C18,Утилизация!$B$16:$L$104,6,0)</f>
        <v>4.8000000000000001E-2</v>
      </c>
      <c r="AT18" s="76">
        <f t="shared" si="9"/>
        <v>-9.1000000000000011E-2</v>
      </c>
      <c r="AU18" s="76">
        <f>VLOOKUP($C18,Утилизация!$B$16:$L$104,7,0)</f>
        <v>4.7E-2</v>
      </c>
      <c r="AV18" s="184">
        <f t="shared" si="10"/>
        <v>-0.23899999999999999</v>
      </c>
      <c r="AW18" s="161" t="str">
        <f>VLOOKUP(C18,Захоронение!$B$16:$Q$104,16,0)</f>
        <v/>
      </c>
      <c r="AX18" s="135"/>
      <c r="AY18" s="94"/>
      <c r="AZ18" s="94"/>
      <c r="BA18" s="98"/>
      <c r="BB18" s="127" t="str">
        <f>VLOOKUP(C18,'ДК ИП'!$B$16:$S$104,5,0)</f>
        <v>не подписана</v>
      </c>
      <c r="BC18" s="290">
        <f>VLOOKUP(C18,Радар!$B$16:$G$104,6,0)</f>
        <v>7.2130137438475433E-2</v>
      </c>
      <c r="BD18" s="98"/>
      <c r="BF18" s="296">
        <f t="shared" si="11"/>
        <v>0.41666666666666669</v>
      </c>
      <c r="BI18" s="8">
        <f t="shared" si="12"/>
        <v>0</v>
      </c>
      <c r="BJ18" s="8">
        <f>VLOOKUP(C18,Штаб!$B$16:$C$104,2)</f>
        <v>1</v>
      </c>
      <c r="BK18" s="8">
        <f>VLOOKUP(C18,'РО - регионы'!$B$16:$C$104,2)</f>
        <v>0</v>
      </c>
      <c r="BL18" s="8">
        <f>VLOOKUP(C18,'РО - регионы'!$B$16:$L$104,11)</f>
        <v>0</v>
      </c>
      <c r="BM18" s="8">
        <f>VLOOKUP(C18,Спецтехника!$B$16:$C$104,2)</f>
        <v>0</v>
      </c>
      <c r="BN18" s="8">
        <f>VLOOKUP($C18,МНО!$B$16:$AB$104,6,0)</f>
        <v>1</v>
      </c>
      <c r="BO18" s="8">
        <f>VLOOKUP($C18,МНО!$B$16:$AB$104,4,0)</f>
        <v>0</v>
      </c>
      <c r="BP18" s="8">
        <f>VLOOKUP($C18,МНО!$B$16:$AB$104,5,0)</f>
        <v>0</v>
      </c>
      <c r="BQ18" s="8">
        <f>VLOOKUP($C18,Контейнеры!$B$16:$G$104,6,0)</f>
        <v>2</v>
      </c>
      <c r="BR18" s="8">
        <f>VLOOKUP($C18,Контейнеры!$B$16:$G$104,4,0)</f>
        <v>0</v>
      </c>
      <c r="BS18" s="8">
        <f>VLOOKUP($C18,Контейнеры!$B$16:$G$104,5,0)</f>
        <v>0</v>
      </c>
      <c r="BT18" s="8">
        <f>VLOOKUP($C18,'ДК МНО'!$B$16:$C$104,2,0)</f>
        <v>2</v>
      </c>
      <c r="BU18" s="8">
        <f>VLOOKUP($C18,Обработка!$B$16:$F$104,5,0)</f>
        <v>1</v>
      </c>
      <c r="BV18" s="8">
        <f>VLOOKUP($C18,Обработка!$B$16:$F$104,4,0)</f>
        <v>0</v>
      </c>
      <c r="BW18" s="8">
        <f>VLOOKUP($C18,Утилизация!$B$16:$F$104,5,0)</f>
        <v>2</v>
      </c>
      <c r="BX18" s="8">
        <f>VLOOKUP($C18,Утилизация!$B$16:$F$104,4,0)</f>
        <v>2</v>
      </c>
      <c r="BY18" s="8">
        <f>VLOOKUP($C18,Захоронение!$B$16:$C$104,2,0)</f>
        <v>0</v>
      </c>
      <c r="BZ18" s="8">
        <f>VLOOKUP($C18,'ДК ИП'!$B$16:$C$104,2,0)</f>
        <v>0</v>
      </c>
      <c r="CA18" s="8">
        <f>VLOOKUP(C18,Радар!$B$16:$G$104,2,0)</f>
        <v>1</v>
      </c>
      <c r="CB18" s="8">
        <f t="shared" si="13"/>
        <v>0.4</v>
      </c>
    </row>
    <row r="19" spans="1:80" ht="15.6" thickBot="1">
      <c r="A19" s="9" t="s">
        <v>655</v>
      </c>
      <c r="B19" s="121">
        <f t="shared" si="6"/>
        <v>9</v>
      </c>
      <c r="C19" s="202" t="s">
        <v>15</v>
      </c>
      <c r="D19" s="277" t="str">
        <f>VLOOKUP($C19,Штаб!$B$16:$J$104,6,0)</f>
        <v/>
      </c>
      <c r="E19" s="285" t="str">
        <f>VLOOKUP($C19,Штаб!$B$16:$J$104,7,0)</f>
        <v/>
      </c>
      <c r="F19" s="285" t="str">
        <f>VLOOKUP($C19,Штаб!$B$16:$J$104,8,0)</f>
        <v>✔️</v>
      </c>
      <c r="G19" s="286" t="str">
        <f>VLOOKUP($C19,Штаб!$B$16:$J$104,9,0)</f>
        <v/>
      </c>
      <c r="H19" s="278" t="str">
        <f>VLOOKUP(C19,'РО - регионы'!$B$16:$I$104,8,0)</f>
        <v>0 / 2 / 0 из 2</v>
      </c>
      <c r="I19" s="237"/>
      <c r="J19" s="122"/>
      <c r="K19" s="94"/>
      <c r="L19" s="94"/>
      <c r="M19" s="98"/>
      <c r="N19" s="163">
        <f>VLOOKUP(C19,Спецтехника!$B$16:$J$104,4,0)</f>
        <v>212</v>
      </c>
      <c r="O19" s="166">
        <f>VLOOKUP(C19,Спецтехника!$B$16:$J$104,5,0)</f>
        <v>203</v>
      </c>
      <c r="P19" s="166">
        <f>VLOOKUP(C19,Спецтехника!$B$16:$J$104,6,0)</f>
        <v>9</v>
      </c>
      <c r="Q19" s="169">
        <f>VLOOKUP(C19,Спецтехника!$B$16:$J$104,7,0)</f>
        <v>4.2452830188679243E-2</v>
      </c>
      <c r="R19" s="242"/>
      <c r="S19" s="122"/>
      <c r="T19" s="94"/>
      <c r="U19" s="94"/>
      <c r="V19" s="98"/>
      <c r="W19" s="164">
        <f>VLOOKUP($C19,МНО!$B$16:$AB$104,16,0)</f>
        <v>20214</v>
      </c>
      <c r="X19" s="167">
        <f>VLOOKUP($C19,МНО!$B$16:$AB$104,8,0)</f>
        <v>14936</v>
      </c>
      <c r="Y19" s="167">
        <f>VLOOKUP($C19,МНО!$B$16:$AB$104,11,0)</f>
        <v>5278</v>
      </c>
      <c r="Z19" s="172">
        <f>VLOOKUP($C19,МНО!$B$16:$AB$104,17,0)</f>
        <v>0.26110616404472148</v>
      </c>
      <c r="AA19" s="245"/>
      <c r="AB19" s="95">
        <f>VLOOKUP($C19,МНО!$B$16:$AB$104,13,0)</f>
        <v>12.840852442116285</v>
      </c>
      <c r="AC19" s="154">
        <f>VLOOKUP($C19,МНО!$B$16:$AB$104,18,0)</f>
        <v>1</v>
      </c>
      <c r="AD19" s="163">
        <f>VLOOKUP($C19,Контейнеры!$B$16:$AB$104,16,0)</f>
        <v>34913</v>
      </c>
      <c r="AE19" s="166">
        <f>VLOOKUP($C19,Контейнеры!$B$16:$AB$104,8,0)</f>
        <v>31272</v>
      </c>
      <c r="AF19" s="166">
        <f>VLOOKUP($C19,Контейнеры!$B$16:$AB$104,11,0)</f>
        <v>3641</v>
      </c>
      <c r="AG19" s="173">
        <f>VLOOKUP($C19,Контейнеры!$B$16:$AB$104,17,0)</f>
        <v>0.10428780110560536</v>
      </c>
      <c r="AH19" s="245"/>
      <c r="AI19" s="95">
        <f>VLOOKUP($C19,Контейнеры!$B$16:$AB$104,13,0)</f>
        <v>27.887987885954612</v>
      </c>
      <c r="AJ19" s="154">
        <f>VLOOKUP($C19,Контейнеры!$B$16:$AB$104,18,0)</f>
        <v>1</v>
      </c>
      <c r="AK19" s="135"/>
      <c r="AL19" s="94"/>
      <c r="AM19" s="94"/>
      <c r="AN19" s="116"/>
      <c r="AO19" s="78">
        <f>VLOOKUP($C19,Обработка!$B$16:$L$104,6,0)</f>
        <v>0.56000000000000005</v>
      </c>
      <c r="AP19" s="75">
        <f t="shared" si="7"/>
        <v>1.7000000000000015E-2</v>
      </c>
      <c r="AQ19" s="74">
        <f>VLOOKUP($C19,Обработка!$B$16:$L$104,7,0)</f>
        <v>0.7</v>
      </c>
      <c r="AR19" s="179">
        <f t="shared" si="8"/>
        <v>-0.1070000000000001</v>
      </c>
      <c r="AS19" s="180">
        <f>VLOOKUP($C19,Утилизация!$B$16:$L$104,6,0)</f>
        <v>6.3E-2</v>
      </c>
      <c r="AT19" s="76">
        <f t="shared" si="9"/>
        <v>-7.6000000000000012E-2</v>
      </c>
      <c r="AU19" s="76">
        <f>VLOOKUP($C19,Утилизация!$B$16:$L$104,7,0)</f>
        <v>9.9000000000000005E-2</v>
      </c>
      <c r="AV19" s="184">
        <f t="shared" si="10"/>
        <v>-0.18699999999999997</v>
      </c>
      <c r="AW19" s="161" t="str">
        <f>VLOOKUP(C19,Захоронение!$B$16:$Q$104,16,0)</f>
        <v/>
      </c>
      <c r="AX19" s="135"/>
      <c r="AY19" s="94"/>
      <c r="AZ19" s="94"/>
      <c r="BA19" s="98"/>
      <c r="BB19" s="127" t="str">
        <f>VLOOKUP(C19,'ДК ИП'!$B$16:$S$104,5,0)</f>
        <v>среднее</v>
      </c>
      <c r="BC19" s="289">
        <f>VLOOKUP(C19,Радар!$B$16:$G$104,6,0)</f>
        <v>5.1723692037137607E-2</v>
      </c>
      <c r="BD19" s="98"/>
      <c r="BF19" s="294">
        <f t="shared" si="11"/>
        <v>0.5</v>
      </c>
      <c r="BI19" s="8">
        <f t="shared" si="12"/>
        <v>0</v>
      </c>
      <c r="BJ19" s="8">
        <f>VLOOKUP(C19,Штаб!$B$16:$C$104,2)</f>
        <v>1</v>
      </c>
      <c r="BK19" s="8">
        <f>VLOOKUP(C19,'РО - регионы'!$B$16:$C$104,2)</f>
        <v>1</v>
      </c>
      <c r="BL19" s="8">
        <f>VLOOKUP(C19,'РО - регионы'!$B$16:$L$104,11)</f>
        <v>2</v>
      </c>
      <c r="BM19" s="8">
        <f>VLOOKUP(C19,Спецтехника!$B$16:$C$104,2)</f>
        <v>0</v>
      </c>
      <c r="BN19" s="8">
        <f>VLOOKUP($C19,МНО!$B$16:$AB$104,6,0)</f>
        <v>1</v>
      </c>
      <c r="BO19" s="8">
        <f>VLOOKUP($C19,МНО!$B$16:$AB$104,4,0)</f>
        <v>0</v>
      </c>
      <c r="BP19" s="8">
        <f>VLOOKUP($C19,МНО!$B$16:$AB$104,5,0)</f>
        <v>0</v>
      </c>
      <c r="BQ19" s="8">
        <f>VLOOKUP($C19,Контейнеры!$B$16:$G$104,6,0)</f>
        <v>0</v>
      </c>
      <c r="BR19" s="8">
        <f>VLOOKUP($C19,Контейнеры!$B$16:$G$104,4,0)</f>
        <v>0</v>
      </c>
      <c r="BS19" s="8">
        <f>VLOOKUP($C19,Контейнеры!$B$16:$G$104,5,0)</f>
        <v>0</v>
      </c>
      <c r="BT19" s="8">
        <f>VLOOKUP($C19,'ДК МНО'!$B$16:$C$104,2,0)</f>
        <v>2</v>
      </c>
      <c r="BU19" s="8">
        <f>VLOOKUP($C19,Обработка!$B$16:$F$104,5,0)</f>
        <v>1</v>
      </c>
      <c r="BV19" s="8">
        <f>VLOOKUP($C19,Обработка!$B$16:$F$104,4,0)</f>
        <v>0</v>
      </c>
      <c r="BW19" s="8">
        <f>VLOOKUP($C19,Утилизация!$B$16:$F$104,5,0)</f>
        <v>2</v>
      </c>
      <c r="BX19" s="8">
        <f>VLOOKUP($C19,Утилизация!$B$16:$F$104,4,0)</f>
        <v>2</v>
      </c>
      <c r="BY19" s="8">
        <f>VLOOKUP($C19,Захоронение!$B$16:$C$104,2,0)</f>
        <v>0</v>
      </c>
      <c r="BZ19" s="8">
        <f>VLOOKUP($C19,'ДК ИП'!$B$16:$C$104,2,0)</f>
        <v>1</v>
      </c>
      <c r="CA19" s="8">
        <f>VLOOKUP(C19,Радар!$B$16:$G$104,2,0)</f>
        <v>0</v>
      </c>
      <c r="CB19" s="8">
        <f t="shared" si="13"/>
        <v>0.6</v>
      </c>
    </row>
    <row r="20" spans="1:80" ht="15.6" thickBot="1">
      <c r="A20" s="9" t="s">
        <v>657</v>
      </c>
      <c r="B20" s="122">
        <f t="shared" si="6"/>
        <v>10</v>
      </c>
      <c r="C20" s="202" t="s">
        <v>16</v>
      </c>
      <c r="D20" s="277" t="str">
        <f>VLOOKUP($C20,Штаб!$B$16:$J$104,6,0)</f>
        <v>✔️</v>
      </c>
      <c r="E20" s="285" t="str">
        <f>VLOOKUP($C20,Штаб!$B$16:$J$104,7,0)</f>
        <v/>
      </c>
      <c r="F20" s="285" t="str">
        <f>VLOOKUP($C20,Штаб!$B$16:$J$104,8,0)</f>
        <v/>
      </c>
      <c r="G20" s="286" t="str">
        <f>VLOOKUP($C20,Штаб!$B$16:$J$104,9,0)</f>
        <v/>
      </c>
      <c r="H20" s="278" t="str">
        <f>VLOOKUP(C20,'РО - регионы'!$B$16:$I$104,8,0)</f>
        <v>0 / 1 / 7 из 8</v>
      </c>
      <c r="I20" s="237"/>
      <c r="J20" s="122"/>
      <c r="K20" s="94"/>
      <c r="L20" s="94"/>
      <c r="M20" s="98"/>
      <c r="N20" s="163">
        <f>VLOOKUP(C20,Спецтехника!$B$16:$J$104,4,0)</f>
        <v>535</v>
      </c>
      <c r="O20" s="166">
        <f>VLOOKUP(C20,Спецтехника!$B$16:$J$104,5,0)</f>
        <v>516</v>
      </c>
      <c r="P20" s="166">
        <f>VLOOKUP(C20,Спецтехника!$B$16:$J$104,6,0)</f>
        <v>19</v>
      </c>
      <c r="Q20" s="169">
        <f>VLOOKUP(C20,Спецтехника!$B$16:$J$104,7,0)</f>
        <v>3.5514018691588788E-2</v>
      </c>
      <c r="R20" s="242"/>
      <c r="S20" s="122"/>
      <c r="T20" s="94"/>
      <c r="U20" s="94"/>
      <c r="V20" s="98"/>
      <c r="W20" s="164">
        <f>VLOOKUP($C20,МНО!$B$16:$AB$104,16,0)</f>
        <v>32140</v>
      </c>
      <c r="X20" s="167">
        <f>VLOOKUP($C20,МНО!$B$16:$AB$104,8,0)</f>
        <v>21745</v>
      </c>
      <c r="Y20" s="167">
        <f>VLOOKUP($C20,МНО!$B$16:$AB$104,11,0)</f>
        <v>10395</v>
      </c>
      <c r="Z20" s="172">
        <f>VLOOKUP($C20,МНО!$B$16:$AB$104,17,0)</f>
        <v>0.32342874922215309</v>
      </c>
      <c r="AA20" s="245"/>
      <c r="AB20" s="95">
        <f>VLOOKUP($C20,МНО!$B$16:$AB$104,13,0)</f>
        <v>8.4960216273565283</v>
      </c>
      <c r="AC20" s="154">
        <f>VLOOKUP($C20,МНО!$B$16:$AB$104,18,0)</f>
        <v>1</v>
      </c>
      <c r="AD20" s="163">
        <f>VLOOKUP($C20,Контейнеры!$B$16:$AB$104,16,0)</f>
        <v>43480</v>
      </c>
      <c r="AE20" s="166">
        <f>VLOOKUP($C20,Контейнеры!$B$16:$AB$104,8,0)</f>
        <v>43066</v>
      </c>
      <c r="AF20" s="166">
        <f>VLOOKUP($C20,Контейнеры!$B$16:$AB$104,11,0)</f>
        <v>414</v>
      </c>
      <c r="AG20" s="173">
        <f>VLOOKUP($C20,Контейнеры!$B$16:$AB$104,17,0)</f>
        <v>9.5216191352345911E-3</v>
      </c>
      <c r="AH20" s="245"/>
      <c r="AI20" s="95">
        <f>VLOOKUP($C20,Контейнеры!$B$16:$AB$104,13,0)</f>
        <v>18.943291090020001</v>
      </c>
      <c r="AJ20" s="154">
        <f>VLOOKUP($C20,Контейнеры!$B$16:$AB$104,18,0)</f>
        <v>0.80371006270528511</v>
      </c>
      <c r="AK20" s="135"/>
      <c r="AL20" s="94"/>
      <c r="AM20" s="94"/>
      <c r="AN20" s="116"/>
      <c r="AO20" s="78">
        <f>VLOOKUP($C20,Обработка!$B$16:$L$104,6,0)</f>
        <v>0.56499999999999995</v>
      </c>
      <c r="AP20" s="75">
        <f t="shared" si="7"/>
        <v>2.1999999999999909E-2</v>
      </c>
      <c r="AQ20" s="74">
        <f>VLOOKUP($C20,Обработка!$B$16:$L$104,7,0)</f>
        <v>0.53</v>
      </c>
      <c r="AR20" s="179">
        <f t="shared" si="8"/>
        <v>-0.27700000000000002</v>
      </c>
      <c r="AS20" s="180">
        <f>VLOOKUP($C20,Утилизация!$B$16:$L$104,6,0)</f>
        <v>4.0999999999999995E-2</v>
      </c>
      <c r="AT20" s="76">
        <f t="shared" si="9"/>
        <v>-9.8000000000000018E-2</v>
      </c>
      <c r="AU20" s="76">
        <f>VLOOKUP($C20,Утилизация!$B$16:$L$104,7,0)</f>
        <v>3.5000000000000003E-2</v>
      </c>
      <c r="AV20" s="184">
        <f t="shared" si="10"/>
        <v>-0.251</v>
      </c>
      <c r="AW20" s="160" t="str">
        <f>VLOOKUP(C20,Захоронение!$B$16:$Q$104,16,0)</f>
        <v>765 приказ</v>
      </c>
      <c r="AX20" s="135"/>
      <c r="AY20" s="94"/>
      <c r="AZ20" s="94"/>
      <c r="BA20" s="98"/>
      <c r="BB20" s="127" t="str">
        <f>VLOOKUP(C20,'ДК ИП'!$B$16:$S$104,5,0)</f>
        <v>существенное</v>
      </c>
      <c r="BC20" s="288">
        <f>VLOOKUP(C20,Радар!$B$16:$G$104,6,0)</f>
        <v>7.8296238657492231E-2</v>
      </c>
      <c r="BD20" s="98"/>
      <c r="BF20" s="294">
        <f t="shared" si="11"/>
        <v>0.91666666666666663</v>
      </c>
      <c r="BI20" s="8">
        <f t="shared" si="12"/>
        <v>1</v>
      </c>
      <c r="BJ20" s="8">
        <f>VLOOKUP(C20,Штаб!$B$16:$C$104,2)</f>
        <v>0</v>
      </c>
      <c r="BK20" s="8">
        <f>VLOOKUP(C20,'РО - регионы'!$B$16:$C$104,2)</f>
        <v>1</v>
      </c>
      <c r="BL20" s="8">
        <f>VLOOKUP(C20,'РО - регионы'!$B$16:$L$104,11)</f>
        <v>2</v>
      </c>
      <c r="BM20" s="8">
        <f>VLOOKUP(C20,Спецтехника!$B$16:$C$104,2)</f>
        <v>0</v>
      </c>
      <c r="BN20" s="8">
        <f>VLOOKUP($C20,МНО!$B$16:$AB$104,6,0)</f>
        <v>1</v>
      </c>
      <c r="BO20" s="8">
        <f>VLOOKUP($C20,МНО!$B$16:$AB$104,4,0)</f>
        <v>0</v>
      </c>
      <c r="BP20" s="8">
        <f>VLOOKUP($C20,МНО!$B$16:$AB$104,5,0)</f>
        <v>0</v>
      </c>
      <c r="BQ20" s="8">
        <f>VLOOKUP($C20,Контейнеры!$B$16:$G$104,6,0)</f>
        <v>0</v>
      </c>
      <c r="BR20" s="8">
        <f>VLOOKUP($C20,Контейнеры!$B$16:$G$104,4,0)</f>
        <v>0</v>
      </c>
      <c r="BS20" s="8">
        <f>VLOOKUP($C20,Контейнеры!$B$16:$G$104,5,0)</f>
        <v>2</v>
      </c>
      <c r="BT20" s="8">
        <f>VLOOKUP($C20,'ДК МНО'!$B$16:$C$104,2,0)</f>
        <v>2</v>
      </c>
      <c r="BU20" s="8">
        <f>VLOOKUP($C20,Обработка!$B$16:$F$104,5,0)</f>
        <v>1</v>
      </c>
      <c r="BV20" s="8">
        <f>VLOOKUP($C20,Обработка!$B$16:$F$104,4,0)</f>
        <v>0</v>
      </c>
      <c r="BW20" s="8">
        <f>VLOOKUP($C20,Утилизация!$B$16:$F$104,5,0)</f>
        <v>2</v>
      </c>
      <c r="BX20" s="8">
        <f>VLOOKUP($C20,Утилизация!$B$16:$F$104,4,0)</f>
        <v>2</v>
      </c>
      <c r="BY20" s="8">
        <f>VLOOKUP($C20,Захоронение!$B$16:$C$104,2,0)</f>
        <v>1</v>
      </c>
      <c r="BZ20" s="8">
        <f>VLOOKUP($C20,'ДК ИП'!$B$16:$C$104,2,0)</f>
        <v>2</v>
      </c>
      <c r="CA20" s="8">
        <f>VLOOKUP(C20,Радар!$B$16:$G$104,2,0)</f>
        <v>2</v>
      </c>
      <c r="CB20" s="8">
        <f t="shared" si="13"/>
        <v>0.95</v>
      </c>
    </row>
    <row r="21" spans="1:80" ht="15.6" thickBot="1">
      <c r="A21" s="9" t="s">
        <v>657</v>
      </c>
      <c r="B21" s="121">
        <f t="shared" si="6"/>
        <v>11</v>
      </c>
      <c r="C21" s="202" t="s">
        <v>17</v>
      </c>
      <c r="D21" s="277" t="str">
        <f>VLOOKUP($C21,Штаб!$B$16:$J$104,6,0)</f>
        <v/>
      </c>
      <c r="E21" s="285" t="str">
        <f>VLOOKUP($C21,Штаб!$B$16:$J$104,7,0)</f>
        <v/>
      </c>
      <c r="F21" s="285" t="str">
        <f>VLOOKUP($C21,Штаб!$B$16:$J$104,8,0)</f>
        <v/>
      </c>
      <c r="G21" s="286" t="str">
        <f>VLOOKUP($C21,Штаб!$B$16:$J$104,9,0)</f>
        <v>✔️</v>
      </c>
      <c r="H21" s="279" t="str">
        <f>VLOOKUP(C21,'РО - регионы'!$B$16:$I$104,8,0)</f>
        <v>0 / 0 / 1 из 1</v>
      </c>
      <c r="I21" s="237"/>
      <c r="J21" s="122"/>
      <c r="K21" s="94"/>
      <c r="L21" s="94"/>
      <c r="M21" s="98"/>
      <c r="N21" s="163">
        <f>VLOOKUP(C21,Спецтехника!$B$16:$J$104,4,0)</f>
        <v>1502</v>
      </c>
      <c r="O21" s="166">
        <f>VLOOKUP(C21,Спецтехника!$B$16:$J$104,5,0)</f>
        <v>1502</v>
      </c>
      <c r="P21" s="166">
        <f>VLOOKUP(C21,Спецтехника!$B$16:$J$104,6,0)</f>
        <v>0</v>
      </c>
      <c r="Q21" s="169">
        <f>VLOOKUP(C21,Спецтехника!$B$16:$J$104,7,0)</f>
        <v>0</v>
      </c>
      <c r="R21" s="242"/>
      <c r="S21" s="122"/>
      <c r="T21" s="94"/>
      <c r="U21" s="94"/>
      <c r="V21" s="98"/>
      <c r="W21" s="163">
        <f>VLOOKUP($C21,МНО!$B$16:$AB$104,16,0)</f>
        <v>0</v>
      </c>
      <c r="X21" s="166">
        <f>VLOOKUP($C21,МНО!$B$16:$AB$104,8,0)</f>
        <v>0</v>
      </c>
      <c r="Y21" s="166">
        <f>VLOOKUP($C21,МНО!$B$16:$AB$104,11,0)</f>
        <v>0</v>
      </c>
      <c r="Z21" s="173">
        <f>VLOOKUP($C21,МНО!$B$16:$AB$104,17,0)</f>
        <v>0</v>
      </c>
      <c r="AA21" s="245"/>
      <c r="AB21" s="95"/>
      <c r="AC21" s="154"/>
      <c r="AD21" s="163">
        <f>VLOOKUP($C21,Контейнеры!$B$16:$AB$104,16,0)</f>
        <v>0</v>
      </c>
      <c r="AE21" s="166">
        <f>VLOOKUP($C21,Контейнеры!$B$16:$AB$104,8,0)</f>
        <v>0</v>
      </c>
      <c r="AF21" s="166">
        <f>VLOOKUP($C21,Контейнеры!$B$16:$AB$104,11,0)</f>
        <v>0</v>
      </c>
      <c r="AG21" s="173">
        <f>VLOOKUP($C21,Контейнеры!$B$16:$AB$104,17,0)</f>
        <v>0</v>
      </c>
      <c r="AH21" s="245"/>
      <c r="AI21" s="95"/>
      <c r="AJ21" s="154"/>
      <c r="AK21" s="135"/>
      <c r="AL21" s="94"/>
      <c r="AM21" s="94"/>
      <c r="AN21" s="116"/>
      <c r="AO21" s="78">
        <f>VLOOKUP($C21,Обработка!$B$16:$L$104,6,0)</f>
        <v>0.98699999999999999</v>
      </c>
      <c r="AP21" s="75">
        <f t="shared" si="7"/>
        <v>0.44399999999999995</v>
      </c>
      <c r="AQ21" s="75">
        <f>VLOOKUP($C21,Обработка!$B$16:$L$104,7,0)</f>
        <v>0.9</v>
      </c>
      <c r="AR21" s="178">
        <f t="shared" si="8"/>
        <v>9.2999999999999972E-2</v>
      </c>
      <c r="AS21" s="182">
        <f>VLOOKUP($C21,Утилизация!$B$16:$L$104,6,0)</f>
        <v>0.50800000000000001</v>
      </c>
      <c r="AT21" s="75">
        <f t="shared" si="9"/>
        <v>0.36899999999999999</v>
      </c>
      <c r="AU21" s="75">
        <f>VLOOKUP($C21,Утилизация!$B$16:$L$104,7,0)</f>
        <v>0.47</v>
      </c>
      <c r="AV21" s="185">
        <f t="shared" si="10"/>
        <v>0.184</v>
      </c>
      <c r="AW21" s="161" t="str">
        <f>VLOOKUP(C21,Захоронение!$B$16:$Q$104,16,0)</f>
        <v/>
      </c>
      <c r="AX21" s="135"/>
      <c r="AY21" s="94"/>
      <c r="AZ21" s="94"/>
      <c r="BA21" s="98"/>
      <c r="BB21" s="127" t="str">
        <f>VLOOKUP(C21,'ДК ИП'!$B$16:$S$104,5,0)</f>
        <v>не подписана</v>
      </c>
      <c r="BC21" s="289">
        <f>VLOOKUP(C21,Радар!$B$16:$G$104,6,0)</f>
        <v>3.1559408152350268E-2</v>
      </c>
      <c r="BD21" s="98"/>
      <c r="BF21" s="296">
        <f t="shared" si="11"/>
        <v>0</v>
      </c>
      <c r="BI21" s="8">
        <f t="shared" si="12"/>
        <v>0</v>
      </c>
      <c r="BJ21" s="8">
        <f>VLOOKUP(C21,Штаб!$B$16:$C$104,2)</f>
        <v>2</v>
      </c>
      <c r="BK21" s="8">
        <f>VLOOKUP(C21,'РО - регионы'!$B$16:$C$104,2)</f>
        <v>0</v>
      </c>
      <c r="BL21" s="8">
        <f>VLOOKUP(C21,'РО - регионы'!$B$16:$L$104,11)</f>
        <v>0</v>
      </c>
      <c r="BM21" s="8">
        <f>VLOOKUP(C21,Спецтехника!$B$16:$C$104,2)</f>
        <v>0</v>
      </c>
      <c r="BN21" s="8">
        <f>VLOOKUP($C21,МНО!$B$16:$AB$104,6,0)</f>
        <v>0</v>
      </c>
      <c r="BO21" s="8">
        <f>VLOOKUP($C21,МНО!$B$16:$AB$104,4,0)</f>
        <v>0</v>
      </c>
      <c r="BP21" s="8">
        <f>VLOOKUP($C21,МНО!$B$16:$AB$104,5,0)</f>
        <v>0</v>
      </c>
      <c r="BQ21" s="8">
        <f>VLOOKUP($C21,Контейнеры!$B$16:$G$104,6,0)</f>
        <v>0</v>
      </c>
      <c r="BR21" s="8">
        <f>VLOOKUP($C21,Контейнеры!$B$16:$G$104,4,0)</f>
        <v>0</v>
      </c>
      <c r="BS21" s="8">
        <f>VLOOKUP($C21,Контейнеры!$B$16:$G$104,5,0)</f>
        <v>0</v>
      </c>
      <c r="BT21" s="8">
        <f>VLOOKUP($C21,'ДК МНО'!$B$16:$C$104,2,0)</f>
        <v>2</v>
      </c>
      <c r="BU21" s="8">
        <f>VLOOKUP($C21,Обработка!$B$16:$F$104,5,0)</f>
        <v>0</v>
      </c>
      <c r="BV21" s="8">
        <f>VLOOKUP($C21,Обработка!$B$16:$F$104,4,0)</f>
        <v>0</v>
      </c>
      <c r="BW21" s="8">
        <f>VLOOKUP($C21,Утилизация!$B$16:$F$104,5,0)</f>
        <v>0</v>
      </c>
      <c r="BX21" s="8">
        <f>VLOOKUP($C21,Утилизация!$B$16:$F$104,4,0)</f>
        <v>0</v>
      </c>
      <c r="BY21" s="8">
        <f>VLOOKUP($C21,Захоронение!$B$16:$C$104,2,0)</f>
        <v>0</v>
      </c>
      <c r="BZ21" s="8">
        <f>VLOOKUP($C21,'ДК ИП'!$B$16:$C$104,2,0)</f>
        <v>0</v>
      </c>
      <c r="CA21" s="8">
        <f>VLOOKUP(C21,Радар!$B$16:$G$104,2,0)</f>
        <v>0</v>
      </c>
      <c r="CB21" s="8">
        <f t="shared" si="13"/>
        <v>0</v>
      </c>
    </row>
    <row r="22" spans="1:80" ht="15.6" thickBot="1">
      <c r="A22" s="9" t="s">
        <v>655</v>
      </c>
      <c r="B22" s="122">
        <f t="shared" si="6"/>
        <v>12</v>
      </c>
      <c r="C22" s="202" t="s">
        <v>18</v>
      </c>
      <c r="D22" s="277" t="str">
        <f>VLOOKUP($C22,Штаб!$B$16:$J$104,6,0)</f>
        <v/>
      </c>
      <c r="E22" s="285" t="str">
        <f>VLOOKUP($C22,Штаб!$B$16:$J$104,7,0)</f>
        <v>✔️</v>
      </c>
      <c r="F22" s="285" t="str">
        <f>VLOOKUP($C22,Штаб!$B$16:$J$104,8,0)</f>
        <v/>
      </c>
      <c r="G22" s="286" t="str">
        <f>VLOOKUP($C22,Штаб!$B$16:$J$104,9,0)</f>
        <v/>
      </c>
      <c r="H22" s="279" t="str">
        <f>VLOOKUP(C22,'РО - регионы'!$B$16:$I$104,8,0)</f>
        <v>0 / 0 / 1 из 1</v>
      </c>
      <c r="I22" s="237"/>
      <c r="J22" s="122"/>
      <c r="K22" s="94"/>
      <c r="L22" s="94"/>
      <c r="M22" s="98"/>
      <c r="N22" s="163">
        <f>VLOOKUP(C22,Спецтехника!$B$16:$J$104,4,0)</f>
        <v>869</v>
      </c>
      <c r="O22" s="166">
        <f>VLOOKUP(C22,Спецтехника!$B$16:$J$104,5,0)</f>
        <v>869</v>
      </c>
      <c r="P22" s="166">
        <f>VLOOKUP(C22,Спецтехника!$B$16:$J$104,6,0)</f>
        <v>0</v>
      </c>
      <c r="Q22" s="169">
        <f>VLOOKUP(C22,Спецтехника!$B$16:$J$104,7,0)</f>
        <v>0</v>
      </c>
      <c r="R22" s="242"/>
      <c r="S22" s="122"/>
      <c r="T22" s="94"/>
      <c r="U22" s="94"/>
      <c r="V22" s="98"/>
      <c r="W22" s="163">
        <f>VLOOKUP($C22,МНО!$B$16:$AB$104,16,0)</f>
        <v>0</v>
      </c>
      <c r="X22" s="166">
        <f>VLOOKUP($C22,МНО!$B$16:$AB$104,8,0)</f>
        <v>0</v>
      </c>
      <c r="Y22" s="166">
        <f>VLOOKUP($C22,МНО!$B$16:$AB$104,11,0)</f>
        <v>0</v>
      </c>
      <c r="Z22" s="173">
        <f>VLOOKUP($C22,МНО!$B$16:$AB$104,17,0)</f>
        <v>0</v>
      </c>
      <c r="AA22" s="245"/>
      <c r="AB22" s="95"/>
      <c r="AC22" s="154"/>
      <c r="AD22" s="163">
        <f>VLOOKUP($C22,Контейнеры!$B$16:$AB$104,16,0)</f>
        <v>0</v>
      </c>
      <c r="AE22" s="166">
        <f>VLOOKUP($C22,Контейнеры!$B$16:$AB$104,8,0)</f>
        <v>0</v>
      </c>
      <c r="AF22" s="166">
        <f>VLOOKUP($C22,Контейнеры!$B$16:$AB$104,11,0)</f>
        <v>0</v>
      </c>
      <c r="AG22" s="173">
        <f>VLOOKUP($C22,Контейнеры!$B$16:$AB$104,17,0)</f>
        <v>0</v>
      </c>
      <c r="AH22" s="245"/>
      <c r="AI22" s="95"/>
      <c r="AJ22" s="154"/>
      <c r="AK22" s="135"/>
      <c r="AL22" s="94"/>
      <c r="AM22" s="94"/>
      <c r="AN22" s="116"/>
      <c r="AO22" s="78">
        <f>VLOOKUP($C22,Обработка!$B$16:$L$104,6,0)</f>
        <v>0.75099999999999989</v>
      </c>
      <c r="AP22" s="75">
        <f t="shared" si="7"/>
        <v>0.20799999999999985</v>
      </c>
      <c r="AQ22" s="75">
        <f>VLOOKUP($C22,Обработка!$B$16:$L$104,7,0)</f>
        <v>1</v>
      </c>
      <c r="AR22" s="178">
        <f t="shared" si="8"/>
        <v>0.19299999999999995</v>
      </c>
      <c r="AS22" s="180">
        <f>VLOOKUP($C22,Утилизация!$B$16:$L$104,6,0)</f>
        <v>6.7000000000000004E-2</v>
      </c>
      <c r="AT22" s="76">
        <f t="shared" si="9"/>
        <v>-7.2000000000000008E-2</v>
      </c>
      <c r="AU22" s="75">
        <f>VLOOKUP($C22,Утилизация!$B$16:$L$104,7,0)</f>
        <v>0.5</v>
      </c>
      <c r="AV22" s="185">
        <f t="shared" si="10"/>
        <v>0.21400000000000002</v>
      </c>
      <c r="AW22" s="161" t="str">
        <f>VLOOKUP(C22,Захоронение!$B$16:$Q$104,16,0)</f>
        <v/>
      </c>
      <c r="AX22" s="135"/>
      <c r="AY22" s="94"/>
      <c r="AZ22" s="94"/>
      <c r="BA22" s="98"/>
      <c r="BB22" s="127" t="str">
        <f>VLOOKUP(C22,'ДК ИП'!$B$16:$S$104,5,0)</f>
        <v>нет</v>
      </c>
      <c r="BC22" s="288">
        <f>VLOOKUP(C22,Радар!$B$16:$G$104,6,0)</f>
        <v>0.1034341754018525</v>
      </c>
      <c r="BD22" s="98"/>
      <c r="BF22" s="296">
        <f t="shared" si="11"/>
        <v>0.16666666666666666</v>
      </c>
      <c r="BI22" s="8">
        <f t="shared" si="12"/>
        <v>0</v>
      </c>
      <c r="BJ22" s="8">
        <f>VLOOKUP(C22,Штаб!$B$16:$C$104,2)</f>
        <v>1</v>
      </c>
      <c r="BK22" s="8">
        <f>VLOOKUP(C22,'РО - регионы'!$B$16:$C$104,2)</f>
        <v>0</v>
      </c>
      <c r="BL22" s="8">
        <f>VLOOKUP(C22,'РО - регионы'!$B$16:$L$104,11)</f>
        <v>0</v>
      </c>
      <c r="BM22" s="8">
        <f>VLOOKUP(C22,Спецтехника!$B$16:$C$104,2)</f>
        <v>0</v>
      </c>
      <c r="BN22" s="8">
        <f>VLOOKUP($C22,МНО!$B$16:$AB$104,6,0)</f>
        <v>0</v>
      </c>
      <c r="BO22" s="8">
        <f>VLOOKUP($C22,МНО!$B$16:$AB$104,4,0)</f>
        <v>0</v>
      </c>
      <c r="BP22" s="8">
        <f>VLOOKUP($C22,МНО!$B$16:$AB$104,5,0)</f>
        <v>0</v>
      </c>
      <c r="BQ22" s="8">
        <f>VLOOKUP($C22,Контейнеры!$B$16:$G$104,6,0)</f>
        <v>0</v>
      </c>
      <c r="BR22" s="8">
        <f>VLOOKUP($C22,Контейнеры!$B$16:$G$104,4,0)</f>
        <v>0</v>
      </c>
      <c r="BS22" s="8">
        <f>VLOOKUP($C22,Контейнеры!$B$16:$G$104,5,0)</f>
        <v>0</v>
      </c>
      <c r="BT22" s="8">
        <f>VLOOKUP($C22,'ДК МНО'!$B$16:$C$104,2,0)</f>
        <v>2</v>
      </c>
      <c r="BU22" s="8">
        <f>VLOOKUP($C22,Обработка!$B$16:$F$104,5,0)</f>
        <v>0</v>
      </c>
      <c r="BV22" s="8">
        <f>VLOOKUP($C22,Обработка!$B$16:$F$104,4,0)</f>
        <v>0</v>
      </c>
      <c r="BW22" s="8">
        <f>VLOOKUP($C22,Утилизация!$B$16:$F$104,5,0)</f>
        <v>0</v>
      </c>
      <c r="BX22" s="8">
        <f>VLOOKUP($C22,Утилизация!$B$16:$F$104,4,0)</f>
        <v>2</v>
      </c>
      <c r="BY22" s="8">
        <f>VLOOKUP($C22,Захоронение!$B$16:$C$104,2,0)</f>
        <v>0</v>
      </c>
      <c r="BZ22" s="8">
        <f>VLOOKUP($C22,'ДК ИП'!$B$16:$C$104,2,0)</f>
        <v>0</v>
      </c>
      <c r="CA22" s="8">
        <f>VLOOKUP(C22,Радар!$B$16:$G$104,2,0)</f>
        <v>2</v>
      </c>
      <c r="CB22" s="8">
        <f t="shared" si="13"/>
        <v>0.1</v>
      </c>
    </row>
    <row r="23" spans="1:80" ht="15.6" thickBot="1">
      <c r="A23" s="9" t="s">
        <v>656</v>
      </c>
      <c r="B23" s="121">
        <f t="shared" si="6"/>
        <v>13</v>
      </c>
      <c r="C23" s="202" t="s">
        <v>19</v>
      </c>
      <c r="D23" s="277" t="str">
        <f>VLOOKUP($C23,Штаб!$B$16:$J$104,6,0)</f>
        <v/>
      </c>
      <c r="E23" s="285" t="str">
        <f>VLOOKUP($C23,Штаб!$B$16:$J$104,7,0)</f>
        <v/>
      </c>
      <c r="F23" s="285" t="str">
        <f>VLOOKUP($C23,Штаб!$B$16:$J$104,8,0)</f>
        <v/>
      </c>
      <c r="G23" s="286" t="str">
        <f>VLOOKUP($C23,Штаб!$B$16:$J$104,9,0)</f>
        <v>✔️</v>
      </c>
      <c r="H23" s="279" t="str">
        <f>VLOOKUP(C23,'РО - регионы'!$B$16:$I$104,8,0)</f>
        <v>0 / 0 / 1 из 1</v>
      </c>
      <c r="I23" s="237"/>
      <c r="J23" s="122"/>
      <c r="K23" s="94"/>
      <c r="L23" s="94"/>
      <c r="M23" s="98"/>
      <c r="N23" s="163">
        <f>VLOOKUP(C23,Спецтехника!$B$16:$J$104,4,0)</f>
        <v>74</v>
      </c>
      <c r="O23" s="166">
        <f>VLOOKUP(C23,Спецтехника!$B$16:$J$104,5,0)</f>
        <v>74</v>
      </c>
      <c r="P23" s="166">
        <f>VLOOKUP(C23,Спецтехника!$B$16:$J$104,6,0)</f>
        <v>0</v>
      </c>
      <c r="Q23" s="169">
        <f>VLOOKUP(C23,Спецтехника!$B$16:$J$104,7,0)</f>
        <v>0</v>
      </c>
      <c r="R23" s="242"/>
      <c r="S23" s="122"/>
      <c r="T23" s="94"/>
      <c r="U23" s="94"/>
      <c r="V23" s="98"/>
      <c r="W23" s="163">
        <f>VLOOKUP($C23,МНО!$B$16:$AB$104,16,0)</f>
        <v>0</v>
      </c>
      <c r="X23" s="166">
        <f>VLOOKUP($C23,МНО!$B$16:$AB$104,8,0)</f>
        <v>0</v>
      </c>
      <c r="Y23" s="166">
        <f>VLOOKUP($C23,МНО!$B$16:$AB$104,11,0)</f>
        <v>0</v>
      </c>
      <c r="Z23" s="173">
        <f>VLOOKUP($C23,МНО!$B$16:$AB$104,17,0)</f>
        <v>0</v>
      </c>
      <c r="AA23" s="245"/>
      <c r="AB23" s="95"/>
      <c r="AC23" s="154"/>
      <c r="AD23" s="163">
        <f>VLOOKUP($C23,Контейнеры!$B$16:$AB$104,16,0)</f>
        <v>6795</v>
      </c>
      <c r="AE23" s="166">
        <f>VLOOKUP($C23,Контейнеры!$B$16:$AB$104,8,0)</f>
        <v>0</v>
      </c>
      <c r="AF23" s="166">
        <f>VLOOKUP($C23,Контейнеры!$B$16:$AB$104,11,0)</f>
        <v>6795</v>
      </c>
      <c r="AG23" s="173">
        <f>VLOOKUP($C23,Контейнеры!$B$16:$AB$104,17,0)</f>
        <v>0</v>
      </c>
      <c r="AH23" s="245"/>
      <c r="AI23" s="95"/>
      <c r="AJ23" s="154"/>
      <c r="AK23" s="135"/>
      <c r="AL23" s="94"/>
      <c r="AM23" s="94"/>
      <c r="AN23" s="116"/>
      <c r="AO23" s="80">
        <f>VLOOKUP($C23,Обработка!$B$16:$L$104,6,0)</f>
        <v>0.49700000000000005</v>
      </c>
      <c r="AP23" s="75">
        <f t="shared" si="7"/>
        <v>-4.5999999999999985E-2</v>
      </c>
      <c r="AQ23" s="74">
        <f>VLOOKUP($C23,Обработка!$B$16:$L$104,7,0)</f>
        <v>0.45</v>
      </c>
      <c r="AR23" s="179">
        <f t="shared" si="8"/>
        <v>-0.35700000000000004</v>
      </c>
      <c r="AS23" s="180">
        <f>VLOOKUP($C23,Утилизация!$B$16:$L$104,6,0)</f>
        <v>1.4999999999999999E-2</v>
      </c>
      <c r="AT23" s="76">
        <f t="shared" si="9"/>
        <v>-0.12400000000000001</v>
      </c>
      <c r="AU23" s="76">
        <f>VLOOKUP($C23,Утилизация!$B$16:$L$104,7,0)</f>
        <v>9.0000000000000011E-3</v>
      </c>
      <c r="AV23" s="184">
        <f t="shared" si="10"/>
        <v>-0.27699999999999997</v>
      </c>
      <c r="AW23" s="160" t="str">
        <f>VLOOKUP(C23,Захоронение!$B$16:$Q$104,16,0)</f>
        <v>перегруз</v>
      </c>
      <c r="AX23" s="135"/>
      <c r="AY23" s="94"/>
      <c r="AZ23" s="94"/>
      <c r="BA23" s="98"/>
      <c r="BB23" s="127" t="str">
        <f>VLOOKUP(C23,'ДК ИП'!$B$16:$S$104,5,0)</f>
        <v>существенное</v>
      </c>
      <c r="BC23" s="289">
        <f>VLOOKUP(C23,Радар!$B$16:$G$104,6,0)</f>
        <v>3.5626872637493007E-2</v>
      </c>
      <c r="BD23" s="98"/>
      <c r="BF23" s="293">
        <f t="shared" si="11"/>
        <v>1</v>
      </c>
      <c r="BI23" s="8">
        <f t="shared" si="12"/>
        <v>0</v>
      </c>
      <c r="BJ23" s="8">
        <f>VLOOKUP(C23,Штаб!$B$16:$C$104,2)</f>
        <v>2</v>
      </c>
      <c r="BK23" s="8">
        <f>VLOOKUP(C23,'РО - регионы'!$B$16:$C$104,2)</f>
        <v>0</v>
      </c>
      <c r="BL23" s="8">
        <f>VLOOKUP(C23,'РО - регионы'!$B$16:$L$104,11)</f>
        <v>0</v>
      </c>
      <c r="BM23" s="8">
        <f>VLOOKUP(C23,Спецтехника!$B$16:$C$104,2)</f>
        <v>0</v>
      </c>
      <c r="BN23" s="8">
        <f>VLOOKUP($C23,МНО!$B$16:$AB$104,6,0)</f>
        <v>0</v>
      </c>
      <c r="BO23" s="8">
        <f>VLOOKUP($C23,МНО!$B$16:$AB$104,4,0)</f>
        <v>0</v>
      </c>
      <c r="BP23" s="8">
        <f>VLOOKUP($C23,МНО!$B$16:$AB$104,5,0)</f>
        <v>0</v>
      </c>
      <c r="BQ23" s="8">
        <f>VLOOKUP($C23,Контейнеры!$B$16:$G$104,6,0)</f>
        <v>0</v>
      </c>
      <c r="BR23" s="8">
        <f>VLOOKUP($C23,Контейнеры!$B$16:$G$104,4,0)</f>
        <v>0</v>
      </c>
      <c r="BS23" s="8">
        <f>VLOOKUP($C23,Контейнеры!$B$16:$G$104,5,0)</f>
        <v>0</v>
      </c>
      <c r="BT23" s="8">
        <f>VLOOKUP($C23,'ДК МНО'!$B$16:$C$104,2,0)</f>
        <v>2</v>
      </c>
      <c r="BU23" s="8">
        <f>VLOOKUP($C23,Обработка!$B$16:$F$104,5,0)</f>
        <v>1</v>
      </c>
      <c r="BV23" s="8">
        <f>VLOOKUP($C23,Обработка!$B$16:$F$104,4,0)</f>
        <v>1</v>
      </c>
      <c r="BW23" s="8">
        <f>VLOOKUP($C23,Утилизация!$B$16:$F$104,5,0)</f>
        <v>2</v>
      </c>
      <c r="BX23" s="8">
        <f>VLOOKUP($C23,Утилизация!$B$16:$F$104,4,0)</f>
        <v>2</v>
      </c>
      <c r="BY23" s="8">
        <f>VLOOKUP($C23,Захоронение!$B$16:$C$104,2,0)</f>
        <v>1</v>
      </c>
      <c r="BZ23" s="8">
        <f>VLOOKUP($C23,'ДК ИП'!$B$16:$C$104,2,0)</f>
        <v>2</v>
      </c>
      <c r="CA23" s="8">
        <f>VLOOKUP(C23,Радар!$B$16:$G$104,2,0)</f>
        <v>0</v>
      </c>
      <c r="CB23" s="8">
        <f t="shared" si="13"/>
        <v>0.75</v>
      </c>
    </row>
    <row r="24" spans="1:80" ht="15.6" thickBot="1">
      <c r="B24" s="122">
        <f t="shared" si="6"/>
        <v>14</v>
      </c>
      <c r="C24" s="202" t="s">
        <v>580</v>
      </c>
      <c r="D24" s="277" t="str">
        <f>VLOOKUP($C24,Штаб!$B$16:$J$104,6,0)</f>
        <v/>
      </c>
      <c r="E24" s="285" t="str">
        <f>VLOOKUP($C24,Штаб!$B$16:$J$104,7,0)</f>
        <v/>
      </c>
      <c r="F24" s="285" t="str">
        <f>VLOOKUP($C24,Штаб!$B$16:$J$104,8,0)</f>
        <v/>
      </c>
      <c r="G24" s="286" t="str">
        <f>VLOOKUP($C24,Штаб!$B$16:$J$104,9,0)</f>
        <v>✔️</v>
      </c>
      <c r="H24" s="278" t="str">
        <f>VLOOKUP(C24,'РО - регионы'!$B$16:$I$104,8,0)</f>
        <v>0 / 1 / 0 из 1</v>
      </c>
      <c r="I24" s="237"/>
      <c r="J24" s="122"/>
      <c r="K24" s="94"/>
      <c r="L24" s="94"/>
      <c r="M24" s="98"/>
      <c r="N24" s="165">
        <f>VLOOKUP(C24,Спецтехника!$B$16:$J$104,4,0)</f>
        <v>415</v>
      </c>
      <c r="O24" s="168">
        <f>VLOOKUP(C24,Спецтехника!$B$16:$J$104,5,0)</f>
        <v>321</v>
      </c>
      <c r="P24" s="168">
        <f>VLOOKUP(C24,Спецтехника!$B$16:$J$104,6,0)</f>
        <v>94</v>
      </c>
      <c r="Q24" s="171">
        <f>VLOOKUP(C24,Спецтехника!$B$16:$J$104,7,0)</f>
        <v>0.22650602409638554</v>
      </c>
      <c r="R24" s="242"/>
      <c r="S24" s="122"/>
      <c r="T24" s="94"/>
      <c r="U24" s="94"/>
      <c r="V24" s="98"/>
      <c r="W24" s="163">
        <f>VLOOKUP($C24,МНО!$B$16:$AB$104,16,0)</f>
        <v>0</v>
      </c>
      <c r="X24" s="166">
        <f>VLOOKUP($C24,МНО!$B$16:$AB$104,8,0)</f>
        <v>0</v>
      </c>
      <c r="Y24" s="166">
        <f>VLOOKUP($C24,МНО!$B$16:$AB$104,11,0)</f>
        <v>0</v>
      </c>
      <c r="Z24" s="173">
        <f>VLOOKUP($C24,МНО!$B$16:$AB$104,17,0)</f>
        <v>0</v>
      </c>
      <c r="AA24" s="245"/>
      <c r="AB24" s="95"/>
      <c r="AC24" s="154"/>
      <c r="AD24" s="163">
        <f>VLOOKUP($C24,Контейнеры!$B$16:$AB$104,16,0)</f>
        <v>0</v>
      </c>
      <c r="AE24" s="166">
        <f>VLOOKUP($C24,Контейнеры!$B$16:$AB$104,8,0)</f>
        <v>0</v>
      </c>
      <c r="AF24" s="166">
        <f>VLOOKUP($C24,Контейнеры!$B$16:$AB$104,11,0)</f>
        <v>0</v>
      </c>
      <c r="AG24" s="173">
        <f>VLOOKUP($C24,Контейнеры!$B$16:$AB$104,17,0)</f>
        <v>0</v>
      </c>
      <c r="AH24" s="245"/>
      <c r="AI24" s="95"/>
      <c r="AJ24" s="154"/>
      <c r="AK24" s="135"/>
      <c r="AL24" s="94"/>
      <c r="AM24" s="94"/>
      <c r="AN24" s="116"/>
      <c r="AO24" s="78">
        <f>VLOOKUP($C24,Обработка!$B$16:$L$104,6,0)</f>
        <v>0</v>
      </c>
      <c r="AP24" s="75">
        <f t="shared" si="7"/>
        <v>-0.54300000000000004</v>
      </c>
      <c r="AQ24" s="75">
        <f>VLOOKUP($C24,Обработка!$B$16:$L$104,7,0)</f>
        <v>0</v>
      </c>
      <c r="AR24" s="178">
        <f t="shared" si="8"/>
        <v>-0.80700000000000005</v>
      </c>
      <c r="AS24" s="182">
        <f>VLOOKUP($C24,Утилизация!$B$16:$L$104,6,0)</f>
        <v>0</v>
      </c>
      <c r="AT24" s="75">
        <f t="shared" si="9"/>
        <v>-0.13900000000000001</v>
      </c>
      <c r="AU24" s="75">
        <f>VLOOKUP($C24,Утилизация!$B$16:$L$104,7,0)</f>
        <v>0</v>
      </c>
      <c r="AV24" s="185">
        <f t="shared" si="10"/>
        <v>-0.28599999999999998</v>
      </c>
      <c r="AW24" s="161"/>
      <c r="AX24" s="135"/>
      <c r="AY24" s="94"/>
      <c r="AZ24" s="94"/>
      <c r="BA24" s="98"/>
      <c r="BB24" s="127" t="str">
        <f>VLOOKUP(C24,'ДК ИП'!$B$16:$S$104,5,0)</f>
        <v>не подписана</v>
      </c>
      <c r="BC24" s="288" t="str">
        <f>VLOOKUP(C24,Радар!$B$16:$G$104,6,0)</f>
        <v/>
      </c>
      <c r="BD24" s="98"/>
      <c r="BF24" s="296">
        <f t="shared" si="11"/>
        <v>0</v>
      </c>
      <c r="BI24" s="8">
        <f t="shared" si="12"/>
        <v>0</v>
      </c>
      <c r="BJ24" s="8">
        <f>VLOOKUP(C24,Штаб!$B$16:$C$104,2)</f>
        <v>2</v>
      </c>
      <c r="BK24" s="8">
        <f>VLOOKUP(C24,'РО - регионы'!$B$16:$C$104,2)</f>
        <v>1</v>
      </c>
      <c r="BL24" s="8">
        <f>VLOOKUP(C24,'РО - регионы'!$B$16:$L$104,11)</f>
        <v>2</v>
      </c>
      <c r="BM24" s="8">
        <f>VLOOKUP(C24,Спецтехника!$B$16:$C$104,2)</f>
        <v>2</v>
      </c>
      <c r="BN24" s="8">
        <f>VLOOKUP($C24,МНО!$B$16:$AB$104,6,0)</f>
        <v>0</v>
      </c>
      <c r="BO24" s="8">
        <f>VLOOKUP($C24,МНО!$B$16:$AB$104,4,0)</f>
        <v>0</v>
      </c>
      <c r="BP24" s="8">
        <f>VLOOKUP($C24,МНО!$B$16:$AB$104,5,0)</f>
        <v>0</v>
      </c>
      <c r="BQ24" s="8">
        <f>VLOOKUP($C24,Контейнеры!$B$16:$G$104,6,0)</f>
        <v>0</v>
      </c>
      <c r="BR24" s="8">
        <f>VLOOKUP($C24,Контейнеры!$B$16:$G$104,4,0)</f>
        <v>0</v>
      </c>
      <c r="BS24" s="8">
        <f>VLOOKUP($C24,Контейнеры!$B$16:$G$104,5,0)</f>
        <v>0</v>
      </c>
      <c r="BT24" s="8">
        <f>VLOOKUP($C24,'ДК МНО'!$B$16:$C$104,2,0)</f>
        <v>2</v>
      </c>
      <c r="BU24" s="8">
        <f>VLOOKUP($C24,Обработка!$B$16:$F$104,5,0)</f>
        <v>0</v>
      </c>
      <c r="BV24" s="8">
        <f>VLOOKUP($C24,Обработка!$B$16:$F$104,4,0)</f>
        <v>0</v>
      </c>
      <c r="BW24" s="8">
        <f>VLOOKUP($C24,Утилизация!$B$16:$F$104,5,0)</f>
        <v>0</v>
      </c>
      <c r="BX24" s="8">
        <f>VLOOKUP($C24,Утилизация!$B$16:$F$104,4,0)</f>
        <v>0</v>
      </c>
      <c r="BY24" s="8">
        <f>VLOOKUP($C24,Захоронение!$B$16:$C$104,2,0)</f>
        <v>0</v>
      </c>
      <c r="BZ24" s="8">
        <f>VLOOKUP($C24,'ДК ИП'!$B$16:$C$104,2,0)</f>
        <v>0</v>
      </c>
      <c r="CA24" s="8">
        <f>VLOOKUP(C24,Радар!$B$16:$G$104,2,0)</f>
        <v>2</v>
      </c>
      <c r="CB24" s="8">
        <f t="shared" si="13"/>
        <v>0.30000000000000004</v>
      </c>
    </row>
    <row r="25" spans="1:80" ht="15.6" thickBot="1">
      <c r="A25" s="9" t="s">
        <v>654</v>
      </c>
      <c r="B25" s="121">
        <f t="shared" si="6"/>
        <v>15</v>
      </c>
      <c r="C25" s="202" t="s">
        <v>20</v>
      </c>
      <c r="D25" s="277" t="str">
        <f>VLOOKUP($C25,Штаб!$B$16:$J$104,6,0)</f>
        <v>✔️</v>
      </c>
      <c r="E25" s="285" t="str">
        <f>VLOOKUP($C25,Штаб!$B$16:$J$104,7,0)</f>
        <v/>
      </c>
      <c r="F25" s="285" t="str">
        <f>VLOOKUP($C25,Штаб!$B$16:$J$104,8,0)</f>
        <v/>
      </c>
      <c r="G25" s="286" t="str">
        <f>VLOOKUP($C25,Штаб!$B$16:$J$104,9,0)</f>
        <v/>
      </c>
      <c r="H25" s="278" t="str">
        <f>VLOOKUP(C25,'РО - регионы'!$B$16:$I$104,8,0)</f>
        <v>0 / 1 / 0 из 1</v>
      </c>
      <c r="I25" s="237"/>
      <c r="J25" s="122"/>
      <c r="K25" s="94"/>
      <c r="L25" s="94"/>
      <c r="M25" s="98"/>
      <c r="N25" s="165">
        <f>VLOOKUP(C25,Спецтехника!$B$16:$J$104,4,0)</f>
        <v>48</v>
      </c>
      <c r="O25" s="168">
        <f>VLOOKUP(C25,Спецтехника!$B$16:$J$104,5,0)</f>
        <v>33</v>
      </c>
      <c r="P25" s="168">
        <f>VLOOKUP(C25,Спецтехника!$B$16:$J$104,6,0)</f>
        <v>15</v>
      </c>
      <c r="Q25" s="171">
        <f>VLOOKUP(C25,Спецтехника!$B$16:$J$104,7,0)</f>
        <v>0.3125</v>
      </c>
      <c r="R25" s="242"/>
      <c r="S25" s="122"/>
      <c r="T25" s="94"/>
      <c r="U25" s="94"/>
      <c r="V25" s="98"/>
      <c r="W25" s="164">
        <f>VLOOKUP($C25,МНО!$B$16:$AB$104,16,0)</f>
        <v>1042</v>
      </c>
      <c r="X25" s="167">
        <f>VLOOKUP($C25,МНО!$B$16:$AB$104,8,0)</f>
        <v>742</v>
      </c>
      <c r="Y25" s="167">
        <f>VLOOKUP($C25,МНО!$B$16:$AB$104,11,0)</f>
        <v>300</v>
      </c>
      <c r="Z25" s="172">
        <f>VLOOKUP($C25,МНО!$B$16:$AB$104,17,0)</f>
        <v>0.28790786948176583</v>
      </c>
      <c r="AA25" s="245"/>
      <c r="AB25" s="95">
        <f>VLOOKUP($C25,МНО!$B$16:$AB$104,13,0)</f>
        <v>4.9313452490363643</v>
      </c>
      <c r="AC25" s="154">
        <f>VLOOKUP($C25,МНО!$B$16:$AB$104,18,0)</f>
        <v>0.86682242990654201</v>
      </c>
      <c r="AD25" s="165">
        <f>VLOOKUP($C25,Контейнеры!$B$16:$AB$104,16,0)</f>
        <v>2897</v>
      </c>
      <c r="AE25" s="168">
        <f>VLOOKUP($C25,Контейнеры!$B$16:$AB$104,8,0)</f>
        <v>1997</v>
      </c>
      <c r="AF25" s="168">
        <f>VLOOKUP($C25,Контейнеры!$B$16:$AB$104,11,0)</f>
        <v>900</v>
      </c>
      <c r="AG25" s="174">
        <f>VLOOKUP($C25,Контейнеры!$B$16:$AB$104,17,0)</f>
        <v>0.31066620642043491</v>
      </c>
      <c r="AH25" s="245"/>
      <c r="AI25" s="95">
        <f>VLOOKUP($C25,Контейнеры!$B$16:$AB$104,13,0)</f>
        <v>13.696657110327704</v>
      </c>
      <c r="AJ25" s="154">
        <f>VLOOKUP($C25,Контейнеры!$B$16:$AB$104,18,0)</f>
        <v>1</v>
      </c>
      <c r="AK25" s="135"/>
      <c r="AL25" s="94"/>
      <c r="AM25" s="94"/>
      <c r="AN25" s="116"/>
      <c r="AO25" s="79">
        <f>VLOOKUP($C25,Обработка!$B$16:$L$104,6,0)</f>
        <v>3.7999999999999999E-2</v>
      </c>
      <c r="AP25" s="76">
        <f t="shared" si="7"/>
        <v>-0.505</v>
      </c>
      <c r="AQ25" s="75">
        <f>VLOOKUP($C25,Обработка!$B$16:$L$104,7,0)</f>
        <v>0.83700000000000008</v>
      </c>
      <c r="AR25" s="178">
        <f t="shared" si="8"/>
        <v>3.0000000000000027E-2</v>
      </c>
      <c r="AS25" s="180">
        <f>VLOOKUP($C25,Утилизация!$B$16:$L$104,6,0)</f>
        <v>0</v>
      </c>
      <c r="AT25" s="76">
        <f t="shared" si="9"/>
        <v>-0.13900000000000001</v>
      </c>
      <c r="AU25" s="75">
        <f>VLOOKUP($C25,Утилизация!$B$16:$L$104,7,0)</f>
        <v>0.5</v>
      </c>
      <c r="AV25" s="185">
        <f t="shared" si="10"/>
        <v>0.21400000000000002</v>
      </c>
      <c r="AW25" s="161" t="str">
        <f>VLOOKUP(C25,Захоронение!$B$16:$Q$104,16,0)</f>
        <v/>
      </c>
      <c r="AX25" s="135"/>
      <c r="AY25" s="94"/>
      <c r="AZ25" s="94"/>
      <c r="BA25" s="98"/>
      <c r="BB25" s="127" t="str">
        <f>VLOOKUP(C25,'ДК ИП'!$B$16:$S$104,5,0)</f>
        <v>существенное</v>
      </c>
      <c r="BC25" s="289">
        <f>VLOOKUP(C25,Радар!$B$16:$G$104,6,0)</f>
        <v>2.0575849439651031E-2</v>
      </c>
      <c r="BD25" s="98"/>
      <c r="BF25" s="294">
        <f t="shared" si="11"/>
        <v>0.5</v>
      </c>
      <c r="BI25" s="8">
        <f t="shared" si="12"/>
        <v>1</v>
      </c>
      <c r="BJ25" s="8">
        <f>VLOOKUP(C25,Штаб!$B$16:$C$104,2)</f>
        <v>0</v>
      </c>
      <c r="BK25" s="8">
        <f>VLOOKUP(C25,'РО - регионы'!$B$16:$C$104,2)</f>
        <v>1</v>
      </c>
      <c r="BL25" s="8">
        <f>VLOOKUP(C25,'РО - регионы'!$B$16:$L$104,11)</f>
        <v>2</v>
      </c>
      <c r="BM25" s="8">
        <f>VLOOKUP(C25,Спецтехника!$B$16:$C$104,2)</f>
        <v>2</v>
      </c>
      <c r="BN25" s="8">
        <f>VLOOKUP($C25,МНО!$B$16:$AB$104,6,0)</f>
        <v>1</v>
      </c>
      <c r="BO25" s="8">
        <f>VLOOKUP($C25,МНО!$B$16:$AB$104,4,0)</f>
        <v>1</v>
      </c>
      <c r="BP25" s="8">
        <f>VLOOKUP($C25,МНО!$B$16:$AB$104,5,0)</f>
        <v>0</v>
      </c>
      <c r="BQ25" s="8">
        <f>VLOOKUP($C25,Контейнеры!$B$16:$G$104,6,0)</f>
        <v>2</v>
      </c>
      <c r="BR25" s="8">
        <f>VLOOKUP($C25,Контейнеры!$B$16:$G$104,4,0)</f>
        <v>2</v>
      </c>
      <c r="BS25" s="8">
        <f>VLOOKUP($C25,Контейнеры!$B$16:$G$104,5,0)</f>
        <v>0</v>
      </c>
      <c r="BT25" s="8">
        <f>VLOOKUP($C25,'ДК МНО'!$B$16:$C$104,2,0)</f>
        <v>2</v>
      </c>
      <c r="BU25" s="8">
        <f>VLOOKUP($C25,Обработка!$B$16:$F$104,5,0)</f>
        <v>0</v>
      </c>
      <c r="BV25" s="8">
        <f>VLOOKUP($C25,Обработка!$B$16:$F$104,4,0)</f>
        <v>2</v>
      </c>
      <c r="BW25" s="8">
        <f>VLOOKUP($C25,Утилизация!$B$16:$F$104,5,0)</f>
        <v>0</v>
      </c>
      <c r="BX25" s="8">
        <f>VLOOKUP($C25,Утилизация!$B$16:$F$104,4,0)</f>
        <v>2</v>
      </c>
      <c r="BY25" s="8">
        <f>VLOOKUP($C25,Захоронение!$B$16:$C$104,2,0)</f>
        <v>0</v>
      </c>
      <c r="BZ25" s="8">
        <f>VLOOKUP($C25,'ДК ИП'!$B$16:$C$104,2,0)</f>
        <v>2</v>
      </c>
      <c r="CA25" s="8">
        <f>VLOOKUP(C25,Радар!$B$16:$G$104,2,0)</f>
        <v>0</v>
      </c>
      <c r="CB25" s="8">
        <f t="shared" si="13"/>
        <v>1</v>
      </c>
    </row>
    <row r="26" spans="1:80" ht="15.6" thickBot="1">
      <c r="A26" s="9" t="s">
        <v>654</v>
      </c>
      <c r="B26" s="122">
        <f t="shared" si="6"/>
        <v>16</v>
      </c>
      <c r="C26" s="202" t="s">
        <v>21</v>
      </c>
      <c r="D26" s="277" t="str">
        <f>VLOOKUP($C26,Штаб!$B$16:$J$104,6,0)</f>
        <v>✔️</v>
      </c>
      <c r="E26" s="285" t="str">
        <f>VLOOKUP($C26,Штаб!$B$16:$J$104,7,0)</f>
        <v/>
      </c>
      <c r="F26" s="285" t="str">
        <f>VLOOKUP($C26,Штаб!$B$16:$J$104,8,0)</f>
        <v/>
      </c>
      <c r="G26" s="286" t="str">
        <f>VLOOKUP($C26,Штаб!$B$16:$J$104,9,0)</f>
        <v/>
      </c>
      <c r="H26" s="278" t="str">
        <f>VLOOKUP(C26,'РО - регионы'!$B$16:$I$104,8,0)</f>
        <v>0 / 1 / 0 из 1</v>
      </c>
      <c r="I26" s="237"/>
      <c r="J26" s="122"/>
      <c r="K26" s="94"/>
      <c r="L26" s="94"/>
      <c r="M26" s="98"/>
      <c r="N26" s="163">
        <f>VLOOKUP(C26,Спецтехника!$B$16:$J$104,4,0)</f>
        <v>115</v>
      </c>
      <c r="O26" s="166">
        <f>VLOOKUP(C26,Спецтехника!$B$16:$J$104,5,0)</f>
        <v>105</v>
      </c>
      <c r="P26" s="166">
        <f>VLOOKUP(C26,Спецтехника!$B$16:$J$104,6,0)</f>
        <v>10</v>
      </c>
      <c r="Q26" s="169">
        <f>VLOOKUP(C26,Спецтехника!$B$16:$J$104,7,0)</f>
        <v>8.6956521739130432E-2</v>
      </c>
      <c r="R26" s="242"/>
      <c r="S26" s="122"/>
      <c r="T26" s="94"/>
      <c r="U26" s="94"/>
      <c r="V26" s="98"/>
      <c r="W26" s="165">
        <f>VLOOKUP($C26,МНО!$B$16:$AB$104,16,0)</f>
        <v>10090</v>
      </c>
      <c r="X26" s="168">
        <f>VLOOKUP($C26,МНО!$B$16:$AB$104,8,0)</f>
        <v>5551</v>
      </c>
      <c r="Y26" s="168">
        <f>VLOOKUP($C26,МНО!$B$16:$AB$104,11,0)</f>
        <v>4539</v>
      </c>
      <c r="Z26" s="174">
        <f>VLOOKUP($C26,МНО!$B$16:$AB$104,17,0)</f>
        <v>0.44985133795837462</v>
      </c>
      <c r="AA26" s="245"/>
      <c r="AB26" s="95">
        <f>VLOOKUP($C26,МНО!$B$16:$AB$104,13,0)</f>
        <v>4.0664570624596834</v>
      </c>
      <c r="AC26" s="154">
        <f>VLOOKUP($C26,МНО!$B$16:$AB$104,18,0)</f>
        <v>0.62511261261261264</v>
      </c>
      <c r="AD26" s="165">
        <f>VLOOKUP($C26,Контейнеры!$B$16:$AB$104,16,0)</f>
        <v>20711</v>
      </c>
      <c r="AE26" s="168">
        <f>VLOOKUP($C26,Контейнеры!$B$16:$AB$104,8,0)</f>
        <v>10664</v>
      </c>
      <c r="AF26" s="168">
        <f>VLOOKUP($C26,Контейнеры!$B$16:$AB$104,11,0)</f>
        <v>10047</v>
      </c>
      <c r="AG26" s="174">
        <f>VLOOKUP($C26,Контейнеры!$B$16:$AB$104,17,0)</f>
        <v>0.48510453382260632</v>
      </c>
      <c r="AH26" s="245"/>
      <c r="AI26" s="95">
        <f>VLOOKUP($C26,Контейнеры!$B$16:$AB$104,13,0)</f>
        <v>10.833049741211607</v>
      </c>
      <c r="AJ26" s="154">
        <f>VLOOKUP($C26,Контейнеры!$B$16:$AB$104,18,0)</f>
        <v>1</v>
      </c>
      <c r="AK26" s="135"/>
      <c r="AL26" s="94"/>
      <c r="AM26" s="94"/>
      <c r="AN26" s="116"/>
      <c r="AO26" s="79">
        <f>VLOOKUP($C26,Обработка!$B$16:$L$104,6,0)</f>
        <v>0.04</v>
      </c>
      <c r="AP26" s="75">
        <f t="shared" si="7"/>
        <v>-0.503</v>
      </c>
      <c r="AQ26" s="74">
        <f>VLOOKUP($C26,Обработка!$B$16:$L$104,7,0)</f>
        <v>0.59</v>
      </c>
      <c r="AR26" s="179">
        <f t="shared" si="8"/>
        <v>-0.21700000000000008</v>
      </c>
      <c r="AS26" s="180">
        <f>VLOOKUP($C26,Утилизация!$B$16:$L$104,6,0)</f>
        <v>3.0000000000000001E-3</v>
      </c>
      <c r="AT26" s="76">
        <f t="shared" si="9"/>
        <v>-0.13600000000000001</v>
      </c>
      <c r="AU26" s="74">
        <f>VLOOKUP($C26,Утилизация!$B$16:$L$104,7,0)</f>
        <v>0.15</v>
      </c>
      <c r="AV26" s="186">
        <f t="shared" si="10"/>
        <v>-0.13599999999999998</v>
      </c>
      <c r="AW26" s="162" t="str">
        <f>VLOOKUP(C26,Захоронение!$B$16:$Q$104,16,0)</f>
        <v>свалки</v>
      </c>
      <c r="AX26" s="135"/>
      <c r="AY26" s="94"/>
      <c r="AZ26" s="94"/>
      <c r="BA26" s="98"/>
      <c r="BB26" s="127" t="str">
        <f>VLOOKUP(C26,'ДК ИП'!$B$16:$S$104,5,0)</f>
        <v>существенное</v>
      </c>
      <c r="BC26" s="289">
        <f>VLOOKUP(C26,Радар!$B$16:$G$104,6,0)</f>
        <v>1.9301195150320756E-2</v>
      </c>
      <c r="BD26" s="98"/>
      <c r="BF26" s="293">
        <f t="shared" si="11"/>
        <v>1.3333333333333333</v>
      </c>
      <c r="BI26" s="8">
        <f t="shared" si="12"/>
        <v>2</v>
      </c>
      <c r="BJ26" s="8">
        <f>VLOOKUP(C26,Штаб!$B$16:$C$104,2)</f>
        <v>0</v>
      </c>
      <c r="BK26" s="8">
        <f>VLOOKUP(C26,'РО - регионы'!$B$16:$C$104,2)</f>
        <v>1</v>
      </c>
      <c r="BL26" s="8">
        <f>VLOOKUP(C26,'РО - регионы'!$B$16:$L$104,11)</f>
        <v>2</v>
      </c>
      <c r="BM26" s="8">
        <f>VLOOKUP(C26,Спецтехника!$B$16:$C$104,2)</f>
        <v>0</v>
      </c>
      <c r="BN26" s="8">
        <f>VLOOKUP($C26,МНО!$B$16:$AB$104,6,0)</f>
        <v>2</v>
      </c>
      <c r="BO26" s="8">
        <f>VLOOKUP($C26,МНО!$B$16:$AB$104,4,0)</f>
        <v>1</v>
      </c>
      <c r="BP26" s="8">
        <f>VLOOKUP($C26,МНО!$B$16:$AB$104,5,0)</f>
        <v>2</v>
      </c>
      <c r="BQ26" s="8">
        <f>VLOOKUP($C26,Контейнеры!$B$16:$G$104,6,0)</f>
        <v>2</v>
      </c>
      <c r="BR26" s="8">
        <f>VLOOKUP($C26,Контейнеры!$B$16:$G$104,4,0)</f>
        <v>0</v>
      </c>
      <c r="BS26" s="8">
        <f>VLOOKUP($C26,Контейнеры!$B$16:$G$104,5,0)</f>
        <v>0</v>
      </c>
      <c r="BT26" s="8">
        <f>VLOOKUP($C26,'ДК МНО'!$B$16:$C$104,2,0)</f>
        <v>2</v>
      </c>
      <c r="BU26" s="8">
        <f>VLOOKUP($C26,Обработка!$B$16:$F$104,5,0)</f>
        <v>1</v>
      </c>
      <c r="BV26" s="8">
        <f>VLOOKUP($C26,Обработка!$B$16:$F$104,4,0)</f>
        <v>2</v>
      </c>
      <c r="BW26" s="8">
        <f>VLOOKUP($C26,Утилизация!$B$16:$F$104,5,0)</f>
        <v>1</v>
      </c>
      <c r="BX26" s="8">
        <f>VLOOKUP($C26,Утилизация!$B$16:$F$104,4,0)</f>
        <v>2</v>
      </c>
      <c r="BY26" s="8">
        <f>VLOOKUP($C26,Захоронение!$B$16:$C$104,2,0)</f>
        <v>2</v>
      </c>
      <c r="BZ26" s="8">
        <f>VLOOKUP($C26,'ДК ИП'!$B$16:$C$104,2,0)</f>
        <v>2</v>
      </c>
      <c r="CA26" s="8">
        <f>VLOOKUP(C26,Радар!$B$16:$G$104,2,0)</f>
        <v>0</v>
      </c>
      <c r="CB26" s="8">
        <f t="shared" si="13"/>
        <v>1.45</v>
      </c>
    </row>
    <row r="27" spans="1:80" ht="15.6" thickBot="1">
      <c r="B27" s="121">
        <f t="shared" si="6"/>
        <v>17</v>
      </c>
      <c r="C27" s="202" t="s">
        <v>163</v>
      </c>
      <c r="D27" s="277" t="str">
        <f>VLOOKUP($C27,Штаб!$B$16:$J$104,6,0)</f>
        <v/>
      </c>
      <c r="E27" s="285" t="str">
        <f>VLOOKUP($C27,Штаб!$B$16:$J$104,7,0)</f>
        <v/>
      </c>
      <c r="F27" s="285" t="str">
        <f>VLOOKUP($C27,Штаб!$B$16:$J$104,8,0)</f>
        <v/>
      </c>
      <c r="G27" s="286" t="str">
        <f>VLOOKUP($C27,Штаб!$B$16:$J$104,9,0)</f>
        <v>✔️</v>
      </c>
      <c r="H27" s="278" t="str">
        <f>VLOOKUP(C27,'РО - регионы'!$B$16:$I$104,8,0)</f>
        <v>0 / 1 / 0 из 1</v>
      </c>
      <c r="I27" s="237"/>
      <c r="J27" s="122"/>
      <c r="K27" s="94"/>
      <c r="L27" s="94"/>
      <c r="M27" s="98"/>
      <c r="N27" s="164">
        <f>VLOOKUP(C27,Спецтехника!$B$16:$J$104,4,0)</f>
        <v>71</v>
      </c>
      <c r="O27" s="167">
        <f>VLOOKUP(C27,Спецтехника!$B$16:$J$104,5,0)</f>
        <v>59</v>
      </c>
      <c r="P27" s="167">
        <f>VLOOKUP(C27,Спецтехника!$B$16:$J$104,6,0)</f>
        <v>12</v>
      </c>
      <c r="Q27" s="170">
        <f>VLOOKUP(C27,Спецтехника!$B$16:$J$104,7,0)</f>
        <v>0.16901408450704225</v>
      </c>
      <c r="R27" s="242"/>
      <c r="S27" s="122"/>
      <c r="T27" s="94"/>
      <c r="U27" s="94"/>
      <c r="V27" s="98"/>
      <c r="W27" s="163">
        <f>VLOOKUP($C27,МНО!$B$16:$AB$104,16,0)</f>
        <v>0</v>
      </c>
      <c r="X27" s="166">
        <f>VLOOKUP($C27,МНО!$B$16:$AB$104,8,0)</f>
        <v>0</v>
      </c>
      <c r="Y27" s="166">
        <f>VLOOKUP($C27,МНО!$B$16:$AB$104,11,0)</f>
        <v>0</v>
      </c>
      <c r="Z27" s="173">
        <f>VLOOKUP($C27,МНО!$B$16:$AB$104,17,0)</f>
        <v>0</v>
      </c>
      <c r="AA27" s="245"/>
      <c r="AB27" s="95"/>
      <c r="AC27" s="154"/>
      <c r="AD27" s="163">
        <f>VLOOKUP($C27,Контейнеры!$B$16:$AB$104,16,0)</f>
        <v>0</v>
      </c>
      <c r="AE27" s="166">
        <f>VLOOKUP($C27,Контейнеры!$B$16:$AB$104,8,0)</f>
        <v>0</v>
      </c>
      <c r="AF27" s="166">
        <f>VLOOKUP($C27,Контейнеры!$B$16:$AB$104,11,0)</f>
        <v>0</v>
      </c>
      <c r="AG27" s="173">
        <f>VLOOKUP($C27,Контейнеры!$B$16:$AB$104,17,0)</f>
        <v>0</v>
      </c>
      <c r="AH27" s="245"/>
      <c r="AI27" s="95"/>
      <c r="AJ27" s="154"/>
      <c r="AK27" s="135"/>
      <c r="AL27" s="94"/>
      <c r="AM27" s="94"/>
      <c r="AN27" s="116"/>
      <c r="AO27" s="78">
        <f>VLOOKUP($C27,Обработка!$B$16:$L$104,6,0)</f>
        <v>0</v>
      </c>
      <c r="AP27" s="75">
        <f t="shared" si="7"/>
        <v>-0.54300000000000004</v>
      </c>
      <c r="AQ27" s="75">
        <f>VLOOKUP($C27,Обработка!$B$16:$L$104,7,0)</f>
        <v>0</v>
      </c>
      <c r="AR27" s="178">
        <f t="shared" si="8"/>
        <v>-0.80700000000000005</v>
      </c>
      <c r="AS27" s="182">
        <f>VLOOKUP($C27,Утилизация!$B$16:$L$104,6,0)</f>
        <v>0</v>
      </c>
      <c r="AT27" s="75">
        <f t="shared" si="9"/>
        <v>-0.13900000000000001</v>
      </c>
      <c r="AU27" s="75">
        <f>VLOOKUP($C27,Утилизация!$B$16:$L$104,7,0)</f>
        <v>0</v>
      </c>
      <c r="AV27" s="185">
        <f t="shared" si="10"/>
        <v>-0.28599999999999998</v>
      </c>
      <c r="AW27" s="161"/>
      <c r="AX27" s="135"/>
      <c r="AY27" s="94"/>
      <c r="AZ27" s="94"/>
      <c r="BA27" s="98"/>
      <c r="BB27" s="127" t="str">
        <f>VLOOKUP(C27,'ДК ИП'!$B$16:$S$104,5,0)</f>
        <v>не подписана</v>
      </c>
      <c r="BC27" s="288" t="str">
        <f>VLOOKUP(C27,Радар!$B$16:$G$104,6,0)</f>
        <v/>
      </c>
      <c r="BD27" s="98"/>
      <c r="BF27" s="296">
        <f t="shared" si="11"/>
        <v>0</v>
      </c>
      <c r="BI27" s="8">
        <f t="shared" si="12"/>
        <v>0</v>
      </c>
      <c r="BJ27" s="8">
        <f>VLOOKUP(C27,Штаб!$B$16:$C$104,2)</f>
        <v>2</v>
      </c>
      <c r="BK27" s="8">
        <f>VLOOKUP(C27,'РО - регионы'!$B$16:$C$104,2)</f>
        <v>1</v>
      </c>
      <c r="BL27" s="8">
        <f>VLOOKUP(C27,'РО - регионы'!$B$16:$L$104,11)</f>
        <v>2</v>
      </c>
      <c r="BM27" s="8">
        <f>VLOOKUP(C27,Спецтехника!$B$16:$C$104,2)</f>
        <v>1</v>
      </c>
      <c r="BN27" s="8">
        <f>VLOOKUP($C27,МНО!$B$16:$AB$104,6,0)</f>
        <v>0</v>
      </c>
      <c r="BO27" s="8">
        <f>VLOOKUP($C27,МНО!$B$16:$AB$104,4,0)</f>
        <v>0</v>
      </c>
      <c r="BP27" s="8">
        <f>VLOOKUP($C27,МНО!$B$16:$AB$104,5,0)</f>
        <v>0</v>
      </c>
      <c r="BQ27" s="8">
        <f>VLOOKUP($C27,Контейнеры!$B$16:$G$104,6,0)</f>
        <v>0</v>
      </c>
      <c r="BR27" s="8">
        <f>VLOOKUP($C27,Контейнеры!$B$16:$G$104,4,0)</f>
        <v>0</v>
      </c>
      <c r="BS27" s="8">
        <f>VLOOKUP($C27,Контейнеры!$B$16:$G$104,5,0)</f>
        <v>0</v>
      </c>
      <c r="BT27" s="8">
        <f>VLOOKUP($C27,'ДК МНО'!$B$16:$C$104,2,0)</f>
        <v>2</v>
      </c>
      <c r="BU27" s="8">
        <f>VLOOKUP($C27,Обработка!$B$16:$F$104,5,0)</f>
        <v>0</v>
      </c>
      <c r="BV27" s="8">
        <f>VLOOKUP($C27,Обработка!$B$16:$F$104,4,0)</f>
        <v>0</v>
      </c>
      <c r="BW27" s="8">
        <f>VLOOKUP($C27,Утилизация!$B$16:$F$104,5,0)</f>
        <v>0</v>
      </c>
      <c r="BX27" s="8">
        <f>VLOOKUP($C27,Утилизация!$B$16:$F$104,4,0)</f>
        <v>0</v>
      </c>
      <c r="BY27" s="8">
        <f>VLOOKUP($C27,Захоронение!$B$16:$C$104,2,0)</f>
        <v>0</v>
      </c>
      <c r="BZ27" s="8">
        <f>VLOOKUP($C27,'ДК ИП'!$B$16:$C$104,2,0)</f>
        <v>0</v>
      </c>
      <c r="CA27" s="8">
        <f>VLOOKUP(C27,Радар!$B$16:$G$104,2,0)</f>
        <v>2</v>
      </c>
      <c r="CB27" s="8">
        <f t="shared" si="13"/>
        <v>0.25</v>
      </c>
    </row>
    <row r="28" spans="1:80" ht="15.6" thickBot="1">
      <c r="A28" s="9" t="s">
        <v>657</v>
      </c>
      <c r="B28" s="122">
        <f t="shared" si="6"/>
        <v>18</v>
      </c>
      <c r="C28" s="202" t="s">
        <v>22</v>
      </c>
      <c r="D28" s="277" t="str">
        <f>VLOOKUP($C28,Штаб!$B$16:$J$104,6,0)</f>
        <v>✔️</v>
      </c>
      <c r="E28" s="285" t="str">
        <f>VLOOKUP($C28,Штаб!$B$16:$J$104,7,0)</f>
        <v/>
      </c>
      <c r="F28" s="285" t="str">
        <f>VLOOKUP($C28,Штаб!$B$16:$J$104,8,0)</f>
        <v/>
      </c>
      <c r="G28" s="286" t="str">
        <f>VLOOKUP($C28,Штаб!$B$16:$J$104,9,0)</f>
        <v/>
      </c>
      <c r="H28" s="279" t="str">
        <f>VLOOKUP(C28,'РО - регионы'!$B$16:$I$104,8,0)</f>
        <v>0 / 0 / 1 из 1</v>
      </c>
      <c r="I28" s="237"/>
      <c r="J28" s="122"/>
      <c r="K28" s="94"/>
      <c r="L28" s="94"/>
      <c r="M28" s="98"/>
      <c r="N28" s="163">
        <f>VLOOKUP(C28,Спецтехника!$B$16:$J$104,4,0)</f>
        <v>221</v>
      </c>
      <c r="O28" s="166">
        <f>VLOOKUP(C28,Спецтехника!$B$16:$J$104,5,0)</f>
        <v>221</v>
      </c>
      <c r="P28" s="166">
        <f>VLOOKUP(C28,Спецтехника!$B$16:$J$104,6,0)</f>
        <v>0</v>
      </c>
      <c r="Q28" s="169">
        <f>VLOOKUP(C28,Спецтехника!$B$16:$J$104,7,0)</f>
        <v>0</v>
      </c>
      <c r="R28" s="242"/>
      <c r="S28" s="122"/>
      <c r="T28" s="94"/>
      <c r="U28" s="94"/>
      <c r="V28" s="98"/>
      <c r="W28" s="165">
        <f>VLOOKUP($C28,МНО!$B$16:$AB$104,16,0)</f>
        <v>5441</v>
      </c>
      <c r="X28" s="168">
        <f>VLOOKUP($C28,МНО!$B$16:$AB$104,8,0)</f>
        <v>5441</v>
      </c>
      <c r="Y28" s="168">
        <f>VLOOKUP($C28,МНО!$B$16:$AB$104,11,0)</f>
        <v>0</v>
      </c>
      <c r="Z28" s="174">
        <f>VLOOKUP($C28,МНО!$B$16:$AB$104,17,0)</f>
        <v>0</v>
      </c>
      <c r="AA28" s="245"/>
      <c r="AB28" s="95">
        <f>VLOOKUP($C28,МНО!$B$16:$AB$104,13,0)</f>
        <v>5.9377414725687157</v>
      </c>
      <c r="AC28" s="154">
        <f>VLOOKUP($C28,МНО!$B$16:$AB$104,18,0)</f>
        <v>0.60949927187184949</v>
      </c>
      <c r="AD28" s="165">
        <f>VLOOKUP($C28,Контейнеры!$B$16:$AB$104,16,0)</f>
        <v>11785</v>
      </c>
      <c r="AE28" s="168">
        <f>VLOOKUP($C28,Контейнеры!$B$16:$AB$104,8,0)</f>
        <v>11785</v>
      </c>
      <c r="AF28" s="168">
        <f>VLOOKUP($C28,Контейнеры!$B$16:$AB$104,11,0)</f>
        <v>0</v>
      </c>
      <c r="AG28" s="174">
        <f>VLOOKUP($C28,Контейнеры!$B$16:$AB$104,17,0)</f>
        <v>0</v>
      </c>
      <c r="AH28" s="245"/>
      <c r="AI28" s="95">
        <f>VLOOKUP($C28,Контейнеры!$B$16:$AB$104,13,0)</f>
        <v>13.009162159178716</v>
      </c>
      <c r="AJ28" s="154">
        <f>VLOOKUP($C28,Контейнеры!$B$16:$AB$104,18,0)</f>
        <v>1</v>
      </c>
      <c r="AK28" s="135"/>
      <c r="AL28" s="94"/>
      <c r="AM28" s="94"/>
      <c r="AN28" s="116"/>
      <c r="AO28" s="78">
        <f>VLOOKUP($C28,Обработка!$B$16:$L$104,6,0)</f>
        <v>0.79799999999999993</v>
      </c>
      <c r="AP28" s="76">
        <f t="shared" si="7"/>
        <v>0.25499999999999989</v>
      </c>
      <c r="AQ28" s="74">
        <f>VLOOKUP($C28,Обработка!$B$16:$L$104,7,0)</f>
        <v>0.75</v>
      </c>
      <c r="AR28" s="179">
        <f t="shared" si="8"/>
        <v>-5.7000000000000051E-2</v>
      </c>
      <c r="AS28" s="181">
        <f>VLOOKUP($C28,Утилизация!$B$16:$L$104,6,0)</f>
        <v>7.5999999999999998E-2</v>
      </c>
      <c r="AT28" s="74">
        <f t="shared" si="9"/>
        <v>-6.3000000000000014E-2</v>
      </c>
      <c r="AU28" s="76">
        <f>VLOOKUP($C28,Утилизация!$B$16:$L$104,7,0)</f>
        <v>7.5999999999999998E-2</v>
      </c>
      <c r="AV28" s="184">
        <f t="shared" si="10"/>
        <v>-0.20999999999999996</v>
      </c>
      <c r="AW28" s="161" t="str">
        <f>VLOOKUP(C28,Захоронение!$B$16:$Q$104,16,0)</f>
        <v/>
      </c>
      <c r="AX28" s="135"/>
      <c r="AY28" s="94"/>
      <c r="AZ28" s="94"/>
      <c r="BA28" s="98"/>
      <c r="BB28" s="127" t="str">
        <f>VLOOKUP(C28,'ДК ИП'!$B$16:$S$104,5,0)</f>
        <v>небольшое</v>
      </c>
      <c r="BC28" s="288">
        <f>VLOOKUP(C28,Радар!$B$16:$G$104,6,0)</f>
        <v>0.14019207418037311</v>
      </c>
      <c r="BD28" s="98"/>
      <c r="BF28" s="296">
        <f t="shared" si="11"/>
        <v>0.33333333333333331</v>
      </c>
      <c r="BI28" s="8">
        <f t="shared" si="12"/>
        <v>0</v>
      </c>
      <c r="BJ28" s="8">
        <f>VLOOKUP(C28,Штаб!$B$16:$C$104,2)</f>
        <v>0</v>
      </c>
      <c r="BK28" s="8">
        <f>VLOOKUP(C28,'РО - регионы'!$B$16:$C$104,2)</f>
        <v>0</v>
      </c>
      <c r="BL28" s="8">
        <f>VLOOKUP(C28,'РО - регионы'!$B$16:$L$104,11)</f>
        <v>0</v>
      </c>
      <c r="BM28" s="8">
        <f>VLOOKUP(C28,Спецтехника!$B$16:$C$104,2)</f>
        <v>0</v>
      </c>
      <c r="BN28" s="8">
        <f>VLOOKUP($C28,МНО!$B$16:$AB$104,6,0)</f>
        <v>2</v>
      </c>
      <c r="BO28" s="8">
        <f>VLOOKUP($C28,МНО!$B$16:$AB$104,4,0)</f>
        <v>1</v>
      </c>
      <c r="BP28" s="8">
        <f>VLOOKUP($C28,МНО!$B$16:$AB$104,5,0)</f>
        <v>2</v>
      </c>
      <c r="BQ28" s="8">
        <f>VLOOKUP($C28,Контейнеры!$B$16:$G$104,6,0)</f>
        <v>2</v>
      </c>
      <c r="BR28" s="8">
        <f>VLOOKUP($C28,Контейнеры!$B$16:$G$104,4,0)</f>
        <v>2</v>
      </c>
      <c r="BS28" s="8">
        <f>VLOOKUP($C28,Контейнеры!$B$16:$G$104,5,0)</f>
        <v>0</v>
      </c>
      <c r="BT28" s="8">
        <f>VLOOKUP($C28,'ДК МНО'!$B$16:$C$104,2,0)</f>
        <v>2</v>
      </c>
      <c r="BU28" s="8">
        <f>VLOOKUP($C28,Обработка!$B$16:$F$104,5,0)</f>
        <v>1</v>
      </c>
      <c r="BV28" s="8">
        <f>VLOOKUP($C28,Обработка!$B$16:$F$104,4,0)</f>
        <v>0</v>
      </c>
      <c r="BW28" s="8">
        <f>VLOOKUP($C28,Утилизация!$B$16:$F$104,5,0)</f>
        <v>2</v>
      </c>
      <c r="BX28" s="8">
        <f>VLOOKUP($C28,Утилизация!$B$16:$F$104,4,0)</f>
        <v>1</v>
      </c>
      <c r="BY28" s="8">
        <f>VLOOKUP($C28,Захоронение!$B$16:$C$104,2,0)</f>
        <v>0</v>
      </c>
      <c r="BZ28" s="8">
        <f>VLOOKUP($C28,'ДК ИП'!$B$16:$C$104,2,0)</f>
        <v>0</v>
      </c>
      <c r="CA28" s="8">
        <f>VLOOKUP(C28,Радар!$B$16:$G$104,2,0)</f>
        <v>2</v>
      </c>
      <c r="CB28" s="8">
        <f t="shared" si="13"/>
        <v>0.55000000000000004</v>
      </c>
    </row>
    <row r="29" spans="1:80" ht="15.6" thickBot="1">
      <c r="A29" s="9" t="s">
        <v>653</v>
      </c>
      <c r="B29" s="121">
        <f t="shared" si="6"/>
        <v>19</v>
      </c>
      <c r="C29" s="202" t="s">
        <v>23</v>
      </c>
      <c r="D29" s="277" t="str">
        <f>VLOOKUP($C29,Штаб!$B$16:$J$104,6,0)</f>
        <v>✔️</v>
      </c>
      <c r="E29" s="285" t="str">
        <f>VLOOKUP($C29,Штаб!$B$16:$J$104,7,0)</f>
        <v/>
      </c>
      <c r="F29" s="285" t="str">
        <f>VLOOKUP($C29,Штаб!$B$16:$J$104,8,0)</f>
        <v/>
      </c>
      <c r="G29" s="286" t="str">
        <f>VLOOKUP($C29,Штаб!$B$16:$J$104,9,0)</f>
        <v/>
      </c>
      <c r="H29" s="278" t="str">
        <f>VLOOKUP(C29,'РО - регионы'!$B$16:$I$104,8,0)</f>
        <v>0 / 1 / 1 из 2</v>
      </c>
      <c r="I29" s="237"/>
      <c r="J29" s="122"/>
      <c r="K29" s="94"/>
      <c r="L29" s="94"/>
      <c r="M29" s="98"/>
      <c r="N29" s="165">
        <f>VLOOKUP(C29,Спецтехника!$B$16:$J$104,4,0)</f>
        <v>445</v>
      </c>
      <c r="O29" s="168">
        <f>VLOOKUP(C29,Спецтехника!$B$16:$J$104,5,0)</f>
        <v>355</v>
      </c>
      <c r="P29" s="168">
        <f>VLOOKUP(C29,Спецтехника!$B$16:$J$104,6,0)</f>
        <v>90</v>
      </c>
      <c r="Q29" s="171">
        <f>VLOOKUP(C29,Спецтехника!$B$16:$J$104,7,0)</f>
        <v>0.20224719101123595</v>
      </c>
      <c r="R29" s="242"/>
      <c r="S29" s="122"/>
      <c r="T29" s="94"/>
      <c r="U29" s="94"/>
      <c r="V29" s="98"/>
      <c r="W29" s="163">
        <f>VLOOKUP($C29,МНО!$B$16:$AB$104,16,0)</f>
        <v>21541</v>
      </c>
      <c r="X29" s="166">
        <f>VLOOKUP($C29,МНО!$B$16:$AB$104,8,0)</f>
        <v>17919</v>
      </c>
      <c r="Y29" s="166">
        <f>VLOOKUP($C29,МНО!$B$16:$AB$104,11,0)</f>
        <v>3622</v>
      </c>
      <c r="Z29" s="173">
        <f>VLOOKUP($C29,МНО!$B$16:$AB$104,17,0)</f>
        <v>0.16814446868761895</v>
      </c>
      <c r="AA29" s="245"/>
      <c r="AB29" s="95">
        <f>VLOOKUP($C29,МНО!$B$16:$AB$104,13,0)</f>
        <v>7.4133128974137721</v>
      </c>
      <c r="AC29" s="154">
        <f>VLOOKUP($C29,МНО!$B$16:$AB$104,18,0)</f>
        <v>0.67669939577039273</v>
      </c>
      <c r="AD29" s="163">
        <f>VLOOKUP($C29,Контейнеры!$B$16:$AB$104,16,0)</f>
        <v>60489</v>
      </c>
      <c r="AE29" s="166">
        <f>VLOOKUP($C29,Контейнеры!$B$16:$AB$104,8,0)</f>
        <v>51790</v>
      </c>
      <c r="AF29" s="166">
        <f>VLOOKUP($C29,Контейнеры!$B$16:$AB$104,11,0)</f>
        <v>8699</v>
      </c>
      <c r="AG29" s="173">
        <f>VLOOKUP($C29,Контейнеры!$B$16:$AB$104,17,0)</f>
        <v>0.14381127147084594</v>
      </c>
      <c r="AH29" s="245"/>
      <c r="AI29" s="95">
        <f>VLOOKUP($C29,Контейнеры!$B$16:$AB$104,13,0)</f>
        <v>22.222346180300935</v>
      </c>
      <c r="AJ29" s="154">
        <f>VLOOKUP($C29,Контейнеры!$B$16:$AB$104,18,0)</f>
        <v>0.74391680312562847</v>
      </c>
      <c r="AK29" s="135"/>
      <c r="AL29" s="94"/>
      <c r="AM29" s="94"/>
      <c r="AN29" s="116"/>
      <c r="AO29" s="79">
        <f>VLOOKUP($C29,Обработка!$B$16:$L$104,6,0)</f>
        <v>2.8999999999999998E-2</v>
      </c>
      <c r="AP29" s="75">
        <f t="shared" si="7"/>
        <v>-0.51400000000000001</v>
      </c>
      <c r="AQ29" s="74">
        <f>VLOOKUP($C29,Обработка!$B$16:$L$104,7,0)</f>
        <v>0.55700000000000005</v>
      </c>
      <c r="AR29" s="179">
        <f t="shared" si="8"/>
        <v>-0.25</v>
      </c>
      <c r="AS29" s="180">
        <f>VLOOKUP($C29,Утилизация!$B$16:$L$104,6,0)</f>
        <v>4.0000000000000001E-3</v>
      </c>
      <c r="AT29" s="76">
        <f t="shared" si="9"/>
        <v>-0.13500000000000001</v>
      </c>
      <c r="AU29" s="74">
        <f>VLOOKUP($C29,Утилизация!$B$16:$L$104,7,0)</f>
        <v>0.24199999999999999</v>
      </c>
      <c r="AV29" s="186">
        <f t="shared" si="10"/>
        <v>-4.3999999999999984E-2</v>
      </c>
      <c r="AW29" s="162" t="str">
        <f>VLOOKUP(C29,Захоронение!$B$16:$Q$104,16,0)</f>
        <v>белые пятна</v>
      </c>
      <c r="AX29" s="135"/>
      <c r="AY29" s="94"/>
      <c r="AZ29" s="94"/>
      <c r="BA29" s="98"/>
      <c r="BB29" s="127" t="str">
        <f>VLOOKUP(C29,'ДК ИП'!$B$16:$S$104,5,0)</f>
        <v>нет</v>
      </c>
      <c r="BC29" s="289">
        <f>VLOOKUP(C29,Радар!$B$16:$G$104,6,0)</f>
        <v>2.1025197197040855E-2</v>
      </c>
      <c r="BD29" s="98"/>
      <c r="BF29" s="293">
        <f t="shared" si="11"/>
        <v>1.1666666666666667</v>
      </c>
      <c r="BI29" s="8">
        <f t="shared" si="12"/>
        <v>1</v>
      </c>
      <c r="BJ29" s="8">
        <f>VLOOKUP(C29,Штаб!$B$16:$C$104,2)</f>
        <v>0</v>
      </c>
      <c r="BK29" s="8">
        <f>VLOOKUP(C29,'РО - регионы'!$B$16:$C$104,2)</f>
        <v>1</v>
      </c>
      <c r="BL29" s="8">
        <f>VLOOKUP(C29,'РО - регионы'!$B$16:$L$104,11)</f>
        <v>2</v>
      </c>
      <c r="BM29" s="8">
        <f>VLOOKUP(C29,Спецтехника!$B$16:$C$104,2)</f>
        <v>2</v>
      </c>
      <c r="BN29" s="8">
        <f>VLOOKUP($C29,МНО!$B$16:$AB$104,6,0)</f>
        <v>0</v>
      </c>
      <c r="BO29" s="8">
        <f>VLOOKUP($C29,МНО!$B$16:$AB$104,4,0)</f>
        <v>0</v>
      </c>
      <c r="BP29" s="8">
        <f>VLOOKUP($C29,МНО!$B$16:$AB$104,5,0)</f>
        <v>1</v>
      </c>
      <c r="BQ29" s="8">
        <f>VLOOKUP($C29,Контейнеры!$B$16:$G$104,6,0)</f>
        <v>0</v>
      </c>
      <c r="BR29" s="8">
        <f>VLOOKUP($C29,Контейнеры!$B$16:$G$104,4,0)</f>
        <v>0</v>
      </c>
      <c r="BS29" s="8">
        <f>VLOOKUP($C29,Контейнеры!$B$16:$G$104,5,0)</f>
        <v>2</v>
      </c>
      <c r="BT29" s="8">
        <f>VLOOKUP($C29,'ДК МНО'!$B$16:$C$104,2,0)</f>
        <v>2</v>
      </c>
      <c r="BU29" s="8">
        <f>VLOOKUP($C29,Обработка!$B$16:$F$104,5,0)</f>
        <v>1</v>
      </c>
      <c r="BV29" s="8">
        <f>VLOOKUP($C29,Обработка!$B$16:$F$104,4,0)</f>
        <v>2</v>
      </c>
      <c r="BW29" s="8">
        <f>VLOOKUP($C29,Утилизация!$B$16:$F$104,5,0)</f>
        <v>1</v>
      </c>
      <c r="BX29" s="8">
        <f>VLOOKUP($C29,Утилизация!$B$16:$F$104,4,0)</f>
        <v>2</v>
      </c>
      <c r="BY29" s="8">
        <f>VLOOKUP($C29,Захоронение!$B$16:$C$104,2,0)</f>
        <v>2</v>
      </c>
      <c r="BZ29" s="8">
        <f>VLOOKUP($C29,'ДК ИП'!$B$16:$C$104,2,0)</f>
        <v>0</v>
      </c>
      <c r="CA29" s="8">
        <f>VLOOKUP(C29,Радар!$B$16:$G$104,2,0)</f>
        <v>0</v>
      </c>
      <c r="CB29" s="8">
        <f t="shared" si="13"/>
        <v>1.1000000000000001</v>
      </c>
    </row>
    <row r="30" spans="1:80" ht="15.6" thickBot="1">
      <c r="A30" s="9" t="s">
        <v>658</v>
      </c>
      <c r="B30" s="122">
        <f t="shared" si="6"/>
        <v>20</v>
      </c>
      <c r="C30" s="202" t="s">
        <v>24</v>
      </c>
      <c r="D30" s="277" t="str">
        <f>VLOOKUP($C30,Штаб!$B$16:$J$104,6,0)</f>
        <v/>
      </c>
      <c r="E30" s="285" t="str">
        <f>VLOOKUP($C30,Штаб!$B$16:$J$104,7,0)</f>
        <v/>
      </c>
      <c r="F30" s="285" t="str">
        <f>VLOOKUP($C30,Штаб!$B$16:$J$104,8,0)</f>
        <v>✔️</v>
      </c>
      <c r="G30" s="286" t="str">
        <f>VLOOKUP($C30,Штаб!$B$16:$J$104,9,0)</f>
        <v/>
      </c>
      <c r="H30" s="278" t="str">
        <f>VLOOKUP(C30,'РО - регионы'!$B$16:$I$104,8,0)</f>
        <v>0 / 3 / 0 из 3</v>
      </c>
      <c r="I30" s="237"/>
      <c r="J30" s="122"/>
      <c r="K30" s="94"/>
      <c r="L30" s="94"/>
      <c r="M30" s="98"/>
      <c r="N30" s="164">
        <f>VLOOKUP(C30,Спецтехника!$B$16:$J$104,4,0)</f>
        <v>65</v>
      </c>
      <c r="O30" s="167">
        <f>VLOOKUP(C30,Спецтехника!$B$16:$J$104,5,0)</f>
        <v>56</v>
      </c>
      <c r="P30" s="167">
        <f>VLOOKUP(C30,Спецтехника!$B$16:$J$104,6,0)</f>
        <v>9</v>
      </c>
      <c r="Q30" s="170">
        <f>VLOOKUP(C30,Спецтехника!$B$16:$J$104,7,0)</f>
        <v>0.13846153846153847</v>
      </c>
      <c r="R30" s="242"/>
      <c r="S30" s="122"/>
      <c r="T30" s="94"/>
      <c r="U30" s="94"/>
      <c r="V30" s="98"/>
      <c r="W30" s="165">
        <f>VLOOKUP($C30,МНО!$B$16:$AB$104,16,0)</f>
        <v>2337</v>
      </c>
      <c r="X30" s="168">
        <f>VLOOKUP($C30,МНО!$B$16:$AB$104,8,0)</f>
        <v>2337</v>
      </c>
      <c r="Y30" s="168">
        <f>VLOOKUP($C30,МНО!$B$16:$AB$104,11,0)</f>
        <v>0</v>
      </c>
      <c r="Z30" s="174">
        <f>VLOOKUP($C30,МНО!$B$16:$AB$104,17,0)</f>
        <v>0</v>
      </c>
      <c r="AA30" s="245"/>
      <c r="AB30" s="95">
        <f>VLOOKUP($C30,МНО!$B$16:$AB$104,13,0)</f>
        <v>2.0078103602131065</v>
      </c>
      <c r="AC30" s="154">
        <f>VLOOKUP($C30,МНО!$B$16:$AB$104,18,0)</f>
        <v>0.57111436950146632</v>
      </c>
      <c r="AD30" s="165">
        <f>VLOOKUP($C30,Контейнеры!$B$16:$AB$104,16,0)</f>
        <v>3147</v>
      </c>
      <c r="AE30" s="168">
        <f>VLOOKUP($C30,Контейнеры!$B$16:$AB$104,8,0)</f>
        <v>3147</v>
      </c>
      <c r="AF30" s="168">
        <f>VLOOKUP($C30,Контейнеры!$B$16:$AB$104,11,0)</f>
        <v>0</v>
      </c>
      <c r="AG30" s="174">
        <f>VLOOKUP($C30,Контейнеры!$B$16:$AB$104,17,0)</f>
        <v>0</v>
      </c>
      <c r="AH30" s="245"/>
      <c r="AI30" s="95">
        <f>VLOOKUP($C30,Контейнеры!$B$16:$AB$104,13,0)</f>
        <v>3.4755661185867135</v>
      </c>
      <c r="AJ30" s="154">
        <f>VLOOKUP($C30,Контейнеры!$B$16:$AB$104,18,0)</f>
        <v>0.40538451629524669</v>
      </c>
      <c r="AK30" s="135"/>
      <c r="AL30" s="94"/>
      <c r="AM30" s="94"/>
      <c r="AN30" s="116"/>
      <c r="AO30" s="80">
        <f>VLOOKUP($C30,Обработка!$B$16:$L$104,6,0)</f>
        <v>0.40799999999999997</v>
      </c>
      <c r="AP30" s="75">
        <f t="shared" si="7"/>
        <v>-0.13500000000000006</v>
      </c>
      <c r="AQ30" s="76">
        <f>VLOOKUP($C30,Обработка!$B$16:$L$104,7,0)</f>
        <v>0.39</v>
      </c>
      <c r="AR30" s="177">
        <f t="shared" si="8"/>
        <v>-0.41700000000000004</v>
      </c>
      <c r="AS30" s="180">
        <f>VLOOKUP($C30,Утилизация!$B$16:$L$104,6,0)</f>
        <v>5.2000000000000005E-2</v>
      </c>
      <c r="AT30" s="76">
        <f t="shared" si="9"/>
        <v>-8.7000000000000008E-2</v>
      </c>
      <c r="AU30" s="76">
        <f>VLOOKUP($C30,Утилизация!$B$16:$L$104,7,0)</f>
        <v>0.05</v>
      </c>
      <c r="AV30" s="184">
        <f t="shared" si="10"/>
        <v>-0.23599999999999999</v>
      </c>
      <c r="AW30" s="161" t="str">
        <f>VLOOKUP(C30,Захоронение!$B$16:$Q$104,16,0)</f>
        <v/>
      </c>
      <c r="AX30" s="135"/>
      <c r="AY30" s="94"/>
      <c r="AZ30" s="94"/>
      <c r="BA30" s="98"/>
      <c r="BB30" s="127" t="str">
        <f>VLOOKUP(C30,'ДК ИП'!$B$16:$S$104,5,0)</f>
        <v>небольшое</v>
      </c>
      <c r="BC30" s="289">
        <f>VLOOKUP(C30,Радар!$B$16:$G$104,6,0)</f>
        <v>2.0983716635890548E-2</v>
      </c>
      <c r="BD30" s="98"/>
      <c r="BF30" s="294">
        <f t="shared" si="11"/>
        <v>0.58333333333333337</v>
      </c>
      <c r="BI30" s="8">
        <f t="shared" si="12"/>
        <v>1</v>
      </c>
      <c r="BJ30" s="8">
        <f>VLOOKUP(C30,Штаб!$B$16:$C$104,2)</f>
        <v>1</v>
      </c>
      <c r="BK30" s="8">
        <f>VLOOKUP(C30,'РО - регионы'!$B$16:$C$104,2)</f>
        <v>1</v>
      </c>
      <c r="BL30" s="8">
        <f>VLOOKUP(C30,'РО - регионы'!$B$16:$L$104,11)</f>
        <v>2</v>
      </c>
      <c r="BM30" s="8">
        <f>VLOOKUP(C30,Спецтехника!$B$16:$C$104,2)</f>
        <v>1</v>
      </c>
      <c r="BN30" s="8">
        <f>VLOOKUP($C30,МНО!$B$16:$AB$104,6,0)</f>
        <v>2</v>
      </c>
      <c r="BO30" s="8">
        <f>VLOOKUP($C30,МНО!$B$16:$AB$104,4,0)</f>
        <v>2</v>
      </c>
      <c r="BP30" s="8">
        <f>VLOOKUP($C30,МНО!$B$16:$AB$104,5,0)</f>
        <v>2</v>
      </c>
      <c r="BQ30" s="8">
        <f>VLOOKUP($C30,Контейнеры!$B$16:$G$104,6,0)</f>
        <v>2</v>
      </c>
      <c r="BR30" s="8">
        <f>VLOOKUP($C30,Контейнеры!$B$16:$G$104,4,0)</f>
        <v>0</v>
      </c>
      <c r="BS30" s="8">
        <f>VLOOKUP($C30,Контейнеры!$B$16:$G$104,5,0)</f>
        <v>2</v>
      </c>
      <c r="BT30" s="8">
        <f>VLOOKUP($C30,'ДК МНО'!$B$16:$C$104,2,0)</f>
        <v>2</v>
      </c>
      <c r="BU30" s="8">
        <f>VLOOKUP($C30,Обработка!$B$16:$F$104,5,0)</f>
        <v>2</v>
      </c>
      <c r="BV30" s="8">
        <f>VLOOKUP($C30,Обработка!$B$16:$F$104,4,0)</f>
        <v>1</v>
      </c>
      <c r="BW30" s="8">
        <f>VLOOKUP($C30,Утилизация!$B$16:$F$104,5,0)</f>
        <v>2</v>
      </c>
      <c r="BX30" s="8">
        <f>VLOOKUP($C30,Утилизация!$B$16:$F$104,4,0)</f>
        <v>2</v>
      </c>
      <c r="BY30" s="8">
        <f>VLOOKUP($C30,Захоронение!$B$16:$C$104,2,0)</f>
        <v>0</v>
      </c>
      <c r="BZ30" s="8">
        <f>VLOOKUP($C30,'ДК ИП'!$B$16:$C$104,2,0)</f>
        <v>0</v>
      </c>
      <c r="CA30" s="8">
        <f>VLOOKUP(C30,Радар!$B$16:$G$104,2,0)</f>
        <v>0</v>
      </c>
      <c r="CB30" s="8">
        <f t="shared" si="13"/>
        <v>0.89999999999999991</v>
      </c>
    </row>
    <row r="31" spans="1:80" ht="15.6" thickBot="1">
      <c r="A31" s="9" t="s">
        <v>655</v>
      </c>
      <c r="B31" s="121">
        <f t="shared" si="6"/>
        <v>21</v>
      </c>
      <c r="C31" s="202" t="s">
        <v>25</v>
      </c>
      <c r="D31" s="277" t="str">
        <f>VLOOKUP($C31,Штаб!$B$16:$J$104,6,0)</f>
        <v/>
      </c>
      <c r="E31" s="285" t="str">
        <f>VLOOKUP($C31,Штаб!$B$16:$J$104,7,0)</f>
        <v/>
      </c>
      <c r="F31" s="285" t="str">
        <f>VLOOKUP($C31,Штаб!$B$16:$J$104,8,0)</f>
        <v>✔️</v>
      </c>
      <c r="G31" s="286" t="str">
        <f>VLOOKUP($C31,Штаб!$B$16:$J$104,9,0)</f>
        <v/>
      </c>
      <c r="H31" s="279" t="str">
        <f>VLOOKUP(C31,'РО - регионы'!$B$16:$I$104,8,0)</f>
        <v>0 / 0 / 1 из 1</v>
      </c>
      <c r="I31" s="237"/>
      <c r="J31" s="122"/>
      <c r="K31" s="94"/>
      <c r="L31" s="94"/>
      <c r="M31" s="98"/>
      <c r="N31" s="165">
        <f>VLOOKUP(C31,Спецтехника!$B$16:$J$104,4,0)</f>
        <v>259</v>
      </c>
      <c r="O31" s="168">
        <f>VLOOKUP(C31,Спецтехника!$B$16:$J$104,5,0)</f>
        <v>211</v>
      </c>
      <c r="P31" s="168">
        <f>VLOOKUP(C31,Спецтехника!$B$16:$J$104,6,0)</f>
        <v>48</v>
      </c>
      <c r="Q31" s="171">
        <f>VLOOKUP(C31,Спецтехника!$B$16:$J$104,7,0)</f>
        <v>0.18532818532818532</v>
      </c>
      <c r="R31" s="242"/>
      <c r="S31" s="122"/>
      <c r="T31" s="94"/>
      <c r="U31" s="94"/>
      <c r="V31" s="98"/>
      <c r="W31" s="163">
        <f>VLOOKUP($C31,МНО!$B$16:$AB$104,16,0)</f>
        <v>14342</v>
      </c>
      <c r="X31" s="166">
        <f>VLOOKUP($C31,МНО!$B$16:$AB$104,8,0)</f>
        <v>11788</v>
      </c>
      <c r="Y31" s="166">
        <f>VLOOKUP($C31,МНО!$B$16:$AB$104,11,0)</f>
        <v>2554</v>
      </c>
      <c r="Z31" s="173">
        <f>VLOOKUP($C31,МНО!$B$16:$AB$104,17,0)</f>
        <v>0.17807837121740344</v>
      </c>
      <c r="AA31" s="245"/>
      <c r="AB31" s="95">
        <f>VLOOKUP($C31,МНО!$B$16:$AB$104,13,0)</f>
        <v>10.500873380184425</v>
      </c>
      <c r="AC31" s="154">
        <f>VLOOKUP($C31,МНО!$B$16:$AB$104,18,0)</f>
        <v>0.8783250130392668</v>
      </c>
      <c r="AD31" s="164">
        <f>VLOOKUP($C31,Контейнеры!$B$16:$AB$104,16,0)</f>
        <v>24826</v>
      </c>
      <c r="AE31" s="167">
        <f>VLOOKUP($C31,Контейнеры!$B$16:$AB$104,8,0)</f>
        <v>19874</v>
      </c>
      <c r="AF31" s="167">
        <f>VLOOKUP($C31,Контейнеры!$B$16:$AB$104,11,0)</f>
        <v>4952</v>
      </c>
      <c r="AG31" s="172">
        <f>VLOOKUP($C31,Контейнеры!$B$16:$AB$104,17,0)</f>
        <v>0.19946829936357044</v>
      </c>
      <c r="AH31" s="245"/>
      <c r="AI31" s="95">
        <f>VLOOKUP($C31,Контейнеры!$B$16:$AB$104,13,0)</f>
        <v>19.222101644817652</v>
      </c>
      <c r="AJ31" s="154">
        <f>VLOOKUP($C31,Контейнеры!$B$16:$AB$104,18,0)</f>
        <v>1</v>
      </c>
      <c r="AK31" s="135"/>
      <c r="AL31" s="94"/>
      <c r="AM31" s="94"/>
      <c r="AN31" s="116"/>
      <c r="AO31" s="79">
        <f>VLOOKUP($C31,Обработка!$B$16:$L$104,6,0)</f>
        <v>0.13300000000000001</v>
      </c>
      <c r="AP31" s="75">
        <f t="shared" si="7"/>
        <v>-0.41000000000000003</v>
      </c>
      <c r="AQ31" s="75">
        <f>VLOOKUP($C31,Обработка!$B$16:$L$104,7,0)</f>
        <v>1</v>
      </c>
      <c r="AR31" s="178">
        <f t="shared" si="8"/>
        <v>0.19299999999999995</v>
      </c>
      <c r="AS31" s="180">
        <f>VLOOKUP($C31,Утилизация!$B$16:$L$104,6,0)</f>
        <v>2E-3</v>
      </c>
      <c r="AT31" s="76">
        <f t="shared" si="9"/>
        <v>-0.13700000000000001</v>
      </c>
      <c r="AU31" s="75">
        <f>VLOOKUP($C31,Утилизация!$B$16:$L$104,7,0)</f>
        <v>0.4</v>
      </c>
      <c r="AV31" s="185">
        <f t="shared" si="10"/>
        <v>0.11400000000000005</v>
      </c>
      <c r="AW31" s="160" t="str">
        <f>VLOOKUP(C31,Захоронение!$B$16:$Q$104,16,0)</f>
        <v>перегруз</v>
      </c>
      <c r="AX31" s="135"/>
      <c r="AY31" s="94"/>
      <c r="AZ31" s="94"/>
      <c r="BA31" s="98"/>
      <c r="BB31" s="127" t="str">
        <f>VLOOKUP(C31,'ДК ИП'!$B$16:$S$104,5,0)</f>
        <v>среднее</v>
      </c>
      <c r="BC31" s="289">
        <f>VLOOKUP(C31,Радар!$B$16:$G$104,6,0)</f>
        <v>6.6736691833169867E-2</v>
      </c>
      <c r="BD31" s="98"/>
      <c r="BF31" s="294">
        <f t="shared" si="11"/>
        <v>0.75</v>
      </c>
      <c r="BI31" s="8">
        <f t="shared" si="12"/>
        <v>0</v>
      </c>
      <c r="BJ31" s="8">
        <f>VLOOKUP(C31,Штаб!$B$16:$C$104,2)</f>
        <v>1</v>
      </c>
      <c r="BK31" s="8">
        <f>VLOOKUP(C31,'РО - регионы'!$B$16:$C$104,2)</f>
        <v>0</v>
      </c>
      <c r="BL31" s="8">
        <f>VLOOKUP(C31,'РО - регионы'!$B$16:$L$104,11)</f>
        <v>0</v>
      </c>
      <c r="BM31" s="8">
        <f>VLOOKUP(C31,Спецтехника!$B$16:$C$104,2)</f>
        <v>2</v>
      </c>
      <c r="BN31" s="8">
        <f>VLOOKUP($C31,МНО!$B$16:$AB$104,6,0)</f>
        <v>0</v>
      </c>
      <c r="BO31" s="8">
        <f>VLOOKUP($C31,МНО!$B$16:$AB$104,4,0)</f>
        <v>0</v>
      </c>
      <c r="BP31" s="8">
        <f>VLOOKUP($C31,МНО!$B$16:$AB$104,5,0)</f>
        <v>0</v>
      </c>
      <c r="BQ31" s="8">
        <f>VLOOKUP($C31,Контейнеры!$B$16:$G$104,6,0)</f>
        <v>1</v>
      </c>
      <c r="BR31" s="8">
        <f>VLOOKUP($C31,Контейнеры!$B$16:$G$104,4,0)</f>
        <v>0</v>
      </c>
      <c r="BS31" s="8">
        <f>VLOOKUP($C31,Контейнеры!$B$16:$G$104,5,0)</f>
        <v>0</v>
      </c>
      <c r="BT31" s="8">
        <f>VLOOKUP($C31,'ДК МНО'!$B$16:$C$104,2,0)</f>
        <v>2</v>
      </c>
      <c r="BU31" s="8">
        <f>VLOOKUP($C31,Обработка!$B$16:$F$104,5,0)</f>
        <v>0</v>
      </c>
      <c r="BV31" s="8">
        <f>VLOOKUP($C31,Обработка!$B$16:$F$104,4,0)</f>
        <v>2</v>
      </c>
      <c r="BW31" s="8">
        <f>VLOOKUP($C31,Утилизация!$B$16:$F$104,5,0)</f>
        <v>0</v>
      </c>
      <c r="BX31" s="8">
        <f>VLOOKUP($C31,Утилизация!$B$16:$F$104,4,0)</f>
        <v>2</v>
      </c>
      <c r="BY31" s="8">
        <f>VLOOKUP($C31,Захоронение!$B$16:$C$104,2,0)</f>
        <v>1</v>
      </c>
      <c r="BZ31" s="8">
        <f>VLOOKUP($C31,'ДК ИП'!$B$16:$C$104,2,0)</f>
        <v>1</v>
      </c>
      <c r="CA31" s="8">
        <f>VLOOKUP(C31,Радар!$B$16:$G$104,2,0)</f>
        <v>0</v>
      </c>
      <c r="CB31" s="8">
        <f t="shared" si="13"/>
        <v>0.7</v>
      </c>
    </row>
    <row r="32" spans="1:80" ht="15.6" thickBot="1">
      <c r="A32" s="9" t="s">
        <v>657</v>
      </c>
      <c r="B32" s="122">
        <f t="shared" si="6"/>
        <v>22</v>
      </c>
      <c r="C32" s="202" t="s">
        <v>26</v>
      </c>
      <c r="D32" s="277" t="str">
        <f>VLOOKUP($C32,Штаб!$B$16:$J$104,6,0)</f>
        <v>✔️</v>
      </c>
      <c r="E32" s="285" t="str">
        <f>VLOOKUP($C32,Штаб!$B$16:$J$104,7,0)</f>
        <v/>
      </c>
      <c r="F32" s="285" t="str">
        <f>VLOOKUP($C32,Штаб!$B$16:$J$104,8,0)</f>
        <v/>
      </c>
      <c r="G32" s="286" t="str">
        <f>VLOOKUP($C32,Штаб!$B$16:$J$104,9,0)</f>
        <v/>
      </c>
      <c r="H32" s="279" t="str">
        <f>VLOOKUP(C32,'РО - регионы'!$B$16:$I$104,8,0)</f>
        <v>0 / 0 / 1 из 1</v>
      </c>
      <c r="I32" s="237"/>
      <c r="J32" s="122"/>
      <c r="K32" s="94"/>
      <c r="L32" s="94"/>
      <c r="M32" s="98"/>
      <c r="N32" s="164">
        <f>VLOOKUP(C32,Спецтехника!$B$16:$J$104,4,0)</f>
        <v>164</v>
      </c>
      <c r="O32" s="167">
        <f>VLOOKUP(C32,Спецтехника!$B$16:$J$104,5,0)</f>
        <v>142</v>
      </c>
      <c r="P32" s="167">
        <f>VLOOKUP(C32,Спецтехника!$B$16:$J$104,6,0)</f>
        <v>22</v>
      </c>
      <c r="Q32" s="170">
        <f>VLOOKUP(C32,Спецтехника!$B$16:$J$104,7,0)</f>
        <v>0.13414634146341464</v>
      </c>
      <c r="R32" s="242"/>
      <c r="S32" s="122"/>
      <c r="T32" s="94"/>
      <c r="U32" s="94"/>
      <c r="V32" s="98"/>
      <c r="W32" s="163">
        <f>VLOOKUP($C32,МНО!$B$16:$AB$104,16,0)</f>
        <v>8572</v>
      </c>
      <c r="X32" s="166">
        <f>VLOOKUP($C32,МНО!$B$16:$AB$104,8,0)</f>
        <v>7982</v>
      </c>
      <c r="Y32" s="166">
        <f>VLOOKUP($C32,МНО!$B$16:$AB$104,11,0)</f>
        <v>590</v>
      </c>
      <c r="Z32" s="173">
        <f>VLOOKUP($C32,МНО!$B$16:$AB$104,17,0)</f>
        <v>6.8828744750349974E-2</v>
      </c>
      <c r="AA32" s="245"/>
      <c r="AB32" s="95">
        <f>VLOOKUP($C32,МНО!$B$16:$AB$104,13,0)</f>
        <v>7.4334759128050099</v>
      </c>
      <c r="AC32" s="154">
        <f>VLOOKUP($C32,МНО!$B$16:$AB$104,18,0)</f>
        <v>0.98215823797219148</v>
      </c>
      <c r="AD32" s="163">
        <f>VLOOKUP($C32,Контейнеры!$B$16:$AB$104,16,0)</f>
        <v>21704</v>
      </c>
      <c r="AE32" s="166">
        <f>VLOOKUP($C32,Контейнеры!$B$16:$AB$104,8,0)</f>
        <v>20456</v>
      </c>
      <c r="AF32" s="166">
        <f>VLOOKUP($C32,Контейнеры!$B$16:$AB$104,11,0)</f>
        <v>1248</v>
      </c>
      <c r="AG32" s="173">
        <f>VLOOKUP($C32,Контейнеры!$B$16:$AB$104,17,0)</f>
        <v>5.750092148912643E-2</v>
      </c>
      <c r="AH32" s="245"/>
      <c r="AI32" s="95">
        <f>VLOOKUP($C32,Контейнеры!$B$16:$AB$104,13,0)</f>
        <v>19.146207916436573</v>
      </c>
      <c r="AJ32" s="154">
        <f>VLOOKUP($C32,Контейнеры!$B$16:$AB$104,18,0)</f>
        <v>1</v>
      </c>
      <c r="AK32" s="135"/>
      <c r="AL32" s="94"/>
      <c r="AM32" s="94"/>
      <c r="AN32" s="116"/>
      <c r="AO32" s="78">
        <f>VLOOKUP($C32,Обработка!$B$16:$L$104,6,0)</f>
        <v>0.996</v>
      </c>
      <c r="AP32" s="75">
        <f t="shared" si="7"/>
        <v>0.45299999999999996</v>
      </c>
      <c r="AQ32" s="75">
        <f>VLOOKUP($C32,Обработка!$B$16:$L$104,7,0)</f>
        <v>1</v>
      </c>
      <c r="AR32" s="178">
        <f t="shared" si="8"/>
        <v>0.19299999999999995</v>
      </c>
      <c r="AS32" s="181">
        <f>VLOOKUP($C32,Утилизация!$B$16:$L$104,6,0)</f>
        <v>0.121</v>
      </c>
      <c r="AT32" s="74">
        <f t="shared" si="9"/>
        <v>-1.8000000000000016E-2</v>
      </c>
      <c r="AU32" s="74">
        <f>VLOOKUP($C32,Утилизация!$B$16:$L$104,7,0)</f>
        <v>0.248</v>
      </c>
      <c r="AV32" s="186">
        <f t="shared" si="10"/>
        <v>-3.7999999999999978E-2</v>
      </c>
      <c r="AW32" s="161" t="str">
        <f>VLOOKUP(C32,Захоронение!$B$16:$Q$104,16,0)</f>
        <v/>
      </c>
      <c r="AX32" s="135"/>
      <c r="AY32" s="94"/>
      <c r="AZ32" s="94"/>
      <c r="BA32" s="98"/>
      <c r="BB32" s="127" t="str">
        <f>VLOOKUP(C32,'ДК ИП'!$B$16:$S$104,5,0)</f>
        <v>среднее</v>
      </c>
      <c r="BC32" s="288">
        <f>VLOOKUP(C32,Радар!$B$16:$G$104,6,0)</f>
        <v>0.15817897623571475</v>
      </c>
      <c r="BD32" s="98"/>
      <c r="BF32" s="296">
        <f t="shared" si="11"/>
        <v>0.25</v>
      </c>
      <c r="BI32" s="8">
        <f t="shared" si="12"/>
        <v>0</v>
      </c>
      <c r="BJ32" s="8">
        <f>VLOOKUP(C32,Штаб!$B$16:$C$104,2)</f>
        <v>0</v>
      </c>
      <c r="BK32" s="8">
        <f>VLOOKUP(C32,'РО - регионы'!$B$16:$C$104,2)</f>
        <v>0</v>
      </c>
      <c r="BL32" s="8">
        <f>VLOOKUP(C32,'РО - регионы'!$B$16:$L$104,11)</f>
        <v>0</v>
      </c>
      <c r="BM32" s="8">
        <f>VLOOKUP(C32,Спецтехника!$B$16:$C$104,2)</f>
        <v>1</v>
      </c>
      <c r="BN32" s="8">
        <f>VLOOKUP($C32,МНО!$B$16:$AB$104,6,0)</f>
        <v>0</v>
      </c>
      <c r="BO32" s="8">
        <f>VLOOKUP($C32,МНО!$B$16:$AB$104,4,0)</f>
        <v>0</v>
      </c>
      <c r="BP32" s="8">
        <f>VLOOKUP($C32,МНО!$B$16:$AB$104,5,0)</f>
        <v>0</v>
      </c>
      <c r="BQ32" s="8">
        <f>VLOOKUP($C32,Контейнеры!$B$16:$G$104,6,0)</f>
        <v>0</v>
      </c>
      <c r="BR32" s="8">
        <f>VLOOKUP($C32,Контейнеры!$B$16:$G$104,4,0)</f>
        <v>0</v>
      </c>
      <c r="BS32" s="8">
        <f>VLOOKUP($C32,Контейнеры!$B$16:$G$104,5,0)</f>
        <v>0</v>
      </c>
      <c r="BT32" s="8">
        <f>VLOOKUP($C32,'ДК МНО'!$B$16:$C$104,2,0)</f>
        <v>2</v>
      </c>
      <c r="BU32" s="8">
        <f>VLOOKUP($C32,Обработка!$B$16:$F$104,5,0)</f>
        <v>0</v>
      </c>
      <c r="BV32" s="8">
        <f>VLOOKUP($C32,Обработка!$B$16:$F$104,4,0)</f>
        <v>0</v>
      </c>
      <c r="BW32" s="8">
        <f>VLOOKUP($C32,Утилизация!$B$16:$F$104,5,0)</f>
        <v>1</v>
      </c>
      <c r="BX32" s="8">
        <f>VLOOKUP($C32,Утилизация!$B$16:$F$104,4,0)</f>
        <v>1</v>
      </c>
      <c r="BY32" s="8">
        <f>VLOOKUP($C32,Захоронение!$B$16:$C$104,2,0)</f>
        <v>0</v>
      </c>
      <c r="BZ32" s="8">
        <f>VLOOKUP($C32,'ДК ИП'!$B$16:$C$104,2,0)</f>
        <v>1</v>
      </c>
      <c r="CA32" s="8">
        <f>VLOOKUP(C32,Радар!$B$16:$G$104,2,0)</f>
        <v>2</v>
      </c>
      <c r="CB32" s="8">
        <f t="shared" si="13"/>
        <v>0.25</v>
      </c>
    </row>
    <row r="33" spans="1:80" ht="15.6" thickBot="1">
      <c r="A33" s="9" t="s">
        <v>654</v>
      </c>
      <c r="B33" s="121">
        <f t="shared" si="6"/>
        <v>23</v>
      </c>
      <c r="C33" s="202" t="s">
        <v>27</v>
      </c>
      <c r="D33" s="277" t="str">
        <f>VLOOKUP($C33,Штаб!$B$16:$J$104,6,0)</f>
        <v>✔️</v>
      </c>
      <c r="E33" s="285" t="str">
        <f>VLOOKUP($C33,Штаб!$B$16:$J$104,7,0)</f>
        <v/>
      </c>
      <c r="F33" s="285" t="str">
        <f>VLOOKUP($C33,Штаб!$B$16:$J$104,8,0)</f>
        <v/>
      </c>
      <c r="G33" s="286" t="str">
        <f>VLOOKUP($C33,Штаб!$B$16:$J$104,9,0)</f>
        <v/>
      </c>
      <c r="H33" s="279" t="str">
        <f>VLOOKUP(C33,'РО - регионы'!$B$16:$I$104,8,0)</f>
        <v>0 / 0 / 1 из 1</v>
      </c>
      <c r="I33" s="237"/>
      <c r="J33" s="122"/>
      <c r="K33" s="94"/>
      <c r="L33" s="94"/>
      <c r="M33" s="98"/>
      <c r="N33" s="165">
        <f>VLOOKUP(C33,Спецтехника!$B$16:$J$104,4,0)</f>
        <v>171</v>
      </c>
      <c r="O33" s="168">
        <f>VLOOKUP(C33,Спецтехника!$B$16:$J$104,5,0)</f>
        <v>124</v>
      </c>
      <c r="P33" s="168">
        <f>VLOOKUP(C33,Спецтехника!$B$16:$J$104,6,0)</f>
        <v>47</v>
      </c>
      <c r="Q33" s="171">
        <f>VLOOKUP(C33,Спецтехника!$B$16:$J$104,7,0)</f>
        <v>0.27485380116959063</v>
      </c>
      <c r="R33" s="242"/>
      <c r="S33" s="122"/>
      <c r="T33" s="94"/>
      <c r="U33" s="94"/>
      <c r="V33" s="98"/>
      <c r="W33" s="163">
        <f>VLOOKUP($C33,МНО!$B$16:$AB$104,16,0)</f>
        <v>1821</v>
      </c>
      <c r="X33" s="166">
        <f>VLOOKUP($C33,МНО!$B$16:$AB$104,8,0)</f>
        <v>1619</v>
      </c>
      <c r="Y33" s="166">
        <f>VLOOKUP($C33,МНО!$B$16:$AB$104,11,0)</f>
        <v>202</v>
      </c>
      <c r="Z33" s="173">
        <f>VLOOKUP($C33,МНО!$B$16:$AB$104,17,0)</f>
        <v>0.11092806150466776</v>
      </c>
      <c r="AA33" s="245"/>
      <c r="AB33" s="95">
        <f>VLOOKUP($C33,МНО!$B$16:$AB$104,13,0)</f>
        <v>5.2154893457969802</v>
      </c>
      <c r="AC33" s="154">
        <f>VLOOKUP($C33,МНО!$B$16:$AB$104,18,0)</f>
        <v>0.63341158059467917</v>
      </c>
      <c r="AD33" s="163">
        <f>VLOOKUP($C33,Контейнеры!$B$16:$AB$104,16,0)</f>
        <v>5100</v>
      </c>
      <c r="AE33" s="166">
        <f>VLOOKUP($C33,Контейнеры!$B$16:$AB$104,8,0)</f>
        <v>4400</v>
      </c>
      <c r="AF33" s="166">
        <f>VLOOKUP($C33,Контейнеры!$B$16:$AB$104,11,0)</f>
        <v>700</v>
      </c>
      <c r="AG33" s="173">
        <f>VLOOKUP($C33,Контейнеры!$B$16:$AB$104,17,0)</f>
        <v>0.13725490196078433</v>
      </c>
      <c r="AH33" s="245"/>
      <c r="AI33" s="95">
        <f>VLOOKUP($C33,Контейнеры!$B$16:$AB$104,13,0)</f>
        <v>15.22770611911527</v>
      </c>
      <c r="AJ33" s="154">
        <f>VLOOKUP($C33,Контейнеры!$B$16:$AB$104,18,0)</f>
        <v>1</v>
      </c>
      <c r="AK33" s="135"/>
      <c r="AL33" s="94"/>
      <c r="AM33" s="94"/>
      <c r="AN33" s="116"/>
      <c r="AO33" s="79">
        <f>VLOOKUP($C33,Обработка!$B$16:$L$104,6,0)</f>
        <v>0.91799999999999993</v>
      </c>
      <c r="AP33" s="75">
        <f t="shared" si="7"/>
        <v>0.37499999999999989</v>
      </c>
      <c r="AQ33" s="75">
        <f>VLOOKUP($C33,Обработка!$B$16:$L$104,7,0)</f>
        <v>1</v>
      </c>
      <c r="AR33" s="178">
        <f t="shared" si="8"/>
        <v>0.19299999999999995</v>
      </c>
      <c r="AS33" s="180">
        <f>VLOOKUP($C33,Утилизация!$B$16:$L$104,6,0)</f>
        <v>0.34499999999999997</v>
      </c>
      <c r="AT33" s="76">
        <f t="shared" si="9"/>
        <v>0.20599999999999996</v>
      </c>
      <c r="AU33" s="75">
        <f>VLOOKUP($C33,Утилизация!$B$16:$L$104,7,0)</f>
        <v>0.4</v>
      </c>
      <c r="AV33" s="185">
        <f t="shared" si="10"/>
        <v>0.11400000000000005</v>
      </c>
      <c r="AW33" s="162" t="str">
        <f>VLOOKUP(C33,Захоронение!$B$16:$Q$104,16,0)</f>
        <v>белые пятна</v>
      </c>
      <c r="AX33" s="135"/>
      <c r="AY33" s="94"/>
      <c r="AZ33" s="94"/>
      <c r="BA33" s="98"/>
      <c r="BB33" s="127" t="str">
        <f>VLOOKUP(C33,'ДК ИП'!$B$16:$S$104,5,0)</f>
        <v>среднее</v>
      </c>
      <c r="BC33" s="290">
        <f>VLOOKUP(C33,Радар!$B$16:$G$104,6,0)</f>
        <v>7.6138530595576348E-2</v>
      </c>
      <c r="BD33" s="98"/>
      <c r="BF33" s="293">
        <f t="shared" si="11"/>
        <v>1.0833333333333333</v>
      </c>
      <c r="BI33" s="8">
        <f t="shared" si="12"/>
        <v>1</v>
      </c>
      <c r="BJ33" s="8">
        <f>VLOOKUP(C33,Штаб!$B$16:$C$104,2)</f>
        <v>0</v>
      </c>
      <c r="BK33" s="8">
        <f>VLOOKUP(C33,'РО - регионы'!$B$16:$C$104,2)</f>
        <v>0</v>
      </c>
      <c r="BL33" s="8">
        <f>VLOOKUP(C33,'РО - регионы'!$B$16:$L$104,11)</f>
        <v>0</v>
      </c>
      <c r="BM33" s="8">
        <f>VLOOKUP(C33,Спецтехника!$B$16:$C$104,2)</f>
        <v>2</v>
      </c>
      <c r="BN33" s="8">
        <f>VLOOKUP($C33,МНО!$B$16:$AB$104,6,0)</f>
        <v>0</v>
      </c>
      <c r="BO33" s="8">
        <f>VLOOKUP($C33,МНО!$B$16:$AB$104,4,0)</f>
        <v>1</v>
      </c>
      <c r="BP33" s="8">
        <f>VLOOKUP($C33,МНО!$B$16:$AB$104,5,0)</f>
        <v>2</v>
      </c>
      <c r="BQ33" s="8">
        <f>VLOOKUP($C33,Контейнеры!$B$16:$G$104,6,0)</f>
        <v>0</v>
      </c>
      <c r="BR33" s="8">
        <f>VLOOKUP($C33,Контейнеры!$B$16:$G$104,4,0)</f>
        <v>0</v>
      </c>
      <c r="BS33" s="8">
        <f>VLOOKUP($C33,Контейнеры!$B$16:$G$104,5,0)</f>
        <v>0</v>
      </c>
      <c r="BT33" s="8">
        <f>VLOOKUP($C33,'ДК МНО'!$B$16:$C$104,2,0)</f>
        <v>2</v>
      </c>
      <c r="BU33" s="8">
        <f>VLOOKUP($C33,Обработка!$B$16:$F$104,5,0)</f>
        <v>0</v>
      </c>
      <c r="BV33" s="8">
        <f>VLOOKUP($C33,Обработка!$B$16:$F$104,4,0)</f>
        <v>2</v>
      </c>
      <c r="BW33" s="8">
        <f>VLOOKUP($C33,Утилизация!$B$16:$F$104,5,0)</f>
        <v>0</v>
      </c>
      <c r="BX33" s="8">
        <f>VLOOKUP($C33,Утилизация!$B$16:$F$104,4,0)</f>
        <v>2</v>
      </c>
      <c r="BY33" s="8">
        <f>VLOOKUP($C33,Захоронение!$B$16:$C$104,2,0)</f>
        <v>2</v>
      </c>
      <c r="BZ33" s="8">
        <f>VLOOKUP($C33,'ДК ИП'!$B$16:$C$104,2,0)</f>
        <v>1</v>
      </c>
      <c r="CA33" s="8">
        <f>VLOOKUP(C33,Радар!$B$16:$G$104,2,0)</f>
        <v>1</v>
      </c>
      <c r="CB33" s="8">
        <f t="shared" si="13"/>
        <v>0.95</v>
      </c>
    </row>
    <row r="34" spans="1:80" ht="15.6" thickBot="1">
      <c r="A34" s="9" t="s">
        <v>658</v>
      </c>
      <c r="B34" s="122">
        <f t="shared" si="6"/>
        <v>24</v>
      </c>
      <c r="C34" s="202" t="s">
        <v>28</v>
      </c>
      <c r="D34" s="277" t="str">
        <f>VLOOKUP($C34,Штаб!$B$16:$J$104,6,0)</f>
        <v>✔️</v>
      </c>
      <c r="E34" s="285" t="str">
        <f>VLOOKUP($C34,Штаб!$B$16:$J$104,7,0)</f>
        <v/>
      </c>
      <c r="F34" s="285" t="str">
        <f>VLOOKUP($C34,Штаб!$B$16:$J$104,8,0)</f>
        <v/>
      </c>
      <c r="G34" s="286" t="str">
        <f>VLOOKUP($C34,Штаб!$B$16:$J$104,9,0)</f>
        <v/>
      </c>
      <c r="H34" s="278" t="str">
        <f>VLOOKUP(C34,'РО - регионы'!$B$16:$I$104,8,0)</f>
        <v>0 / 1 / 1 из 2</v>
      </c>
      <c r="I34" s="237"/>
      <c r="J34" s="122"/>
      <c r="K34" s="94"/>
      <c r="L34" s="94"/>
      <c r="M34" s="98"/>
      <c r="N34" s="165">
        <f>VLOOKUP(C34,Спецтехника!$B$16:$J$104,4,0)</f>
        <v>94</v>
      </c>
      <c r="O34" s="168">
        <f>VLOOKUP(C34,Спецтехника!$B$16:$J$104,5,0)</f>
        <v>70</v>
      </c>
      <c r="P34" s="168">
        <f>VLOOKUP(C34,Спецтехника!$B$16:$J$104,6,0)</f>
        <v>24</v>
      </c>
      <c r="Q34" s="171">
        <f>VLOOKUP(C34,Спецтехника!$B$16:$J$104,7,0)</f>
        <v>0.25531914893617019</v>
      </c>
      <c r="R34" s="242"/>
      <c r="S34" s="122"/>
      <c r="T34" s="94"/>
      <c r="U34" s="94"/>
      <c r="V34" s="98"/>
      <c r="W34" s="165">
        <f>VLOOKUP($C34,МНО!$B$16:$AB$104,16,0)</f>
        <v>2818</v>
      </c>
      <c r="X34" s="168">
        <f>VLOOKUP($C34,МНО!$B$16:$AB$104,8,0)</f>
        <v>1118</v>
      </c>
      <c r="Y34" s="168">
        <f>VLOOKUP($C34,МНО!$B$16:$AB$104,11,0)</f>
        <v>1700</v>
      </c>
      <c r="Z34" s="174">
        <f>VLOOKUP($C34,МНО!$B$16:$AB$104,17,0)</f>
        <v>0.60326472675656495</v>
      </c>
      <c r="AA34" s="245"/>
      <c r="AB34" s="95">
        <f>VLOOKUP($C34,МНО!$B$16:$AB$104,13,0)</f>
        <v>2.3552171369271568</v>
      </c>
      <c r="AC34" s="154">
        <f>VLOOKUP($C34,МНО!$B$16:$AB$104,18,0)</f>
        <v>0.69527363184079605</v>
      </c>
      <c r="AD34" s="165">
        <f>VLOOKUP($C34,Контейнеры!$B$16:$AB$104,16,0)</f>
        <v>3974</v>
      </c>
      <c r="AE34" s="168">
        <f>VLOOKUP($C34,Контейнеры!$B$16:$AB$104,8,0)</f>
        <v>2474</v>
      </c>
      <c r="AF34" s="168">
        <f>VLOOKUP($C34,Контейнеры!$B$16:$AB$104,11,0)</f>
        <v>1500</v>
      </c>
      <c r="AG34" s="174">
        <f>VLOOKUP($C34,Контейнеры!$B$16:$AB$104,17,0)</f>
        <v>0.37745344740815301</v>
      </c>
      <c r="AH34" s="245"/>
      <c r="AI34" s="95">
        <f>VLOOKUP($C34,Контейнеры!$B$16:$AB$104,13,0)</f>
        <v>5.2826901149209311</v>
      </c>
      <c r="AJ34" s="154">
        <f>VLOOKUP($C34,Контейнеры!$B$16:$AB$104,18,0)</f>
        <v>0.57096699746134316</v>
      </c>
      <c r="AK34" s="135"/>
      <c r="AL34" s="94"/>
      <c r="AM34" s="94"/>
      <c r="AN34" s="116"/>
      <c r="AO34" s="80">
        <f>VLOOKUP($C34,Обработка!$B$16:$L$104,6,0)</f>
        <v>0.47700000000000004</v>
      </c>
      <c r="AP34" s="75">
        <f t="shared" si="7"/>
        <v>-6.6000000000000003E-2</v>
      </c>
      <c r="AQ34" s="74">
        <f>VLOOKUP($C34,Обработка!$B$16:$L$104,7,0)</f>
        <v>0.46</v>
      </c>
      <c r="AR34" s="179">
        <f t="shared" si="8"/>
        <v>-0.34700000000000003</v>
      </c>
      <c r="AS34" s="180">
        <f>VLOOKUP($C34,Утилизация!$B$16:$L$104,6,0)</f>
        <v>0.255</v>
      </c>
      <c r="AT34" s="76">
        <f t="shared" si="9"/>
        <v>0.11599999999999999</v>
      </c>
      <c r="AU34" s="74">
        <f>VLOOKUP($C34,Утилизация!$B$16:$L$104,7,0)</f>
        <v>0.18</v>
      </c>
      <c r="AV34" s="186">
        <f t="shared" si="10"/>
        <v>-0.10599999999999998</v>
      </c>
      <c r="AW34" s="161" t="str">
        <f>VLOOKUP(C34,Захоронение!$B$16:$Q$104,16,0)</f>
        <v/>
      </c>
      <c r="AX34" s="135"/>
      <c r="AY34" s="94"/>
      <c r="AZ34" s="94"/>
      <c r="BA34" s="98"/>
      <c r="BB34" s="127" t="str">
        <f>VLOOKUP(C34,'ДК ИП'!$B$16:$S$104,5,0)</f>
        <v>существенное</v>
      </c>
      <c r="BC34" s="288">
        <f>VLOOKUP(C34,Радар!$B$16:$G$104,6,0)</f>
        <v>5.5517357715418027E-2</v>
      </c>
      <c r="BD34" s="98"/>
      <c r="BF34" s="294">
        <f t="shared" si="11"/>
        <v>0.58333333333333337</v>
      </c>
      <c r="BI34" s="8">
        <f t="shared" si="12"/>
        <v>1</v>
      </c>
      <c r="BJ34" s="8">
        <f>VLOOKUP(C34,Штаб!$B$16:$C$104,2)</f>
        <v>0</v>
      </c>
      <c r="BK34" s="8">
        <f>VLOOKUP(C34,'РО - регионы'!$B$16:$C$104,2)</f>
        <v>1</v>
      </c>
      <c r="BL34" s="8">
        <f>VLOOKUP(C34,'РО - регионы'!$B$16:$L$104,11)</f>
        <v>2</v>
      </c>
      <c r="BM34" s="8">
        <f>VLOOKUP(C34,Спецтехника!$B$16:$C$104,2)</f>
        <v>2</v>
      </c>
      <c r="BN34" s="8">
        <f>VLOOKUP($C34,МНО!$B$16:$AB$104,6,0)</f>
        <v>2</v>
      </c>
      <c r="BO34" s="8">
        <f>VLOOKUP($C34,МНО!$B$16:$AB$104,4,0)</f>
        <v>2</v>
      </c>
      <c r="BP34" s="8">
        <f>VLOOKUP($C34,МНО!$B$16:$AB$104,5,0)</f>
        <v>1</v>
      </c>
      <c r="BQ34" s="8">
        <f>VLOOKUP($C34,Контейнеры!$B$16:$G$104,6,0)</f>
        <v>2</v>
      </c>
      <c r="BR34" s="8">
        <f>VLOOKUP($C34,Контейнеры!$B$16:$G$104,4,0)</f>
        <v>0</v>
      </c>
      <c r="BS34" s="8">
        <f>VLOOKUP($C34,Контейнеры!$B$16:$G$104,5,0)</f>
        <v>2</v>
      </c>
      <c r="BT34" s="8">
        <f>VLOOKUP($C34,'ДК МНО'!$B$16:$C$104,2,0)</f>
        <v>2</v>
      </c>
      <c r="BU34" s="8">
        <f>VLOOKUP($C34,Обработка!$B$16:$F$104,5,0)</f>
        <v>1</v>
      </c>
      <c r="BV34" s="8">
        <f>VLOOKUP($C34,Обработка!$B$16:$F$104,4,0)</f>
        <v>1</v>
      </c>
      <c r="BW34" s="8">
        <f>VLOOKUP($C34,Утилизация!$B$16:$F$104,5,0)</f>
        <v>1</v>
      </c>
      <c r="BX34" s="8">
        <f>VLOOKUP($C34,Утилизация!$B$16:$F$104,4,0)</f>
        <v>2</v>
      </c>
      <c r="BY34" s="8">
        <f>VLOOKUP($C34,Захоронение!$B$16:$C$104,2,0)</f>
        <v>0</v>
      </c>
      <c r="BZ34" s="8">
        <f>VLOOKUP($C34,'ДК ИП'!$B$16:$C$104,2,0)</f>
        <v>2</v>
      </c>
      <c r="CA34" s="8">
        <f>VLOOKUP(C34,Радар!$B$16:$G$104,2,0)</f>
        <v>2</v>
      </c>
      <c r="CB34" s="8">
        <f t="shared" si="13"/>
        <v>1.05</v>
      </c>
    </row>
    <row r="35" spans="1:80" ht="15.6" thickBot="1">
      <c r="A35" s="9" t="s">
        <v>653</v>
      </c>
      <c r="B35" s="121">
        <f t="shared" si="6"/>
        <v>25</v>
      </c>
      <c r="C35" s="202" t="s">
        <v>29</v>
      </c>
      <c r="D35" s="277" t="str">
        <f>VLOOKUP($C35,Штаб!$B$16:$J$104,6,0)</f>
        <v/>
      </c>
      <c r="E35" s="285" t="str">
        <f>VLOOKUP($C35,Штаб!$B$16:$J$104,7,0)</f>
        <v/>
      </c>
      <c r="F35" s="285" t="str">
        <f>VLOOKUP($C35,Штаб!$B$16:$J$104,8,0)</f>
        <v>✔️</v>
      </c>
      <c r="G35" s="286" t="str">
        <f>VLOOKUP($C35,Штаб!$B$16:$J$104,9,0)</f>
        <v/>
      </c>
      <c r="H35" s="278" t="str">
        <f>VLOOKUP(C35,'РО - регионы'!$B$16:$I$104,8,0)</f>
        <v>0 / 1 / 1 из 2</v>
      </c>
      <c r="I35" s="237"/>
      <c r="J35" s="122"/>
      <c r="K35" s="94"/>
      <c r="L35" s="94"/>
      <c r="M35" s="98"/>
      <c r="N35" s="163">
        <f>VLOOKUP(C35,Спецтехника!$B$16:$J$104,4,0)</f>
        <v>292</v>
      </c>
      <c r="O35" s="166">
        <f>VLOOKUP(C35,Спецтехника!$B$16:$J$104,5,0)</f>
        <v>292</v>
      </c>
      <c r="P35" s="166">
        <f>VLOOKUP(C35,Спецтехника!$B$16:$J$104,6,0)</f>
        <v>0</v>
      </c>
      <c r="Q35" s="169">
        <f>VLOOKUP(C35,Спецтехника!$B$16:$J$104,7,0)</f>
        <v>0</v>
      </c>
      <c r="R35" s="242"/>
      <c r="S35" s="122"/>
      <c r="T35" s="94"/>
      <c r="U35" s="94"/>
      <c r="V35" s="98"/>
      <c r="W35" s="165">
        <f>VLOOKUP($C35,МНО!$B$16:$AB$104,16,0)</f>
        <v>44859</v>
      </c>
      <c r="X35" s="168">
        <f>VLOOKUP($C35,МНО!$B$16:$AB$104,8,0)</f>
        <v>44859</v>
      </c>
      <c r="Y35" s="168">
        <f>VLOOKUP($C35,МНО!$B$16:$AB$104,11,0)</f>
        <v>0</v>
      </c>
      <c r="Z35" s="174">
        <f>VLOOKUP($C35,МНО!$B$16:$AB$104,17,0)</f>
        <v>0</v>
      </c>
      <c r="AA35" s="245"/>
      <c r="AB35" s="95">
        <f>VLOOKUP($C35,МНО!$B$16:$AB$104,13,0)</f>
        <v>16.830972758002954</v>
      </c>
      <c r="AC35" s="154">
        <f>VLOOKUP($C35,МНО!$B$16:$AB$104,18,0)</f>
        <v>0.97122629254351778</v>
      </c>
      <c r="AD35" s="165">
        <f>VLOOKUP($C35,Контейнеры!$B$16:$AB$104,16,0)</f>
        <v>65282</v>
      </c>
      <c r="AE35" s="168">
        <f>VLOOKUP($C35,Контейнеры!$B$16:$AB$104,8,0)</f>
        <v>65282</v>
      </c>
      <c r="AF35" s="168">
        <f>VLOOKUP($C35,Контейнеры!$B$16:$AB$104,11,0)</f>
        <v>0</v>
      </c>
      <c r="AG35" s="174">
        <f>VLOOKUP($C35,Контейнеры!$B$16:$AB$104,17,0)</f>
        <v>0</v>
      </c>
      <c r="AH35" s="245"/>
      <c r="AI35" s="95">
        <f>VLOOKUP($C35,Контейнеры!$B$16:$AB$104,13,0)</f>
        <v>25.624056986659259</v>
      </c>
      <c r="AJ35" s="154">
        <f>VLOOKUP($C35,Контейнеры!$B$16:$AB$104,18,0)</f>
        <v>1</v>
      </c>
      <c r="AK35" s="135"/>
      <c r="AL35" s="94"/>
      <c r="AM35" s="94"/>
      <c r="AN35" s="116"/>
      <c r="AO35" s="80">
        <f>VLOOKUP($C35,Обработка!$B$16:$L$104,6,0)</f>
        <v>0.36299999999999999</v>
      </c>
      <c r="AP35" s="75">
        <f t="shared" si="7"/>
        <v>-0.18000000000000005</v>
      </c>
      <c r="AQ35" s="75">
        <f>VLOOKUP($C35,Обработка!$B$16:$L$104,7,0)</f>
        <v>0.82900000000000007</v>
      </c>
      <c r="AR35" s="178">
        <f t="shared" si="8"/>
        <v>2.200000000000002E-2</v>
      </c>
      <c r="AS35" s="180">
        <f>VLOOKUP($C35,Утилизация!$B$16:$L$104,6,0)</f>
        <v>3.6000000000000004E-2</v>
      </c>
      <c r="AT35" s="76">
        <f t="shared" si="9"/>
        <v>-0.10300000000000001</v>
      </c>
      <c r="AU35" s="74">
        <f>VLOOKUP($C35,Утилизация!$B$16:$L$104,7,0)</f>
        <v>0.28300000000000003</v>
      </c>
      <c r="AV35" s="186">
        <f t="shared" si="10"/>
        <v>-2.9999999999999472E-3</v>
      </c>
      <c r="AW35" s="161" t="str">
        <f>VLOOKUP(C35,Захоронение!$B$16:$Q$104,16,0)</f>
        <v/>
      </c>
      <c r="AX35" s="135"/>
      <c r="AY35" s="94"/>
      <c r="AZ35" s="94"/>
      <c r="BA35" s="98"/>
      <c r="BB35" s="127" t="str">
        <f>VLOOKUP(C35,'ДК ИП'!$B$16:$S$104,5,0)</f>
        <v>нет</v>
      </c>
      <c r="BC35" s="288">
        <f>VLOOKUP(C35,Радар!$B$16:$G$104,6,0)</f>
        <v>3.6896255579577375E-2</v>
      </c>
      <c r="BD35" s="98"/>
      <c r="BF35" s="296">
        <f t="shared" si="11"/>
        <v>0.33333333333333331</v>
      </c>
      <c r="BI35" s="8">
        <f t="shared" si="12"/>
        <v>0</v>
      </c>
      <c r="BJ35" s="8">
        <f>VLOOKUP(C35,Штаб!$B$16:$C$104,2)</f>
        <v>1</v>
      </c>
      <c r="BK35" s="8">
        <f>VLOOKUP(C35,'РО - регионы'!$B$16:$C$104,2)</f>
        <v>1</v>
      </c>
      <c r="BL35" s="8">
        <f>VLOOKUP(C35,'РО - регионы'!$B$16:$L$104,11)</f>
        <v>2</v>
      </c>
      <c r="BM35" s="8">
        <f>VLOOKUP(C35,Спецтехника!$B$16:$C$104,2)</f>
        <v>0</v>
      </c>
      <c r="BN35" s="8">
        <f>VLOOKUP($C35,МНО!$B$16:$AB$104,6,0)</f>
        <v>2</v>
      </c>
      <c r="BO35" s="8">
        <f>VLOOKUP($C35,МНО!$B$16:$AB$104,4,0)</f>
        <v>0</v>
      </c>
      <c r="BP35" s="8">
        <f>VLOOKUP($C35,МНО!$B$16:$AB$104,5,0)</f>
        <v>0</v>
      </c>
      <c r="BQ35" s="8">
        <f>VLOOKUP($C35,Контейнеры!$B$16:$G$104,6,0)</f>
        <v>2</v>
      </c>
      <c r="BR35" s="8">
        <f>VLOOKUP($C35,Контейнеры!$B$16:$G$104,4,0)</f>
        <v>0</v>
      </c>
      <c r="BS35" s="8">
        <f>VLOOKUP($C35,Контейнеры!$B$16:$G$104,5,0)</f>
        <v>0</v>
      </c>
      <c r="BT35" s="8">
        <f>VLOOKUP($C35,'ДК МНО'!$B$16:$C$104,2,0)</f>
        <v>2</v>
      </c>
      <c r="BU35" s="8">
        <f>VLOOKUP($C35,Обработка!$B$16:$F$104,5,0)</f>
        <v>0</v>
      </c>
      <c r="BV35" s="8">
        <f>VLOOKUP($C35,Обработка!$B$16:$F$104,4,0)</f>
        <v>1</v>
      </c>
      <c r="BW35" s="8">
        <f>VLOOKUP($C35,Утилизация!$B$16:$F$104,5,0)</f>
        <v>1</v>
      </c>
      <c r="BX35" s="8">
        <f>VLOOKUP($C35,Утилизация!$B$16:$F$104,4,0)</f>
        <v>2</v>
      </c>
      <c r="BY35" s="8">
        <f>VLOOKUP($C35,Захоронение!$B$16:$C$104,2,0)</f>
        <v>0</v>
      </c>
      <c r="BZ35" s="8">
        <f>VLOOKUP($C35,'ДК ИП'!$B$16:$C$104,2,0)</f>
        <v>0</v>
      </c>
      <c r="CA35" s="8">
        <f>VLOOKUP(C35,Радар!$B$16:$G$104,2,0)</f>
        <v>2</v>
      </c>
      <c r="CB35" s="8">
        <f t="shared" si="13"/>
        <v>0.6</v>
      </c>
    </row>
    <row r="36" spans="1:80" ht="15.6" thickBot="1">
      <c r="A36" s="9" t="s">
        <v>659</v>
      </c>
      <c r="B36" s="122">
        <f t="shared" si="6"/>
        <v>26</v>
      </c>
      <c r="C36" s="202" t="s">
        <v>30</v>
      </c>
      <c r="D36" s="277" t="str">
        <f>VLOOKUP($C36,Штаб!$B$16:$J$104,6,0)</f>
        <v/>
      </c>
      <c r="E36" s="285" t="str">
        <f>VLOOKUP($C36,Штаб!$B$16:$J$104,7,0)</f>
        <v/>
      </c>
      <c r="F36" s="285" t="str">
        <f>VLOOKUP($C36,Штаб!$B$16:$J$104,8,0)</f>
        <v/>
      </c>
      <c r="G36" s="286" t="str">
        <f>VLOOKUP($C36,Штаб!$B$16:$J$104,9,0)</f>
        <v>✔️</v>
      </c>
      <c r="H36" s="279" t="str">
        <f>VLOOKUP(C36,'РО - регионы'!$B$16:$I$104,8,0)</f>
        <v>0 / 0 / 1 из 1</v>
      </c>
      <c r="I36" s="237"/>
      <c r="J36" s="122"/>
      <c r="K36" s="94"/>
      <c r="L36" s="94"/>
      <c r="M36" s="98"/>
      <c r="N36" s="163">
        <f>VLOOKUP(C36,Спецтехника!$B$16:$J$104,4,0)</f>
        <v>150</v>
      </c>
      <c r="O36" s="166">
        <f>VLOOKUP(C36,Спецтехника!$B$16:$J$104,5,0)</f>
        <v>150</v>
      </c>
      <c r="P36" s="166">
        <f>VLOOKUP(C36,Спецтехника!$B$16:$J$104,6,0)</f>
        <v>0</v>
      </c>
      <c r="Q36" s="169">
        <f>VLOOKUP(C36,Спецтехника!$B$16:$J$104,7,0)</f>
        <v>0</v>
      </c>
      <c r="R36" s="242"/>
      <c r="S36" s="122"/>
      <c r="T36" s="94"/>
      <c r="U36" s="94"/>
      <c r="V36" s="98"/>
      <c r="W36" s="163">
        <f>VLOOKUP($C36,МНО!$B$16:$AB$104,16,0)</f>
        <v>14213</v>
      </c>
      <c r="X36" s="166">
        <f>VLOOKUP($C36,МНО!$B$16:$AB$104,8,0)</f>
        <v>12185</v>
      </c>
      <c r="Y36" s="166">
        <f>VLOOKUP($C36,МНО!$B$16:$AB$104,11,0)</f>
        <v>2028</v>
      </c>
      <c r="Z36" s="173">
        <f>VLOOKUP($C36,МНО!$B$16:$AB$104,17,0)</f>
        <v>0.14268627313023288</v>
      </c>
      <c r="AA36" s="245"/>
      <c r="AB36" s="95">
        <f>VLOOKUP($C36,МНО!$B$16:$AB$104,13,0)</f>
        <v>10.173151552965436</v>
      </c>
      <c r="AC36" s="154">
        <f>VLOOKUP($C36,МНО!$B$16:$AB$104,18,0)</f>
        <v>0.67164590453092277</v>
      </c>
      <c r="AD36" s="164">
        <f>VLOOKUP($C36,Контейнеры!$B$16:$AB$104,16,0)</f>
        <v>24306</v>
      </c>
      <c r="AE36" s="167">
        <f>VLOOKUP($C36,Контейнеры!$B$16:$AB$104,8,0)</f>
        <v>19704</v>
      </c>
      <c r="AF36" s="167">
        <f>VLOOKUP($C36,Контейнеры!$B$16:$AB$104,11,0)</f>
        <v>4602</v>
      </c>
      <c r="AG36" s="172">
        <f>VLOOKUP($C36,Контейнеры!$B$16:$AB$104,17,0)</f>
        <v>0.18933596642804246</v>
      </c>
      <c r="AH36" s="245"/>
      <c r="AI36" s="95">
        <f>VLOOKUP($C36,Контейнеры!$B$16:$AB$104,13,0)</f>
        <v>17.438171222238449</v>
      </c>
      <c r="AJ36" s="154">
        <f>VLOOKUP($C36,Контейнеры!$B$16:$AB$104,18,0)</f>
        <v>0.64963238930467182</v>
      </c>
      <c r="AK36" s="135"/>
      <c r="AL36" s="94"/>
      <c r="AM36" s="94"/>
      <c r="AN36" s="116"/>
      <c r="AO36" s="79">
        <f>VLOOKUP($C36,Обработка!$B$16:$L$104,6,0)</f>
        <v>0</v>
      </c>
      <c r="AP36" s="75">
        <f t="shared" si="7"/>
        <v>-0.54300000000000004</v>
      </c>
      <c r="AQ36" s="74">
        <f>VLOOKUP($C36,Обработка!$B$16:$L$104,7,0)</f>
        <v>0.78799999999999992</v>
      </c>
      <c r="AR36" s="179">
        <f t="shared" si="8"/>
        <v>-1.9000000000000128E-2</v>
      </c>
      <c r="AS36" s="180">
        <f>VLOOKUP($C36,Утилизация!$B$16:$L$104,6,0)</f>
        <v>0</v>
      </c>
      <c r="AT36" s="76">
        <f t="shared" si="9"/>
        <v>-0.13900000000000001</v>
      </c>
      <c r="AU36" s="75">
        <f>VLOOKUP($C36,Утилизация!$B$16:$L$104,7,0)</f>
        <v>0.30430000000000001</v>
      </c>
      <c r="AV36" s="185">
        <f t="shared" si="10"/>
        <v>1.8300000000000038E-2</v>
      </c>
      <c r="AW36" s="161" t="str">
        <f>VLOOKUP(C36,Захоронение!$B$16:$Q$104,16,0)</f>
        <v/>
      </c>
      <c r="AX36" s="135"/>
      <c r="AY36" s="94"/>
      <c r="AZ36" s="94"/>
      <c r="BA36" s="98"/>
      <c r="BB36" s="127" t="str">
        <f>VLOOKUP(C36,'ДК ИП'!$B$16:$S$104,5,0)</f>
        <v>небольшое</v>
      </c>
      <c r="BC36" s="290">
        <f>VLOOKUP(C36,Радар!$B$16:$G$104,6,0)</f>
        <v>3.2745246407979219E-2</v>
      </c>
      <c r="BD36" s="98"/>
      <c r="BF36" s="296">
        <f t="shared" si="11"/>
        <v>0.41666666666666669</v>
      </c>
      <c r="BI36" s="8">
        <f t="shared" si="12"/>
        <v>0</v>
      </c>
      <c r="BJ36" s="8">
        <f>VLOOKUP(C36,Штаб!$B$16:$C$104,2)</f>
        <v>2</v>
      </c>
      <c r="BK36" s="8">
        <f>VLOOKUP(C36,'РО - регионы'!$B$16:$C$104,2)</f>
        <v>0</v>
      </c>
      <c r="BL36" s="8">
        <f>VLOOKUP(C36,'РО - регионы'!$B$16:$L$104,11)</f>
        <v>0</v>
      </c>
      <c r="BM36" s="8">
        <f>VLOOKUP(C36,Спецтехника!$B$16:$C$104,2)</f>
        <v>0</v>
      </c>
      <c r="BN36" s="8">
        <f>VLOOKUP($C36,МНО!$B$16:$AB$104,6,0)</f>
        <v>0</v>
      </c>
      <c r="BO36" s="8">
        <f>VLOOKUP($C36,МНО!$B$16:$AB$104,4,0)</f>
        <v>0</v>
      </c>
      <c r="BP36" s="8">
        <f>VLOOKUP($C36,МНО!$B$16:$AB$104,5,0)</f>
        <v>2</v>
      </c>
      <c r="BQ36" s="8">
        <f>VLOOKUP($C36,Контейнеры!$B$16:$G$104,6,0)</f>
        <v>1</v>
      </c>
      <c r="BR36" s="8">
        <f>VLOOKUP($C36,Контейнеры!$B$16:$G$104,4,0)</f>
        <v>0</v>
      </c>
      <c r="BS36" s="8">
        <f>VLOOKUP($C36,Контейнеры!$B$16:$G$104,5,0)</f>
        <v>2</v>
      </c>
      <c r="BT36" s="8">
        <f>VLOOKUP($C36,'ДК МНО'!$B$16:$C$104,2,0)</f>
        <v>2</v>
      </c>
      <c r="BU36" s="8">
        <f>VLOOKUP($C36,Обработка!$B$16:$F$104,5,0)</f>
        <v>1</v>
      </c>
      <c r="BV36" s="8">
        <f>VLOOKUP($C36,Обработка!$B$16:$F$104,4,0)</f>
        <v>2</v>
      </c>
      <c r="BW36" s="8">
        <f>VLOOKUP($C36,Утилизация!$B$16:$F$104,5,0)</f>
        <v>0</v>
      </c>
      <c r="BX36" s="8">
        <f>VLOOKUP($C36,Утилизация!$B$16:$F$104,4,0)</f>
        <v>2</v>
      </c>
      <c r="BY36" s="8">
        <f>VLOOKUP($C36,Захоронение!$B$16:$C$104,2,0)</f>
        <v>0</v>
      </c>
      <c r="BZ36" s="8">
        <f>VLOOKUP($C36,'ДК ИП'!$B$16:$C$104,2,0)</f>
        <v>0</v>
      </c>
      <c r="CA36" s="8">
        <f>VLOOKUP(C36,Радар!$B$16:$G$104,2,0)</f>
        <v>1</v>
      </c>
      <c r="CB36" s="8">
        <f t="shared" si="13"/>
        <v>0.30000000000000004</v>
      </c>
    </row>
    <row r="37" spans="1:80" ht="15.6" thickBot="1">
      <c r="A37" s="9" t="s">
        <v>657</v>
      </c>
      <c r="B37" s="121">
        <f t="shared" si="6"/>
        <v>27</v>
      </c>
      <c r="C37" s="202" t="s">
        <v>31</v>
      </c>
      <c r="D37" s="277" t="str">
        <f>VLOOKUP($C37,Штаб!$B$16:$J$104,6,0)</f>
        <v>✔️</v>
      </c>
      <c r="E37" s="285" t="str">
        <f>VLOOKUP($C37,Штаб!$B$16:$J$104,7,0)</f>
        <v/>
      </c>
      <c r="F37" s="285" t="str">
        <f>VLOOKUP($C37,Штаб!$B$16:$J$104,8,0)</f>
        <v/>
      </c>
      <c r="G37" s="286" t="str">
        <f>VLOOKUP($C37,Штаб!$B$16:$J$104,9,0)</f>
        <v/>
      </c>
      <c r="H37" s="279" t="str">
        <f>VLOOKUP(C37,'РО - регионы'!$B$16:$I$104,8,0)</f>
        <v>0 / 0 / 3 из 3</v>
      </c>
      <c r="I37" s="237"/>
      <c r="J37" s="122"/>
      <c r="K37" s="94"/>
      <c r="L37" s="94"/>
      <c r="M37" s="98"/>
      <c r="N37" s="163">
        <f>VLOOKUP(C37,Спецтехника!$B$16:$J$104,4,0)</f>
        <v>141</v>
      </c>
      <c r="O37" s="166">
        <f>VLOOKUP(C37,Спецтехника!$B$16:$J$104,5,0)</f>
        <v>136</v>
      </c>
      <c r="P37" s="166">
        <f>VLOOKUP(C37,Спецтехника!$B$16:$J$104,6,0)</f>
        <v>5</v>
      </c>
      <c r="Q37" s="169">
        <f>VLOOKUP(C37,Спецтехника!$B$16:$J$104,7,0)</f>
        <v>3.5460992907801421E-2</v>
      </c>
      <c r="R37" s="242"/>
      <c r="S37" s="122"/>
      <c r="T37" s="94"/>
      <c r="U37" s="94"/>
      <c r="V37" s="98"/>
      <c r="W37" s="163">
        <f>VLOOKUP($C37,МНО!$B$16:$AB$104,16,0)</f>
        <v>5093</v>
      </c>
      <c r="X37" s="166">
        <f>VLOOKUP($C37,МНО!$B$16:$AB$104,8,0)</f>
        <v>4920</v>
      </c>
      <c r="Y37" s="166">
        <f>VLOOKUP($C37,МНО!$B$16:$AB$104,11,0)</f>
        <v>173</v>
      </c>
      <c r="Z37" s="173">
        <f>VLOOKUP($C37,МНО!$B$16:$AB$104,17,0)</f>
        <v>3.3968191635578245E-2</v>
      </c>
      <c r="AA37" s="245"/>
      <c r="AB37" s="95">
        <f>VLOOKUP($C37,МНО!$B$16:$AB$104,13,0)</f>
        <v>8.42713495071221</v>
      </c>
      <c r="AC37" s="154">
        <f>VLOOKUP($C37,МНО!$B$16:$AB$104,18,0)</f>
        <v>0.74118710454956316</v>
      </c>
      <c r="AD37" s="163">
        <f>VLOOKUP($C37,Контейнеры!$B$16:$AB$104,16,0)</f>
        <v>11667</v>
      </c>
      <c r="AE37" s="166">
        <f>VLOOKUP($C37,Контейнеры!$B$16:$AB$104,8,0)</f>
        <v>11159</v>
      </c>
      <c r="AF37" s="166">
        <f>VLOOKUP($C37,Контейнеры!$B$16:$AB$104,11,0)</f>
        <v>508</v>
      </c>
      <c r="AG37" s="173">
        <f>VLOOKUP($C37,Контейнеры!$B$16:$AB$104,17,0)</f>
        <v>4.3541613096768662E-2</v>
      </c>
      <c r="AH37" s="245"/>
      <c r="AI37" s="95">
        <f>VLOOKUP($C37,Контейнеры!$B$16:$AB$104,13,0)</f>
        <v>19.706286444886327</v>
      </c>
      <c r="AJ37" s="154">
        <f>VLOOKUP($C37,Контейнеры!$B$16:$AB$104,18,0)</f>
        <v>0.82689885142645425</v>
      </c>
      <c r="AK37" s="135"/>
      <c r="AL37" s="94"/>
      <c r="AM37" s="94"/>
      <c r="AN37" s="116"/>
      <c r="AO37" s="78">
        <f>VLOOKUP($C37,Обработка!$B$16:$L$104,6,0)</f>
        <v>0.94200000000000006</v>
      </c>
      <c r="AP37" s="75">
        <f t="shared" si="7"/>
        <v>0.39900000000000002</v>
      </c>
      <c r="AQ37" s="75">
        <f>VLOOKUP($C37,Обработка!$B$16:$L$104,7,0)</f>
        <v>0.85</v>
      </c>
      <c r="AR37" s="178">
        <f t="shared" si="8"/>
        <v>4.2999999999999927E-2</v>
      </c>
      <c r="AS37" s="180">
        <f>VLOOKUP($C37,Утилизация!$B$16:$L$104,6,0)</f>
        <v>0.77400000000000002</v>
      </c>
      <c r="AT37" s="76">
        <f t="shared" si="9"/>
        <v>0.63500000000000001</v>
      </c>
      <c r="AU37" s="76">
        <f>VLOOKUP($C37,Утилизация!$B$16:$L$104,7,0)</f>
        <v>7.0000000000000007E-2</v>
      </c>
      <c r="AV37" s="184">
        <f t="shared" si="10"/>
        <v>-0.21599999999999997</v>
      </c>
      <c r="AW37" s="160" t="str">
        <f>VLOOKUP(C37,Захоронение!$B$16:$Q$104,16,0)</f>
        <v>перегруз</v>
      </c>
      <c r="AX37" s="135"/>
      <c r="AY37" s="94"/>
      <c r="AZ37" s="94"/>
      <c r="BA37" s="98"/>
      <c r="BB37" s="127" t="str">
        <f>VLOOKUP(C37,'ДК ИП'!$B$16:$S$104,5,0)</f>
        <v>небольшое</v>
      </c>
      <c r="BC37" s="290">
        <f>VLOOKUP(C37,Радар!$B$16:$G$104,6,0)</f>
        <v>5.8276499030490973E-2</v>
      </c>
      <c r="BD37" s="98"/>
      <c r="BF37" s="294">
        <f t="shared" si="11"/>
        <v>0.66666666666666663</v>
      </c>
      <c r="BI37" s="8">
        <f t="shared" si="12"/>
        <v>0</v>
      </c>
      <c r="BJ37" s="8">
        <f>VLOOKUP(C37,Штаб!$B$16:$C$104,2)</f>
        <v>0</v>
      </c>
      <c r="BK37" s="8">
        <f>VLOOKUP(C37,'РО - регионы'!$B$16:$C$104,2)</f>
        <v>0</v>
      </c>
      <c r="BL37" s="8">
        <f>VLOOKUP(C37,'РО - регионы'!$B$16:$L$104,11)</f>
        <v>0</v>
      </c>
      <c r="BM37" s="8">
        <f>VLOOKUP(C37,Спецтехника!$B$16:$C$104,2)</f>
        <v>0</v>
      </c>
      <c r="BN37" s="8">
        <f>VLOOKUP($C37,МНО!$B$16:$AB$104,6,0)</f>
        <v>0</v>
      </c>
      <c r="BO37" s="8">
        <f>VLOOKUP($C37,МНО!$B$16:$AB$104,4,0)</f>
        <v>0</v>
      </c>
      <c r="BP37" s="8">
        <f>VLOOKUP($C37,МНО!$B$16:$AB$104,5,0)</f>
        <v>1</v>
      </c>
      <c r="BQ37" s="8">
        <f>VLOOKUP($C37,Контейнеры!$B$16:$G$104,6,0)</f>
        <v>0</v>
      </c>
      <c r="BR37" s="8">
        <f>VLOOKUP($C37,Контейнеры!$B$16:$G$104,4,0)</f>
        <v>0</v>
      </c>
      <c r="BS37" s="8">
        <f>VLOOKUP($C37,Контейнеры!$B$16:$G$104,5,0)</f>
        <v>1</v>
      </c>
      <c r="BT37" s="8">
        <f>VLOOKUP($C37,'ДК МНО'!$B$16:$C$104,2,0)</f>
        <v>2</v>
      </c>
      <c r="BU37" s="8">
        <f>VLOOKUP($C37,Обработка!$B$16:$F$104,5,0)</f>
        <v>0</v>
      </c>
      <c r="BV37" s="8">
        <f>VLOOKUP($C37,Обработка!$B$16:$F$104,4,0)</f>
        <v>0</v>
      </c>
      <c r="BW37" s="8">
        <f>VLOOKUP($C37,Утилизация!$B$16:$F$104,5,0)</f>
        <v>2</v>
      </c>
      <c r="BX37" s="8">
        <f>VLOOKUP($C37,Утилизация!$B$16:$F$104,4,0)</f>
        <v>2</v>
      </c>
      <c r="BY37" s="8">
        <f>VLOOKUP($C37,Захоронение!$B$16:$C$104,2,0)</f>
        <v>1</v>
      </c>
      <c r="BZ37" s="8">
        <f>VLOOKUP($C37,'ДК ИП'!$B$16:$C$104,2,0)</f>
        <v>0</v>
      </c>
      <c r="CA37" s="8">
        <f>VLOOKUP(C37,Радар!$B$16:$G$104,2,0)</f>
        <v>1</v>
      </c>
      <c r="CB37" s="8">
        <f t="shared" si="13"/>
        <v>0.45</v>
      </c>
    </row>
    <row r="38" spans="1:80" ht="15.6" thickBot="1">
      <c r="A38" s="9" t="s">
        <v>656</v>
      </c>
      <c r="B38" s="122">
        <f t="shared" si="6"/>
        <v>28</v>
      </c>
      <c r="C38" s="202" t="s">
        <v>32</v>
      </c>
      <c r="D38" s="277" t="str">
        <f>VLOOKUP($C38,Штаб!$B$16:$J$104,6,0)</f>
        <v>✔️</v>
      </c>
      <c r="E38" s="285" t="str">
        <f>VLOOKUP($C38,Штаб!$B$16:$J$104,7,0)</f>
        <v/>
      </c>
      <c r="F38" s="285" t="str">
        <f>VLOOKUP($C38,Штаб!$B$16:$J$104,8,0)</f>
        <v/>
      </c>
      <c r="G38" s="286" t="str">
        <f>VLOOKUP($C38,Штаб!$B$16:$J$104,9,0)</f>
        <v/>
      </c>
      <c r="H38" s="278" t="str">
        <f>VLOOKUP(C38,'РО - регионы'!$B$16:$I$104,8,0)</f>
        <v>0 / 6 / 6 из 12</v>
      </c>
      <c r="I38" s="237"/>
      <c r="J38" s="122"/>
      <c r="K38" s="94"/>
      <c r="L38" s="94"/>
      <c r="M38" s="98"/>
      <c r="N38" s="163">
        <f>VLOOKUP(C38,Спецтехника!$B$16:$J$104,4,0)</f>
        <v>1042</v>
      </c>
      <c r="O38" s="166">
        <f>VLOOKUP(C38,Спецтехника!$B$16:$J$104,5,0)</f>
        <v>989</v>
      </c>
      <c r="P38" s="166">
        <f>VLOOKUP(C38,Спецтехника!$B$16:$J$104,6,0)</f>
        <v>53</v>
      </c>
      <c r="Q38" s="169">
        <f>VLOOKUP(C38,Спецтехника!$B$16:$J$104,7,0)</f>
        <v>5.0863723608445301E-2</v>
      </c>
      <c r="R38" s="242"/>
      <c r="S38" s="122"/>
      <c r="T38" s="94"/>
      <c r="U38" s="94"/>
      <c r="V38" s="98"/>
      <c r="W38" s="164">
        <f>VLOOKUP($C38,МНО!$B$16:$AB$104,16,0)</f>
        <v>28633</v>
      </c>
      <c r="X38" s="167">
        <f>VLOOKUP($C38,МНО!$B$16:$AB$104,8,0)</f>
        <v>21178</v>
      </c>
      <c r="Y38" s="167">
        <f>VLOOKUP($C38,МНО!$B$16:$AB$104,11,0)</f>
        <v>7455</v>
      </c>
      <c r="Z38" s="172">
        <f>VLOOKUP($C38,МНО!$B$16:$AB$104,17,0)</f>
        <v>0.26036391576153389</v>
      </c>
      <c r="AA38" s="245"/>
      <c r="AB38" s="95">
        <f>VLOOKUP($C38,МНО!$B$16:$AB$104,13,0)</f>
        <v>3.5676312128814631</v>
      </c>
      <c r="AC38" s="154">
        <f>VLOOKUP($C38,МНО!$B$16:$AB$104,18,0)</f>
        <v>0.44242500208907831</v>
      </c>
      <c r="AD38" s="164">
        <f>VLOOKUP($C38,Контейнеры!$B$16:$AB$104,16,0)</f>
        <v>57310</v>
      </c>
      <c r="AE38" s="167">
        <f>VLOOKUP($C38,Контейнеры!$B$16:$AB$104,8,0)</f>
        <v>42974</v>
      </c>
      <c r="AF38" s="167">
        <f>VLOOKUP($C38,Контейнеры!$B$16:$AB$104,11,0)</f>
        <v>14336</v>
      </c>
      <c r="AG38" s="172">
        <f>VLOOKUP($C38,Контейнеры!$B$16:$AB$104,17,0)</f>
        <v>0.25014831617518757</v>
      </c>
      <c r="AH38" s="245"/>
      <c r="AI38" s="95">
        <f>VLOOKUP($C38,Контейнеры!$B$16:$AB$104,13,0)</f>
        <v>7.3673898963175395</v>
      </c>
      <c r="AJ38" s="154">
        <f>VLOOKUP($C38,Контейнеры!$B$16:$AB$104,18,0)</f>
        <v>0.45800827045231701</v>
      </c>
      <c r="AK38" s="135"/>
      <c r="AL38" s="94"/>
      <c r="AM38" s="94"/>
      <c r="AN38" s="116"/>
      <c r="AO38" s="80">
        <f>VLOOKUP($C38,Обработка!$B$16:$L$104,6,0)</f>
        <v>0.45799999999999996</v>
      </c>
      <c r="AP38" s="75">
        <f t="shared" si="7"/>
        <v>-8.5000000000000075E-2</v>
      </c>
      <c r="AQ38" s="74">
        <f>VLOOKUP($C38,Обработка!$B$16:$L$104,7,0)</f>
        <v>0.71900000000000008</v>
      </c>
      <c r="AR38" s="179">
        <f t="shared" si="8"/>
        <v>-8.7999999999999967E-2</v>
      </c>
      <c r="AS38" s="180">
        <f>VLOOKUP($C38,Утилизация!$B$16:$L$104,6,0)</f>
        <v>2.6000000000000002E-2</v>
      </c>
      <c r="AT38" s="76">
        <f t="shared" si="9"/>
        <v>-0.11300000000000002</v>
      </c>
      <c r="AU38" s="74">
        <f>VLOOKUP($C38,Утилизация!$B$16:$L$104,7,0)</f>
        <v>0.192</v>
      </c>
      <c r="AV38" s="186">
        <f t="shared" si="10"/>
        <v>-9.3999999999999972E-2</v>
      </c>
      <c r="AW38" s="162" t="str">
        <f>VLOOKUP(C38,Захоронение!$B$16:$Q$104,16,0)</f>
        <v>765 приказ</v>
      </c>
      <c r="AX38" s="135"/>
      <c r="AY38" s="94"/>
      <c r="AZ38" s="94"/>
      <c r="BA38" s="98"/>
      <c r="BB38" s="127" t="str">
        <f>VLOOKUP(C38,'ДК ИП'!$B$16:$S$104,5,0)</f>
        <v>небольшое</v>
      </c>
      <c r="BC38" s="288">
        <f>VLOOKUP(C38,Радар!$B$16:$G$104,6,0)</f>
        <v>0.10869188798495183</v>
      </c>
      <c r="BD38" s="98"/>
      <c r="BF38" s="293">
        <f t="shared" si="11"/>
        <v>1.0833333333333333</v>
      </c>
      <c r="BI38" s="8">
        <f t="shared" si="12"/>
        <v>1</v>
      </c>
      <c r="BJ38" s="8">
        <f>VLOOKUP(C38,Штаб!$B$16:$C$104,2)</f>
        <v>0</v>
      </c>
      <c r="BK38" s="8">
        <f>VLOOKUP(C38,'РО - регионы'!$B$16:$C$104,2)</f>
        <v>1</v>
      </c>
      <c r="BL38" s="8">
        <f>VLOOKUP(C38,'РО - регионы'!$B$16:$L$104,11)</f>
        <v>2</v>
      </c>
      <c r="BM38" s="8">
        <f>VLOOKUP(C38,Спецтехника!$B$16:$C$104,2)</f>
        <v>0</v>
      </c>
      <c r="BN38" s="8">
        <f>VLOOKUP($C38,МНО!$B$16:$AB$104,6,0)</f>
        <v>1</v>
      </c>
      <c r="BO38" s="8">
        <f>VLOOKUP($C38,МНО!$B$16:$AB$104,4,0)</f>
        <v>1</v>
      </c>
      <c r="BP38" s="8">
        <f>VLOOKUP($C38,МНО!$B$16:$AB$104,5,0)</f>
        <v>2</v>
      </c>
      <c r="BQ38" s="8">
        <f>VLOOKUP($C38,Контейнеры!$B$16:$G$104,6,0)</f>
        <v>1</v>
      </c>
      <c r="BR38" s="8">
        <f>VLOOKUP($C38,Контейнеры!$B$16:$G$104,4,0)</f>
        <v>0</v>
      </c>
      <c r="BS38" s="8">
        <f>VLOOKUP($C38,Контейнеры!$B$16:$G$104,5,0)</f>
        <v>2</v>
      </c>
      <c r="BT38" s="8">
        <f>VLOOKUP($C38,'ДК МНО'!$B$16:$C$104,2,0)</f>
        <v>2</v>
      </c>
      <c r="BU38" s="8">
        <f>VLOOKUP($C38,Обработка!$B$16:$F$104,5,0)</f>
        <v>1</v>
      </c>
      <c r="BV38" s="8">
        <f>VLOOKUP($C38,Обработка!$B$16:$F$104,4,0)</f>
        <v>1</v>
      </c>
      <c r="BW38" s="8">
        <f>VLOOKUP($C38,Утилизация!$B$16:$F$104,5,0)</f>
        <v>1</v>
      </c>
      <c r="BX38" s="8">
        <f>VLOOKUP($C38,Утилизация!$B$16:$F$104,4,0)</f>
        <v>2</v>
      </c>
      <c r="BY38" s="8">
        <f>VLOOKUP($C38,Захоронение!$B$16:$C$104,2,0)</f>
        <v>2</v>
      </c>
      <c r="BZ38" s="8">
        <f>VLOOKUP($C38,'ДК ИП'!$B$16:$C$104,2,0)</f>
        <v>0</v>
      </c>
      <c r="CA38" s="8">
        <f>VLOOKUP(C38,Радар!$B$16:$G$104,2,0)</f>
        <v>2</v>
      </c>
      <c r="CB38" s="8">
        <f t="shared" si="13"/>
        <v>1.1000000000000001</v>
      </c>
    </row>
    <row r="39" spans="1:80" ht="15.6" thickBot="1">
      <c r="A39" s="9" t="s">
        <v>653</v>
      </c>
      <c r="B39" s="121">
        <f t="shared" si="6"/>
        <v>29</v>
      </c>
      <c r="C39" s="202" t="s">
        <v>33</v>
      </c>
      <c r="D39" s="277" t="str">
        <f>VLOOKUP($C39,Штаб!$B$16:$J$104,6,0)</f>
        <v/>
      </c>
      <c r="E39" s="285" t="str">
        <f>VLOOKUP($C39,Штаб!$B$16:$J$104,7,0)</f>
        <v>✔️</v>
      </c>
      <c r="F39" s="285" t="str">
        <f>VLOOKUP($C39,Штаб!$B$16:$J$104,8,0)</f>
        <v/>
      </c>
      <c r="G39" s="286" t="str">
        <f>VLOOKUP($C39,Штаб!$B$16:$J$104,9,0)</f>
        <v/>
      </c>
      <c r="H39" s="278" t="str">
        <f>VLOOKUP(C39,'РО - регионы'!$B$16:$I$104,8,0)</f>
        <v>0 / 2 / 12 из 14</v>
      </c>
      <c r="I39" s="237"/>
      <c r="J39" s="122"/>
      <c r="K39" s="94"/>
      <c r="L39" s="94"/>
      <c r="M39" s="98"/>
      <c r="N39" s="163">
        <f>VLOOKUP(C39,Спецтехника!$B$16:$J$104,4,0)</f>
        <v>443</v>
      </c>
      <c r="O39" s="166">
        <f>VLOOKUP(C39,Спецтехника!$B$16:$J$104,5,0)</f>
        <v>426</v>
      </c>
      <c r="P39" s="166">
        <f>VLOOKUP(C39,Спецтехника!$B$16:$J$104,6,0)</f>
        <v>17</v>
      </c>
      <c r="Q39" s="169">
        <f>VLOOKUP(C39,Спецтехника!$B$16:$J$104,7,0)</f>
        <v>3.8374717832957109E-2</v>
      </c>
      <c r="R39" s="242"/>
      <c r="S39" s="122"/>
      <c r="T39" s="94"/>
      <c r="U39" s="94"/>
      <c r="V39" s="98"/>
      <c r="W39" s="164">
        <f>VLOOKUP($C39,МНО!$B$16:$AB$104,16,0)</f>
        <v>29212</v>
      </c>
      <c r="X39" s="167">
        <f>VLOOKUP($C39,МНО!$B$16:$AB$104,8,0)</f>
        <v>23450</v>
      </c>
      <c r="Y39" s="167">
        <f>VLOOKUP($C39,МНО!$B$16:$AB$104,11,0)</f>
        <v>5762</v>
      </c>
      <c r="Z39" s="172">
        <f>VLOOKUP($C39,МНО!$B$16:$AB$104,17,0)</f>
        <v>0.19724770642201836</v>
      </c>
      <c r="AA39" s="245"/>
      <c r="AB39" s="95">
        <f>VLOOKUP($C39,МНО!$B$16:$AB$104,13,0)</f>
        <v>4.4059983416019</v>
      </c>
      <c r="AC39" s="154">
        <f>VLOOKUP($C39,МНО!$B$16:$AB$104,18,0)</f>
        <v>0.47471557552937366</v>
      </c>
      <c r="AD39" s="163">
        <f>VLOOKUP($C39,Контейнеры!$B$16:$AB$104,16,0)</f>
        <v>49553</v>
      </c>
      <c r="AE39" s="166">
        <f>VLOOKUP($C39,Контейнеры!$B$16:$AB$104,8,0)</f>
        <v>42103</v>
      </c>
      <c r="AF39" s="166">
        <f>VLOOKUP($C39,Контейнеры!$B$16:$AB$104,11,0)</f>
        <v>7450</v>
      </c>
      <c r="AG39" s="173">
        <f>VLOOKUP($C39,Контейнеры!$B$16:$AB$104,17,0)</f>
        <v>0.15034407603979577</v>
      </c>
      <c r="AH39" s="245"/>
      <c r="AI39" s="95">
        <f>VLOOKUP($C39,Контейнеры!$B$16:$AB$104,13,0)</f>
        <v>14.7931218641519</v>
      </c>
      <c r="AJ39" s="154">
        <f>VLOOKUP($C39,Контейнеры!$B$16:$AB$104,18,0)</f>
        <v>0.51786570890886952</v>
      </c>
      <c r="AK39" s="135"/>
      <c r="AL39" s="94"/>
      <c r="AM39" s="94"/>
      <c r="AN39" s="116"/>
      <c r="AO39" s="80">
        <f>VLOOKUP($C39,Обработка!$B$16:$L$104,6,0)</f>
        <v>0.39799999999999996</v>
      </c>
      <c r="AP39" s="75">
        <f t="shared" si="7"/>
        <v>-0.14500000000000007</v>
      </c>
      <c r="AQ39" s="75">
        <f>VLOOKUP($C39,Обработка!$B$16:$L$104,7,0)</f>
        <v>1</v>
      </c>
      <c r="AR39" s="178">
        <f t="shared" si="8"/>
        <v>0.19299999999999995</v>
      </c>
      <c r="AS39" s="180">
        <f>VLOOKUP($C39,Утилизация!$B$16:$L$104,6,0)</f>
        <v>3.3000000000000002E-2</v>
      </c>
      <c r="AT39" s="76">
        <f t="shared" si="9"/>
        <v>-0.10600000000000001</v>
      </c>
      <c r="AU39" s="74">
        <f>VLOOKUP($C39,Утилизация!$B$16:$L$104,7,0)</f>
        <v>0.20399999999999999</v>
      </c>
      <c r="AV39" s="186">
        <f t="shared" si="10"/>
        <v>-8.199999999999999E-2</v>
      </c>
      <c r="AW39" s="162" t="str">
        <f>VLOOKUP(C39,Захоронение!$B$16:$Q$104,16,0)</f>
        <v>белые пятна</v>
      </c>
      <c r="AX39" s="135"/>
      <c r="AY39" s="94"/>
      <c r="AZ39" s="94"/>
      <c r="BA39" s="98"/>
      <c r="BB39" s="127" t="str">
        <f>VLOOKUP(C39,'ДК ИП'!$B$16:$S$104,5,0)</f>
        <v>среднее</v>
      </c>
      <c r="BC39" s="288">
        <f>VLOOKUP(C39,Радар!$B$16:$G$104,6,0)</f>
        <v>3.1621997666999281E-2</v>
      </c>
      <c r="BD39" s="98"/>
      <c r="BF39" s="293">
        <f t="shared" si="11"/>
        <v>1.0833333333333333</v>
      </c>
      <c r="BI39" s="8">
        <f t="shared" si="12"/>
        <v>1</v>
      </c>
      <c r="BJ39" s="8">
        <f>VLOOKUP(C39,Штаб!$B$16:$C$104,2)</f>
        <v>1</v>
      </c>
      <c r="BK39" s="8">
        <f>VLOOKUP(C39,'РО - регионы'!$B$16:$C$104,2)</f>
        <v>1</v>
      </c>
      <c r="BL39" s="8">
        <f>VLOOKUP(C39,'РО - регионы'!$B$16:$L$104,11)</f>
        <v>2</v>
      </c>
      <c r="BM39" s="8">
        <f>VLOOKUP(C39,Спецтехника!$B$16:$C$104,2)</f>
        <v>0</v>
      </c>
      <c r="BN39" s="8">
        <f>VLOOKUP($C39,МНО!$B$16:$AB$104,6,0)</f>
        <v>1</v>
      </c>
      <c r="BO39" s="8">
        <f>VLOOKUP($C39,МНО!$B$16:$AB$104,4,0)</f>
        <v>1</v>
      </c>
      <c r="BP39" s="8">
        <f>VLOOKUP($C39,МНО!$B$16:$AB$104,5,0)</f>
        <v>2</v>
      </c>
      <c r="BQ39" s="8">
        <f>VLOOKUP($C39,Контейнеры!$B$16:$G$104,6,0)</f>
        <v>0</v>
      </c>
      <c r="BR39" s="8">
        <f>VLOOKUP($C39,Контейнеры!$B$16:$G$104,4,0)</f>
        <v>0</v>
      </c>
      <c r="BS39" s="8">
        <f>VLOOKUP($C39,Контейнеры!$B$16:$G$104,5,0)</f>
        <v>2</v>
      </c>
      <c r="BT39" s="8">
        <f>VLOOKUP($C39,'ДК МНО'!$B$16:$C$104,2,0)</f>
        <v>2</v>
      </c>
      <c r="BU39" s="8">
        <f>VLOOKUP($C39,Обработка!$B$16:$F$104,5,0)</f>
        <v>0</v>
      </c>
      <c r="BV39" s="8">
        <f>VLOOKUP($C39,Обработка!$B$16:$F$104,4,0)</f>
        <v>1</v>
      </c>
      <c r="BW39" s="8">
        <f>VLOOKUP($C39,Утилизация!$B$16:$F$104,5,0)</f>
        <v>1</v>
      </c>
      <c r="BX39" s="8">
        <f>VLOOKUP($C39,Утилизация!$B$16:$F$104,4,0)</f>
        <v>2</v>
      </c>
      <c r="BY39" s="8">
        <f>VLOOKUP($C39,Захоронение!$B$16:$C$104,2,0)</f>
        <v>2</v>
      </c>
      <c r="BZ39" s="8">
        <f>VLOOKUP($C39,'ДК ИП'!$B$16:$C$104,2,0)</f>
        <v>1</v>
      </c>
      <c r="CA39" s="8">
        <f>VLOOKUP(C39,Радар!$B$16:$G$104,2,0)</f>
        <v>2</v>
      </c>
      <c r="CB39" s="8">
        <f t="shared" si="13"/>
        <v>1.1000000000000001</v>
      </c>
    </row>
    <row r="40" spans="1:80" ht="15.6" thickBot="1">
      <c r="A40" s="9" t="s">
        <v>660</v>
      </c>
      <c r="B40" s="122">
        <f t="shared" si="6"/>
        <v>30</v>
      </c>
      <c r="C40" s="202" t="s">
        <v>34</v>
      </c>
      <c r="D40" s="277" t="str">
        <f>VLOOKUP($C40,Штаб!$B$16:$J$104,6,0)</f>
        <v/>
      </c>
      <c r="E40" s="285" t="str">
        <f>VLOOKUP($C40,Штаб!$B$16:$J$104,7,0)</f>
        <v/>
      </c>
      <c r="F40" s="285" t="str">
        <f>VLOOKUP($C40,Штаб!$B$16:$J$104,8,0)</f>
        <v>✔️</v>
      </c>
      <c r="G40" s="286" t="str">
        <f>VLOOKUP($C40,Штаб!$B$16:$J$104,9,0)</f>
        <v/>
      </c>
      <c r="H40" s="280" t="str">
        <f>VLOOKUP(C40,'РО - регионы'!$B$16:$I$104,8,0)</f>
        <v>1 / 0 / 0 из 1</v>
      </c>
      <c r="I40" s="237"/>
      <c r="J40" s="122"/>
      <c r="K40" s="94"/>
      <c r="L40" s="94"/>
      <c r="M40" s="98"/>
      <c r="N40" s="163">
        <f>VLOOKUP(C40,Спецтехника!$B$16:$J$104,4,0)</f>
        <v>80</v>
      </c>
      <c r="O40" s="166">
        <f>VLOOKUP(C40,Спецтехника!$B$16:$J$104,5,0)</f>
        <v>80</v>
      </c>
      <c r="P40" s="166">
        <f>VLOOKUP(C40,Спецтехника!$B$16:$J$104,6,0)</f>
        <v>0</v>
      </c>
      <c r="Q40" s="169">
        <f>VLOOKUP(C40,Спецтехника!$B$16:$J$104,7,0)</f>
        <v>0</v>
      </c>
      <c r="R40" s="242"/>
      <c r="S40" s="122"/>
      <c r="T40" s="94"/>
      <c r="U40" s="94"/>
      <c r="V40" s="98"/>
      <c r="W40" s="165">
        <f>VLOOKUP($C40,МНО!$B$16:$AB$104,16,0)</f>
        <v>8593</v>
      </c>
      <c r="X40" s="168">
        <f>VLOOKUP($C40,МНО!$B$16:$AB$104,8,0)</f>
        <v>8593</v>
      </c>
      <c r="Y40" s="168">
        <f>VLOOKUP($C40,МНО!$B$16:$AB$104,11,0)</f>
        <v>0</v>
      </c>
      <c r="Z40" s="174">
        <f>VLOOKUP($C40,МНО!$B$16:$AB$104,17,0)</f>
        <v>0</v>
      </c>
      <c r="AA40" s="245"/>
      <c r="AB40" s="95">
        <f>VLOOKUP($C40,МНО!$B$16:$AB$104,13,0)</f>
        <v>11.40501618853602</v>
      </c>
      <c r="AC40" s="154">
        <f>VLOOKUP($C40,МНО!$B$16:$AB$104,18,0)</f>
        <v>0.65993395284540357</v>
      </c>
      <c r="AD40" s="165">
        <f>VLOOKUP($C40,Контейнеры!$B$16:$AB$104,16,0)</f>
        <v>10977</v>
      </c>
      <c r="AE40" s="168">
        <f>VLOOKUP($C40,Контейнеры!$B$16:$AB$104,8,0)</f>
        <v>10977</v>
      </c>
      <c r="AF40" s="168">
        <f>VLOOKUP($C40,Контейнеры!$B$16:$AB$104,11,0)</f>
        <v>0</v>
      </c>
      <c r="AG40" s="174">
        <f>VLOOKUP($C40,Контейнеры!$B$16:$AB$104,17,0)</f>
        <v>0</v>
      </c>
      <c r="AH40" s="245"/>
      <c r="AI40" s="95">
        <f>VLOOKUP($C40,Контейнеры!$B$16:$AB$104,13,0)</f>
        <v>14.577650524168595</v>
      </c>
      <c r="AJ40" s="154">
        <f>VLOOKUP($C40,Контейнеры!$B$16:$AB$104,18,0)</f>
        <v>0.62249064307587609</v>
      </c>
      <c r="AK40" s="135"/>
      <c r="AL40" s="94"/>
      <c r="AM40" s="94"/>
      <c r="AN40" s="116"/>
      <c r="AO40" s="79">
        <f>VLOOKUP($C40,Обработка!$B$16:$L$104,6,0)</f>
        <v>0.188</v>
      </c>
      <c r="AP40" s="75">
        <f t="shared" si="7"/>
        <v>-0.35500000000000004</v>
      </c>
      <c r="AQ40" s="75">
        <f>VLOOKUP($C40,Обработка!$B$16:$L$104,7,0)</f>
        <v>1</v>
      </c>
      <c r="AR40" s="178">
        <f t="shared" si="8"/>
        <v>0.19299999999999995</v>
      </c>
      <c r="AS40" s="180">
        <f>VLOOKUP($C40,Утилизация!$B$16:$L$104,6,0)</f>
        <v>0.01</v>
      </c>
      <c r="AT40" s="76">
        <f t="shared" si="9"/>
        <v>-0.129</v>
      </c>
      <c r="AU40" s="74">
        <f>VLOOKUP($C40,Утилизация!$B$16:$L$104,7,0)</f>
        <v>0.25</v>
      </c>
      <c r="AV40" s="186">
        <f t="shared" si="10"/>
        <v>-3.5999999999999976E-2</v>
      </c>
      <c r="AW40" s="161" t="str">
        <f>VLOOKUP(C40,Захоронение!$B$16:$Q$104,16,0)</f>
        <v/>
      </c>
      <c r="AX40" s="135"/>
      <c r="AY40" s="94"/>
      <c r="AZ40" s="94"/>
      <c r="BA40" s="98"/>
      <c r="BB40" s="127" t="str">
        <f>VLOOKUP(C40,'ДК ИП'!$B$16:$S$104,5,0)</f>
        <v>среднее</v>
      </c>
      <c r="BC40" s="289">
        <f>VLOOKUP(C40,Радар!$B$16:$G$104,6,0)</f>
        <v>4.515260251632798E-2</v>
      </c>
      <c r="BD40" s="98"/>
      <c r="BF40" s="294">
        <f t="shared" si="11"/>
        <v>0.5</v>
      </c>
      <c r="BI40" s="8">
        <f t="shared" si="12"/>
        <v>1</v>
      </c>
      <c r="BJ40" s="8">
        <f>VLOOKUP(C40,Штаб!$B$16:$C$104,2)</f>
        <v>1</v>
      </c>
      <c r="BK40" s="8">
        <f>VLOOKUP(C40,'РО - регионы'!$B$16:$C$104,2)</f>
        <v>2</v>
      </c>
      <c r="BL40" s="8">
        <f>VLOOKUP(C40,'РО - регионы'!$B$16:$L$104,11)</f>
        <v>0</v>
      </c>
      <c r="BM40" s="8">
        <f>VLOOKUP(C40,Спецтехника!$B$16:$C$104,2)</f>
        <v>0</v>
      </c>
      <c r="BN40" s="8">
        <f>VLOOKUP($C40,МНО!$B$16:$AB$104,6,0)</f>
        <v>2</v>
      </c>
      <c r="BO40" s="8">
        <f>VLOOKUP($C40,МНО!$B$16:$AB$104,4,0)</f>
        <v>0</v>
      </c>
      <c r="BP40" s="8">
        <f>VLOOKUP($C40,МНО!$B$16:$AB$104,5,0)</f>
        <v>2</v>
      </c>
      <c r="BQ40" s="8">
        <f>VLOOKUP($C40,Контейнеры!$B$16:$G$104,6,0)</f>
        <v>2</v>
      </c>
      <c r="BR40" s="8">
        <f>VLOOKUP($C40,Контейнеры!$B$16:$G$104,4,0)</f>
        <v>0</v>
      </c>
      <c r="BS40" s="8">
        <f>VLOOKUP($C40,Контейнеры!$B$16:$G$104,5,0)</f>
        <v>2</v>
      </c>
      <c r="BT40" s="8">
        <f>VLOOKUP($C40,'ДК МНО'!$B$16:$C$104,2,0)</f>
        <v>2</v>
      </c>
      <c r="BU40" s="8">
        <f>VLOOKUP($C40,Обработка!$B$16:$F$104,5,0)</f>
        <v>0</v>
      </c>
      <c r="BV40" s="8">
        <f>VLOOKUP($C40,Обработка!$B$16:$F$104,4,0)</f>
        <v>2</v>
      </c>
      <c r="BW40" s="8">
        <f>VLOOKUP($C40,Утилизация!$B$16:$F$104,5,0)</f>
        <v>1</v>
      </c>
      <c r="BX40" s="8">
        <f>VLOOKUP($C40,Утилизация!$B$16:$F$104,4,0)</f>
        <v>2</v>
      </c>
      <c r="BY40" s="8">
        <f>VLOOKUP($C40,Захоронение!$B$16:$C$104,2,0)</f>
        <v>0</v>
      </c>
      <c r="BZ40" s="8">
        <f>VLOOKUP($C40,'ДК ИП'!$B$16:$C$104,2,0)</f>
        <v>1</v>
      </c>
      <c r="CA40" s="8">
        <f>VLOOKUP(C40,Радар!$B$16:$G$104,2,0)</f>
        <v>0</v>
      </c>
      <c r="CB40" s="8">
        <f t="shared" si="13"/>
        <v>0.95</v>
      </c>
    </row>
    <row r="41" spans="1:80" ht="15.6" thickBot="1">
      <c r="A41" s="9" t="s">
        <v>657</v>
      </c>
      <c r="B41" s="121">
        <f t="shared" si="6"/>
        <v>31</v>
      </c>
      <c r="C41" s="202" t="s">
        <v>35</v>
      </c>
      <c r="D41" s="277" t="str">
        <f>VLOOKUP($C41,Штаб!$B$16:$J$104,6,0)</f>
        <v/>
      </c>
      <c r="E41" s="285" t="str">
        <f>VLOOKUP($C41,Штаб!$B$16:$J$104,7,0)</f>
        <v/>
      </c>
      <c r="F41" s="285" t="str">
        <f>VLOOKUP($C41,Штаб!$B$16:$J$104,8,0)</f>
        <v>✔️</v>
      </c>
      <c r="G41" s="286" t="str">
        <f>VLOOKUP($C41,Штаб!$B$16:$J$104,9,0)</f>
        <v/>
      </c>
      <c r="H41" s="279" t="str">
        <f>VLOOKUP(C41,'РО - регионы'!$B$16:$I$104,8,0)</f>
        <v>0 / 0 / 2 из 2</v>
      </c>
      <c r="I41" s="237"/>
      <c r="J41" s="122"/>
      <c r="K41" s="94"/>
      <c r="L41" s="94"/>
      <c r="M41" s="98"/>
      <c r="N41" s="163">
        <f>VLOOKUP(C41,Спецтехника!$B$16:$J$104,4,0)</f>
        <v>225</v>
      </c>
      <c r="O41" s="166">
        <f>VLOOKUP(C41,Спецтехника!$B$16:$J$104,5,0)</f>
        <v>207</v>
      </c>
      <c r="P41" s="166">
        <f>VLOOKUP(C41,Спецтехника!$B$16:$J$104,6,0)</f>
        <v>18</v>
      </c>
      <c r="Q41" s="169">
        <f>VLOOKUP(C41,Спецтехника!$B$16:$J$104,7,0)</f>
        <v>0.08</v>
      </c>
      <c r="R41" s="242"/>
      <c r="S41" s="122"/>
      <c r="T41" s="94"/>
      <c r="U41" s="94"/>
      <c r="V41" s="98"/>
      <c r="W41" s="164">
        <f>VLOOKUP($C41,МНО!$B$16:$AB$104,16,0)</f>
        <v>10443</v>
      </c>
      <c r="X41" s="167">
        <f>VLOOKUP($C41,МНО!$B$16:$AB$104,8,0)</f>
        <v>7506</v>
      </c>
      <c r="Y41" s="167">
        <f>VLOOKUP($C41,МНО!$B$16:$AB$104,11,0)</f>
        <v>2937</v>
      </c>
      <c r="Z41" s="172">
        <f>VLOOKUP($C41,МНО!$B$16:$AB$104,17,0)</f>
        <v>0.28124102269462797</v>
      </c>
      <c r="AA41" s="245"/>
      <c r="AB41" s="95">
        <f>VLOOKUP($C41,МНО!$B$16:$AB$104,13,0)</f>
        <v>6.9139931303092119</v>
      </c>
      <c r="AC41" s="154">
        <f>VLOOKUP($C41,МНО!$B$16:$AB$104,18,0)</f>
        <v>1</v>
      </c>
      <c r="AD41" s="164">
        <f>VLOOKUP($C41,Контейнеры!$B$16:$AB$104,16,0)</f>
        <v>23217</v>
      </c>
      <c r="AE41" s="167">
        <f>VLOOKUP($C41,Контейнеры!$B$16:$AB$104,8,0)</f>
        <v>16513</v>
      </c>
      <c r="AF41" s="167">
        <f>VLOOKUP($C41,Контейнеры!$B$16:$AB$104,11,0)</f>
        <v>6704</v>
      </c>
      <c r="AG41" s="172">
        <f>VLOOKUP($C41,Контейнеры!$B$16:$AB$104,17,0)</f>
        <v>0.28875393030968688</v>
      </c>
      <c r="AH41" s="245"/>
      <c r="AI41" s="95">
        <f>VLOOKUP($C41,Контейнеры!$B$16:$AB$104,13,0)</f>
        <v>15.56520362110375</v>
      </c>
      <c r="AJ41" s="154">
        <f>VLOOKUP($C41,Контейнеры!$B$16:$AB$104,18,0)</f>
        <v>0.90018534670737027</v>
      </c>
      <c r="AK41" s="135"/>
      <c r="AL41" s="94"/>
      <c r="AM41" s="94"/>
      <c r="AN41" s="116"/>
      <c r="AO41" s="80">
        <f>VLOOKUP($C41,Обработка!$B$16:$L$104,6,0)</f>
        <v>0.375</v>
      </c>
      <c r="AP41" s="75">
        <f t="shared" si="7"/>
        <v>-0.16800000000000004</v>
      </c>
      <c r="AQ41" s="75">
        <f>VLOOKUP($C41,Обработка!$B$16:$L$104,7,0)</f>
        <v>1</v>
      </c>
      <c r="AR41" s="178">
        <f t="shared" si="8"/>
        <v>0.19299999999999995</v>
      </c>
      <c r="AS41" s="180">
        <f>VLOOKUP($C41,Утилизация!$B$16:$L$104,6,0)</f>
        <v>1.4999999999999999E-2</v>
      </c>
      <c r="AT41" s="76">
        <f t="shared" si="9"/>
        <v>-0.12400000000000001</v>
      </c>
      <c r="AU41" s="75">
        <f>VLOOKUP($C41,Утилизация!$B$16:$L$104,7,0)</f>
        <v>0.3</v>
      </c>
      <c r="AV41" s="185">
        <f t="shared" si="10"/>
        <v>1.4000000000000012E-2</v>
      </c>
      <c r="AW41" s="161" t="str">
        <f>VLOOKUP(C41,Захоронение!$B$16:$Q$104,16,0)</f>
        <v/>
      </c>
      <c r="AX41" s="135"/>
      <c r="AY41" s="94"/>
      <c r="AZ41" s="94"/>
      <c r="BA41" s="98"/>
      <c r="BB41" s="127" t="str">
        <f>VLOOKUP(C41,'ДК ИП'!$B$16:$S$104,5,0)</f>
        <v>нет</v>
      </c>
      <c r="BC41" s="289">
        <f>VLOOKUP(C41,Радар!$B$16:$G$104,6,0)</f>
        <v>4.9957959905438061E-2</v>
      </c>
      <c r="BD41" s="98"/>
      <c r="BF41" s="296">
        <f t="shared" si="11"/>
        <v>0.25</v>
      </c>
      <c r="BI41" s="8">
        <f t="shared" si="12"/>
        <v>0</v>
      </c>
      <c r="BJ41" s="8">
        <f>VLOOKUP(C41,Штаб!$B$16:$C$104,2)</f>
        <v>1</v>
      </c>
      <c r="BK41" s="8">
        <f>VLOOKUP(C41,'РО - регионы'!$B$16:$C$104,2)</f>
        <v>0</v>
      </c>
      <c r="BL41" s="8">
        <f>VLOOKUP(C41,'РО - регионы'!$B$16:$L$104,11)</f>
        <v>0</v>
      </c>
      <c r="BM41" s="8">
        <f>VLOOKUP(C41,Спецтехника!$B$16:$C$104,2)</f>
        <v>0</v>
      </c>
      <c r="BN41" s="8">
        <f>VLOOKUP($C41,МНО!$B$16:$AB$104,6,0)</f>
        <v>1</v>
      </c>
      <c r="BO41" s="8">
        <f>VLOOKUP($C41,МНО!$B$16:$AB$104,4,0)</f>
        <v>0</v>
      </c>
      <c r="BP41" s="8">
        <f>VLOOKUP($C41,МНО!$B$16:$AB$104,5,0)</f>
        <v>0</v>
      </c>
      <c r="BQ41" s="8">
        <f>VLOOKUP($C41,Контейнеры!$B$16:$G$104,6,0)</f>
        <v>1</v>
      </c>
      <c r="BR41" s="8">
        <f>VLOOKUP($C41,Контейнеры!$B$16:$G$104,4,0)</f>
        <v>0</v>
      </c>
      <c r="BS41" s="8">
        <f>VLOOKUP($C41,Контейнеры!$B$16:$G$104,5,0)</f>
        <v>1</v>
      </c>
      <c r="BT41" s="8">
        <f>VLOOKUP($C41,'ДК МНО'!$B$16:$C$104,2,0)</f>
        <v>2</v>
      </c>
      <c r="BU41" s="8">
        <f>VLOOKUP($C41,Обработка!$B$16:$F$104,5,0)</f>
        <v>0</v>
      </c>
      <c r="BV41" s="8">
        <f>VLOOKUP($C41,Обработка!$B$16:$F$104,4,0)</f>
        <v>1</v>
      </c>
      <c r="BW41" s="8">
        <f>VLOOKUP($C41,Утилизация!$B$16:$F$104,5,0)</f>
        <v>0</v>
      </c>
      <c r="BX41" s="8">
        <f>VLOOKUP($C41,Утилизация!$B$16:$F$104,4,0)</f>
        <v>2</v>
      </c>
      <c r="BY41" s="8">
        <f>VLOOKUP($C41,Захоронение!$B$16:$C$104,2,0)</f>
        <v>0</v>
      </c>
      <c r="BZ41" s="8">
        <f>VLOOKUP($C41,'ДК ИП'!$B$16:$C$104,2,0)</f>
        <v>0</v>
      </c>
      <c r="CA41" s="8">
        <f>VLOOKUP(C41,Радар!$B$16:$G$104,2,0)</f>
        <v>0</v>
      </c>
      <c r="CB41" s="8">
        <f t="shared" si="13"/>
        <v>0.25</v>
      </c>
    </row>
    <row r="42" spans="1:80" ht="15.6" thickBot="1">
      <c r="A42" s="9" t="s">
        <v>655</v>
      </c>
      <c r="B42" s="122">
        <f t="shared" si="6"/>
        <v>32</v>
      </c>
      <c r="C42" s="202" t="s">
        <v>36</v>
      </c>
      <c r="D42" s="277" t="str">
        <f>VLOOKUP($C42,Штаб!$B$16:$J$104,6,0)</f>
        <v/>
      </c>
      <c r="E42" s="285" t="str">
        <f>VLOOKUP($C42,Штаб!$B$16:$J$104,7,0)</f>
        <v/>
      </c>
      <c r="F42" s="285" t="str">
        <f>VLOOKUP($C42,Штаб!$B$16:$J$104,8,0)</f>
        <v/>
      </c>
      <c r="G42" s="286" t="str">
        <f>VLOOKUP($C42,Штаб!$B$16:$J$104,9,0)</f>
        <v>✔️</v>
      </c>
      <c r="H42" s="279" t="str">
        <f>VLOOKUP(C42,'РО - регионы'!$B$16:$I$104,8,0)</f>
        <v>0 / 0 / 1 из 1</v>
      </c>
      <c r="I42" s="237"/>
      <c r="J42" s="122"/>
      <c r="K42" s="94"/>
      <c r="L42" s="94"/>
      <c r="M42" s="98"/>
      <c r="N42" s="164">
        <f>VLOOKUP(C42,Спецтехника!$B$16:$J$104,4,0)</f>
        <v>341</v>
      </c>
      <c r="O42" s="167">
        <f>VLOOKUP(C42,Спецтехника!$B$16:$J$104,5,0)</f>
        <v>290</v>
      </c>
      <c r="P42" s="167">
        <f>VLOOKUP(C42,Спецтехника!$B$16:$J$104,6,0)</f>
        <v>51</v>
      </c>
      <c r="Q42" s="170">
        <f>VLOOKUP(C42,Спецтехника!$B$16:$J$104,7,0)</f>
        <v>0.14956011730205279</v>
      </c>
      <c r="R42" s="242"/>
      <c r="S42" s="122"/>
      <c r="T42" s="94"/>
      <c r="U42" s="94"/>
      <c r="V42" s="98"/>
      <c r="W42" s="163">
        <f>VLOOKUP($C42,МНО!$B$16:$AB$104,16,0)</f>
        <v>10785</v>
      </c>
      <c r="X42" s="166">
        <f>VLOOKUP($C42,МНО!$B$16:$AB$104,8,0)</f>
        <v>10166</v>
      </c>
      <c r="Y42" s="166">
        <f>VLOOKUP($C42,МНО!$B$16:$AB$104,11,0)</f>
        <v>619</v>
      </c>
      <c r="Z42" s="173">
        <f>VLOOKUP($C42,МНО!$B$16:$AB$104,17,0)</f>
        <v>5.7394529439035696E-2</v>
      </c>
      <c r="AA42" s="245"/>
      <c r="AB42" s="95">
        <f>VLOOKUP($C42,МНО!$B$16:$AB$104,13,0)</f>
        <v>4.8232553707162236</v>
      </c>
      <c r="AC42" s="154">
        <f>VLOOKUP($C42,МНО!$B$16:$AB$104,18,0)</f>
        <v>0.46270083291611669</v>
      </c>
      <c r="AD42" s="163">
        <f>VLOOKUP($C42,Контейнеры!$B$16:$AB$104,16,0)</f>
        <v>27626</v>
      </c>
      <c r="AE42" s="166">
        <f>VLOOKUP($C42,Контейнеры!$B$16:$AB$104,8,0)</f>
        <v>25688</v>
      </c>
      <c r="AF42" s="166">
        <f>VLOOKUP($C42,Контейнеры!$B$16:$AB$104,11,0)</f>
        <v>1938</v>
      </c>
      <c r="AG42" s="173">
        <f>VLOOKUP($C42,Контейнеры!$B$16:$AB$104,17,0)</f>
        <v>7.0151306740027508E-2</v>
      </c>
      <c r="AH42" s="245"/>
      <c r="AI42" s="95">
        <f>VLOOKUP($C42,Контейнеры!$B$16:$AB$104,13,0)</f>
        <v>12.618370909762536</v>
      </c>
      <c r="AJ42" s="154">
        <f>VLOOKUP($C42,Контейнеры!$B$16:$AB$104,18,0)</f>
        <v>0.54886543310114955</v>
      </c>
      <c r="AK42" s="135"/>
      <c r="AL42" s="94"/>
      <c r="AM42" s="94"/>
      <c r="AN42" s="116"/>
      <c r="AO42" s="78">
        <f>VLOOKUP($C42,Обработка!$B$16:$L$104,6,0)</f>
        <v>0.61499999999999999</v>
      </c>
      <c r="AP42" s="75">
        <f t="shared" si="7"/>
        <v>7.1999999999999953E-2</v>
      </c>
      <c r="AQ42" s="75">
        <f>VLOOKUP($C42,Обработка!$B$16:$L$104,7,0)</f>
        <v>1</v>
      </c>
      <c r="AR42" s="178">
        <f t="shared" si="8"/>
        <v>0.19299999999999995</v>
      </c>
      <c r="AS42" s="181">
        <f>VLOOKUP($C42,Утилизация!$B$16:$L$104,6,0)</f>
        <v>0.08</v>
      </c>
      <c r="AT42" s="74">
        <f t="shared" si="9"/>
        <v>-5.9000000000000011E-2</v>
      </c>
      <c r="AU42" s="75">
        <f>VLOOKUP($C42,Утилизация!$B$16:$L$104,7,0)</f>
        <v>0.5</v>
      </c>
      <c r="AV42" s="185">
        <f t="shared" si="10"/>
        <v>0.21400000000000002</v>
      </c>
      <c r="AW42" s="160" t="str">
        <f>VLOOKUP(C42,Захоронение!$B$16:$Q$104,16,0)</f>
        <v>765 приказ</v>
      </c>
      <c r="AX42" s="135"/>
      <c r="AY42" s="94"/>
      <c r="AZ42" s="94"/>
      <c r="BA42" s="98"/>
      <c r="BB42" s="127" t="str">
        <f>VLOOKUP(C42,'ДК ИП'!$B$16:$S$104,5,0)</f>
        <v>не подписана</v>
      </c>
      <c r="BC42" s="288">
        <f>VLOOKUP(C42,Радар!$B$16:$G$104,6,0)</f>
        <v>0.20090757171024903</v>
      </c>
      <c r="BD42" s="98"/>
      <c r="BF42" s="296">
        <f t="shared" si="11"/>
        <v>0.41666666666666669</v>
      </c>
      <c r="BI42" s="8">
        <f t="shared" si="12"/>
        <v>0</v>
      </c>
      <c r="BJ42" s="8">
        <f>VLOOKUP(C42,Штаб!$B$16:$C$104,2)</f>
        <v>2</v>
      </c>
      <c r="BK42" s="8">
        <f>VLOOKUP(C42,'РО - регионы'!$B$16:$C$104,2)</f>
        <v>0</v>
      </c>
      <c r="BL42" s="8">
        <f>VLOOKUP(C42,'РО - регионы'!$B$16:$L$104,11)</f>
        <v>0</v>
      </c>
      <c r="BM42" s="8">
        <f>VLOOKUP(C42,Спецтехника!$B$16:$C$104,2)</f>
        <v>1</v>
      </c>
      <c r="BN42" s="8">
        <f>VLOOKUP($C42,МНО!$B$16:$AB$104,6,0)</f>
        <v>0</v>
      </c>
      <c r="BO42" s="8">
        <f>VLOOKUP($C42,МНО!$B$16:$AB$104,4,0)</f>
        <v>1</v>
      </c>
      <c r="BP42" s="8">
        <f>VLOOKUP($C42,МНО!$B$16:$AB$104,5,0)</f>
        <v>2</v>
      </c>
      <c r="BQ42" s="8">
        <f>VLOOKUP($C42,Контейнеры!$B$16:$G$104,6,0)</f>
        <v>0</v>
      </c>
      <c r="BR42" s="8">
        <f>VLOOKUP($C42,Контейнеры!$B$16:$G$104,4,0)</f>
        <v>0</v>
      </c>
      <c r="BS42" s="8">
        <f>VLOOKUP($C42,Контейнеры!$B$16:$G$104,5,0)</f>
        <v>2</v>
      </c>
      <c r="BT42" s="8">
        <f>VLOOKUP($C42,'ДК МНО'!$B$16:$C$104,2,0)</f>
        <v>2</v>
      </c>
      <c r="BU42" s="8">
        <f>VLOOKUP($C42,Обработка!$B$16:$F$104,5,0)</f>
        <v>0</v>
      </c>
      <c r="BV42" s="8">
        <f>VLOOKUP($C42,Обработка!$B$16:$F$104,4,0)</f>
        <v>0</v>
      </c>
      <c r="BW42" s="8">
        <f>VLOOKUP($C42,Утилизация!$B$16:$F$104,5,0)</f>
        <v>0</v>
      </c>
      <c r="BX42" s="8">
        <f>VLOOKUP($C42,Утилизация!$B$16:$F$104,4,0)</f>
        <v>1</v>
      </c>
      <c r="BY42" s="8">
        <f>VLOOKUP($C42,Захоронение!$B$16:$C$104,2,0)</f>
        <v>1</v>
      </c>
      <c r="BZ42" s="8">
        <f>VLOOKUP($C42,'ДК ИП'!$B$16:$C$104,2,0)</f>
        <v>0</v>
      </c>
      <c r="CA42" s="8">
        <f>VLOOKUP(C42,Радар!$B$16:$G$104,2,0)</f>
        <v>2</v>
      </c>
      <c r="CB42" s="8">
        <f t="shared" si="13"/>
        <v>0.4</v>
      </c>
    </row>
    <row r="43" spans="1:80" ht="15.6" thickBot="1">
      <c r="A43" s="9" t="s">
        <v>657</v>
      </c>
      <c r="B43" s="121">
        <f t="shared" ref="B43:B74" si="14">B42+1</f>
        <v>33</v>
      </c>
      <c r="C43" s="202" t="s">
        <v>37</v>
      </c>
      <c r="D43" s="277" t="str">
        <f>VLOOKUP($C43,Штаб!$B$16:$J$104,6,0)</f>
        <v/>
      </c>
      <c r="E43" s="285" t="str">
        <f>VLOOKUP($C43,Штаб!$B$16:$J$104,7,0)</f>
        <v>✔️</v>
      </c>
      <c r="F43" s="285" t="str">
        <f>VLOOKUP($C43,Штаб!$B$16:$J$104,8,0)</f>
        <v/>
      </c>
      <c r="G43" s="286" t="str">
        <f>VLOOKUP($C43,Штаб!$B$16:$J$104,9,0)</f>
        <v/>
      </c>
      <c r="H43" s="279" t="str">
        <f>VLOOKUP(C43,'РО - регионы'!$B$16:$I$104,8,0)</f>
        <v>0 / 0 / 4 из 4</v>
      </c>
      <c r="I43" s="237"/>
      <c r="J43" s="122"/>
      <c r="K43" s="94"/>
      <c r="L43" s="94"/>
      <c r="M43" s="98"/>
      <c r="N43" s="163">
        <f>VLOOKUP(C43,Спецтехника!$B$16:$J$104,4,0)</f>
        <v>205</v>
      </c>
      <c r="O43" s="166">
        <f>VLOOKUP(C43,Спецтехника!$B$16:$J$104,5,0)</f>
        <v>191</v>
      </c>
      <c r="P43" s="166">
        <f>VLOOKUP(C43,Спецтехника!$B$16:$J$104,6,0)</f>
        <v>14</v>
      </c>
      <c r="Q43" s="169">
        <f>VLOOKUP(C43,Спецтехника!$B$16:$J$104,7,0)</f>
        <v>6.8292682926829273E-2</v>
      </c>
      <c r="R43" s="242"/>
      <c r="S43" s="122"/>
      <c r="T43" s="94"/>
      <c r="U43" s="94"/>
      <c r="V43" s="98"/>
      <c r="W43" s="164">
        <f>VLOOKUP($C43,МНО!$B$16:$AB$104,16,0)</f>
        <v>22879</v>
      </c>
      <c r="X43" s="167">
        <f>VLOOKUP($C43,МНО!$B$16:$AB$104,8,0)</f>
        <v>17046</v>
      </c>
      <c r="Y43" s="167">
        <f>VLOOKUP($C43,МНО!$B$16:$AB$104,11,0)</f>
        <v>5833</v>
      </c>
      <c r="Z43" s="172">
        <f>VLOOKUP($C43,МНО!$B$16:$AB$104,17,0)</f>
        <v>0.25494995410638577</v>
      </c>
      <c r="AA43" s="245"/>
      <c r="AB43" s="95">
        <f>VLOOKUP($C43,МНО!$B$16:$AB$104,13,0)</f>
        <v>15.264296560404564</v>
      </c>
      <c r="AC43" s="154">
        <f>VLOOKUP($C43,МНО!$B$16:$AB$104,18,0)</f>
        <v>1</v>
      </c>
      <c r="AD43" s="164">
        <f>VLOOKUP($C43,Контейнеры!$B$16:$AB$104,16,0)</f>
        <v>41803</v>
      </c>
      <c r="AE43" s="167">
        <f>VLOOKUP($C43,Контейнеры!$B$16:$AB$104,8,0)</f>
        <v>35095</v>
      </c>
      <c r="AF43" s="167">
        <f>VLOOKUP($C43,Контейнеры!$B$16:$AB$104,11,0)</f>
        <v>6708</v>
      </c>
      <c r="AG43" s="172">
        <f>VLOOKUP($C43,Контейнеры!$B$16:$AB$104,17,0)</f>
        <v>0.16046695213262205</v>
      </c>
      <c r="AH43" s="245"/>
      <c r="AI43" s="95">
        <f>VLOOKUP($C43,Контейнеры!$B$16:$AB$104,13,0)</f>
        <v>31.43966710413746</v>
      </c>
      <c r="AJ43" s="154">
        <f>VLOOKUP($C43,Контейнеры!$B$16:$AB$104,18,0)</f>
        <v>1</v>
      </c>
      <c r="AK43" s="135"/>
      <c r="AL43" s="94"/>
      <c r="AM43" s="94"/>
      <c r="AN43" s="116"/>
      <c r="AO43" s="80">
        <f>VLOOKUP($C43,Обработка!$B$16:$L$104,6,0)</f>
        <v>0.53</v>
      </c>
      <c r="AP43" s="75">
        <f t="shared" ref="AP43:AP74" si="15">AO43-$AO$10</f>
        <v>-1.3000000000000012E-2</v>
      </c>
      <c r="AQ43" s="74">
        <f>VLOOKUP($C43,Обработка!$B$16:$L$104,7,0)</f>
        <v>0.629</v>
      </c>
      <c r="AR43" s="179">
        <f t="shared" ref="AR43:AR74" si="16">AQ43-$AQ$10</f>
        <v>-0.17800000000000005</v>
      </c>
      <c r="AS43" s="180">
        <f>VLOOKUP($C43,Утилизация!$B$16:$L$104,6,0)</f>
        <v>0.03</v>
      </c>
      <c r="AT43" s="76">
        <f t="shared" ref="AT43:AT74" si="17">AS43-$AS$10</f>
        <v>-0.10900000000000001</v>
      </c>
      <c r="AU43" s="74">
        <f>VLOOKUP($C43,Утилизация!$B$16:$L$104,7,0)</f>
        <v>0.21</v>
      </c>
      <c r="AV43" s="186">
        <f t="shared" ref="AV43:AV74" si="18">AU43-$AU$10</f>
        <v>-7.5999999999999984E-2</v>
      </c>
      <c r="AW43" s="160" t="str">
        <f>VLOOKUP(C43,Захоронение!$B$16:$Q$104,16,0)</f>
        <v>перегруз</v>
      </c>
      <c r="AX43" s="135"/>
      <c r="AY43" s="94"/>
      <c r="AZ43" s="94"/>
      <c r="BA43" s="98"/>
      <c r="BB43" s="127" t="str">
        <f>VLOOKUP(C43,'ДК ИП'!$B$16:$S$104,5,0)</f>
        <v>нет</v>
      </c>
      <c r="BC43" s="288">
        <f>VLOOKUP(C43,Радар!$B$16:$G$104,6,0)</f>
        <v>8.4209394722579323E-2</v>
      </c>
      <c r="BD43" s="98"/>
      <c r="BF43" s="294">
        <f t="shared" ref="BF43:BF74" si="19">(BU43+BV43+BW43+BX43+BY43*4+BZ43)/12</f>
        <v>0.75</v>
      </c>
      <c r="BI43" s="8">
        <f t="shared" ref="BI43:BI74" si="20">IF(CB43&gt;=1.3,2,IF(CB43&gt;=0.8,1,0))</f>
        <v>0</v>
      </c>
      <c r="BJ43" s="8">
        <f>VLOOKUP(C43,Штаб!$B$16:$C$104,2)</f>
        <v>1</v>
      </c>
      <c r="BK43" s="8">
        <f>VLOOKUP(C43,'РО - регионы'!$B$16:$C$104,2)</f>
        <v>0</v>
      </c>
      <c r="BL43" s="8">
        <f>VLOOKUP(C43,'РО - регионы'!$B$16:$L$104,11)</f>
        <v>0</v>
      </c>
      <c r="BM43" s="8">
        <f>VLOOKUP(C43,Спецтехника!$B$16:$C$104,2)</f>
        <v>0</v>
      </c>
      <c r="BN43" s="8">
        <f>VLOOKUP($C43,МНО!$B$16:$AB$104,6,0)</f>
        <v>1</v>
      </c>
      <c r="BO43" s="8">
        <f>VLOOKUP($C43,МНО!$B$16:$AB$104,4,0)</f>
        <v>0</v>
      </c>
      <c r="BP43" s="8">
        <f>VLOOKUP($C43,МНО!$B$16:$AB$104,5,0)</f>
        <v>0</v>
      </c>
      <c r="BQ43" s="8">
        <f>VLOOKUP($C43,Контейнеры!$B$16:$G$104,6,0)</f>
        <v>1</v>
      </c>
      <c r="BR43" s="8">
        <f>VLOOKUP($C43,Контейнеры!$B$16:$G$104,4,0)</f>
        <v>0</v>
      </c>
      <c r="BS43" s="8">
        <f>VLOOKUP($C43,Контейнеры!$B$16:$G$104,5,0)</f>
        <v>0</v>
      </c>
      <c r="BT43" s="8">
        <f>VLOOKUP($C43,'ДК МНО'!$B$16:$C$104,2,0)</f>
        <v>2</v>
      </c>
      <c r="BU43" s="8">
        <f>VLOOKUP($C43,Обработка!$B$16:$F$104,5,0)</f>
        <v>1</v>
      </c>
      <c r="BV43" s="8">
        <f>VLOOKUP($C43,Обработка!$B$16:$F$104,4,0)</f>
        <v>1</v>
      </c>
      <c r="BW43" s="8">
        <f>VLOOKUP($C43,Утилизация!$B$16:$F$104,5,0)</f>
        <v>1</v>
      </c>
      <c r="BX43" s="8">
        <f>VLOOKUP($C43,Утилизация!$B$16:$F$104,4,0)</f>
        <v>2</v>
      </c>
      <c r="BY43" s="8">
        <f>VLOOKUP($C43,Захоронение!$B$16:$C$104,2,0)</f>
        <v>1</v>
      </c>
      <c r="BZ43" s="8">
        <f>VLOOKUP($C43,'ДК ИП'!$B$16:$C$104,2,0)</f>
        <v>0</v>
      </c>
      <c r="CA43" s="8">
        <f>VLOOKUP(C43,Радар!$B$16:$G$104,2,0)</f>
        <v>2</v>
      </c>
      <c r="CB43" s="8">
        <f t="shared" ref="CB43:CB74" si="21">SUMPRODUCT(BJ43:BZ43,$BJ$5:$BZ$5)</f>
        <v>0.6</v>
      </c>
    </row>
    <row r="44" spans="1:80" ht="15.6" thickBot="1">
      <c r="B44" s="122">
        <f t="shared" si="14"/>
        <v>34</v>
      </c>
      <c r="C44" s="202" t="s">
        <v>581</v>
      </c>
      <c r="D44" s="277" t="str">
        <f>VLOOKUP($C44,Штаб!$B$16:$J$104,6,0)</f>
        <v/>
      </c>
      <c r="E44" s="285" t="str">
        <f>VLOOKUP($C44,Штаб!$B$16:$J$104,7,0)</f>
        <v/>
      </c>
      <c r="F44" s="285" t="str">
        <f>VLOOKUP($C44,Штаб!$B$16:$J$104,8,0)</f>
        <v/>
      </c>
      <c r="G44" s="286" t="str">
        <f>VLOOKUP($C44,Штаб!$B$16:$J$104,9,0)</f>
        <v>✔️</v>
      </c>
      <c r="H44" s="279" t="str">
        <f>VLOOKUP(C44,'РО - регионы'!$B$16:$I$104,8,0)</f>
        <v>0 / 0 / 0 из 0</v>
      </c>
      <c r="I44" s="237"/>
      <c r="J44" s="122"/>
      <c r="K44" s="94"/>
      <c r="L44" s="94"/>
      <c r="M44" s="98"/>
      <c r="N44" s="165">
        <f>VLOOKUP(C44,Спецтехника!$B$16:$J$104,4,0)</f>
        <v>532</v>
      </c>
      <c r="O44" s="168">
        <f>VLOOKUP(C44,Спецтехника!$B$16:$J$104,5,0)</f>
        <v>344</v>
      </c>
      <c r="P44" s="168">
        <f>VLOOKUP(C44,Спецтехника!$B$16:$J$104,6,0)</f>
        <v>188</v>
      </c>
      <c r="Q44" s="171">
        <f>VLOOKUP(C44,Спецтехника!$B$16:$J$104,7,0)</f>
        <v>0.35338345864661652</v>
      </c>
      <c r="R44" s="242"/>
      <c r="S44" s="122"/>
      <c r="T44" s="94"/>
      <c r="U44" s="94"/>
      <c r="V44" s="98"/>
      <c r="W44" s="163">
        <f>VLOOKUP($C44,МНО!$B$16:$AB$104,16,0)</f>
        <v>5695</v>
      </c>
      <c r="X44" s="166">
        <f>VLOOKUP($C44,МНО!$B$16:$AB$104,8,0)</f>
        <v>0</v>
      </c>
      <c r="Y44" s="166">
        <f>VLOOKUP($C44,МНО!$B$16:$AB$104,11,0)</f>
        <v>5695</v>
      </c>
      <c r="Z44" s="173">
        <f>VLOOKUP($C44,МНО!$B$16:$AB$104,17,0)</f>
        <v>0</v>
      </c>
      <c r="AA44" s="245"/>
      <c r="AB44" s="95"/>
      <c r="AC44" s="154"/>
      <c r="AD44" s="163">
        <f>VLOOKUP($C44,Контейнеры!$B$16:$AB$104,16,0)</f>
        <v>13829</v>
      </c>
      <c r="AE44" s="166">
        <f>VLOOKUP($C44,Контейнеры!$B$16:$AB$104,8,0)</f>
        <v>0</v>
      </c>
      <c r="AF44" s="166">
        <f>VLOOKUP($C44,Контейнеры!$B$16:$AB$104,11,0)</f>
        <v>13829</v>
      </c>
      <c r="AG44" s="173">
        <f>VLOOKUP($C44,Контейнеры!$B$16:$AB$104,17,0)</f>
        <v>0</v>
      </c>
      <c r="AH44" s="245"/>
      <c r="AI44" s="95"/>
      <c r="AJ44" s="154"/>
      <c r="AK44" s="135"/>
      <c r="AL44" s="94"/>
      <c r="AM44" s="94"/>
      <c r="AN44" s="116"/>
      <c r="AO44" s="78">
        <f>VLOOKUP($C44,Обработка!$B$16:$L$104,6,0)</f>
        <v>0</v>
      </c>
      <c r="AP44" s="75">
        <f t="shared" si="15"/>
        <v>-0.54300000000000004</v>
      </c>
      <c r="AQ44" s="75">
        <f>VLOOKUP($C44,Обработка!$B$16:$L$104,7,0)</f>
        <v>0</v>
      </c>
      <c r="AR44" s="178">
        <f t="shared" si="16"/>
        <v>-0.80700000000000005</v>
      </c>
      <c r="AS44" s="182">
        <f>VLOOKUP($C44,Утилизация!$B$16:$L$104,6,0)</f>
        <v>0</v>
      </c>
      <c r="AT44" s="75">
        <f t="shared" si="17"/>
        <v>-0.13900000000000001</v>
      </c>
      <c r="AU44" s="75">
        <f>VLOOKUP($C44,Утилизация!$B$16:$L$104,7,0)</f>
        <v>0</v>
      </c>
      <c r="AV44" s="185">
        <f t="shared" si="18"/>
        <v>-0.28599999999999998</v>
      </c>
      <c r="AW44" s="161"/>
      <c r="AX44" s="135"/>
      <c r="AY44" s="94"/>
      <c r="AZ44" s="94"/>
      <c r="BA44" s="98"/>
      <c r="BB44" s="127" t="str">
        <f>VLOOKUP(C44,'ДК ИП'!$B$16:$S$104,5,0)</f>
        <v>нет</v>
      </c>
      <c r="BC44" s="288" t="str">
        <f>VLOOKUP(C44,Радар!$B$16:$G$104,6,0)</f>
        <v/>
      </c>
      <c r="BD44" s="98"/>
      <c r="BF44" s="296">
        <f t="shared" si="19"/>
        <v>0</v>
      </c>
      <c r="BI44" s="8">
        <f t="shared" si="20"/>
        <v>0</v>
      </c>
      <c r="BJ44" s="8">
        <f>VLOOKUP(C44,Штаб!$B$16:$C$104,2)</f>
        <v>2</v>
      </c>
      <c r="BK44" s="8">
        <f>VLOOKUP(C44,'РО - регионы'!$B$16:$C$104,2)</f>
        <v>0</v>
      </c>
      <c r="BL44" s="8">
        <f>VLOOKUP(C44,'РО - регионы'!$B$16:$L$104,11)</f>
        <v>0</v>
      </c>
      <c r="BM44" s="8">
        <f>VLOOKUP(C44,Спецтехника!$B$16:$C$104,2)</f>
        <v>2</v>
      </c>
      <c r="BN44" s="8">
        <f>VLOOKUP($C44,МНО!$B$16:$AB$104,6,0)</f>
        <v>0</v>
      </c>
      <c r="BO44" s="8">
        <f>VLOOKUP($C44,МНО!$B$16:$AB$104,4,0)</f>
        <v>0</v>
      </c>
      <c r="BP44" s="8">
        <f>VLOOKUP($C44,МНО!$B$16:$AB$104,5,0)</f>
        <v>0</v>
      </c>
      <c r="BQ44" s="8">
        <f>VLOOKUP($C44,Контейнеры!$B$16:$G$104,6,0)</f>
        <v>0</v>
      </c>
      <c r="BR44" s="8">
        <f>VLOOKUP($C44,Контейнеры!$B$16:$G$104,4,0)</f>
        <v>0</v>
      </c>
      <c r="BS44" s="8">
        <f>VLOOKUP($C44,Контейнеры!$B$16:$G$104,5,0)</f>
        <v>0</v>
      </c>
      <c r="BT44" s="8">
        <f>VLOOKUP($C44,'ДК МНО'!$B$16:$C$104,2,0)</f>
        <v>2</v>
      </c>
      <c r="BU44" s="8">
        <f>VLOOKUP($C44,Обработка!$B$16:$F$104,5,0)</f>
        <v>0</v>
      </c>
      <c r="BV44" s="8">
        <f>VLOOKUP($C44,Обработка!$B$16:$F$104,4,0)</f>
        <v>0</v>
      </c>
      <c r="BW44" s="8">
        <f>VLOOKUP($C44,Утилизация!$B$16:$F$104,5,0)</f>
        <v>0</v>
      </c>
      <c r="BX44" s="8">
        <f>VLOOKUP($C44,Утилизация!$B$16:$F$104,4,0)</f>
        <v>0</v>
      </c>
      <c r="BY44" s="8">
        <f>VLOOKUP($C44,Захоронение!$B$16:$C$104,2,0)</f>
        <v>0</v>
      </c>
      <c r="BZ44" s="8">
        <f>VLOOKUP($C44,'ДК ИП'!$B$16:$C$104,2,0)</f>
        <v>0</v>
      </c>
      <c r="CA44" s="8">
        <f>VLOOKUP(C44,Радар!$B$16:$G$104,2,0)</f>
        <v>2</v>
      </c>
      <c r="CB44" s="8">
        <f t="shared" si="21"/>
        <v>0.1</v>
      </c>
    </row>
    <row r="45" spans="1:80" ht="15.6" thickBot="1">
      <c r="A45" s="9" t="s">
        <v>654</v>
      </c>
      <c r="B45" s="121">
        <f t="shared" si="14"/>
        <v>35</v>
      </c>
      <c r="C45" s="202" t="s">
        <v>38</v>
      </c>
      <c r="D45" s="277" t="str">
        <f>VLOOKUP($C45,Штаб!$B$16:$J$104,6,0)</f>
        <v/>
      </c>
      <c r="E45" s="285" t="str">
        <f>VLOOKUP($C45,Штаб!$B$16:$J$104,7,0)</f>
        <v/>
      </c>
      <c r="F45" s="285" t="str">
        <f>VLOOKUP($C45,Штаб!$B$16:$J$104,8,0)</f>
        <v/>
      </c>
      <c r="G45" s="286" t="str">
        <f>VLOOKUP($C45,Штаб!$B$16:$J$104,9,0)</f>
        <v>✔️</v>
      </c>
      <c r="H45" s="280" t="str">
        <f>VLOOKUP(C45,'РО - регионы'!$B$16:$I$104,8,0)</f>
        <v>1 / 5 / 3 из 9</v>
      </c>
      <c r="I45" s="237"/>
      <c r="J45" s="122"/>
      <c r="K45" s="94"/>
      <c r="L45" s="94"/>
      <c r="M45" s="98"/>
      <c r="N45" s="165">
        <f>VLOOKUP(C45,Спецтехника!$B$16:$J$104,4,0)</f>
        <v>63</v>
      </c>
      <c r="O45" s="168">
        <f>VLOOKUP(C45,Спецтехника!$B$16:$J$104,5,0)</f>
        <v>34</v>
      </c>
      <c r="P45" s="168">
        <f>VLOOKUP(C45,Спецтехника!$B$16:$J$104,6,0)</f>
        <v>29</v>
      </c>
      <c r="Q45" s="171">
        <f>VLOOKUP(C45,Спецтехника!$B$16:$J$104,7,0)</f>
        <v>0.46031746031746029</v>
      </c>
      <c r="R45" s="242"/>
      <c r="S45" s="122"/>
      <c r="T45" s="94"/>
      <c r="U45" s="94"/>
      <c r="V45" s="98"/>
      <c r="W45" s="165">
        <f>VLOOKUP($C45,МНО!$B$16:$AB$104,16,0)</f>
        <v>954</v>
      </c>
      <c r="X45" s="168">
        <f>VLOOKUP($C45,МНО!$B$16:$AB$104,8,0)</f>
        <v>954</v>
      </c>
      <c r="Y45" s="168">
        <f>VLOOKUP($C45,МНО!$B$16:$AB$104,11,0)</f>
        <v>0</v>
      </c>
      <c r="Z45" s="174">
        <f>VLOOKUP($C45,МНО!$B$16:$AB$104,17,0)</f>
        <v>0</v>
      </c>
      <c r="AA45" s="245"/>
      <c r="AB45" s="95">
        <f>VLOOKUP($C45,МНО!$B$16:$AB$104,13,0)</f>
        <v>6.8672359375351419</v>
      </c>
      <c r="AC45" s="154">
        <f>VLOOKUP($C45,МНО!$B$16:$AB$104,18,0)</f>
        <v>1</v>
      </c>
      <c r="AD45" s="165">
        <f>VLOOKUP($C45,Контейнеры!$B$16:$AB$104,16,0)</f>
        <v>2657</v>
      </c>
      <c r="AE45" s="168">
        <f>VLOOKUP($C45,Контейнеры!$B$16:$AB$104,8,0)</f>
        <v>2657</v>
      </c>
      <c r="AF45" s="168">
        <f>VLOOKUP($C45,Контейнеры!$B$16:$AB$104,11,0)</f>
        <v>0</v>
      </c>
      <c r="AG45" s="174">
        <f>VLOOKUP($C45,Контейнеры!$B$16:$AB$104,17,0)</f>
        <v>0</v>
      </c>
      <c r="AH45" s="245"/>
      <c r="AI45" s="95">
        <f>VLOOKUP($C45,Контейнеры!$B$16:$AB$104,13,0)</f>
        <v>19.919482408330644</v>
      </c>
      <c r="AJ45" s="154">
        <f>VLOOKUP($C45,Контейнеры!$B$16:$AB$104,18,0)</f>
        <v>1</v>
      </c>
      <c r="AK45" s="135"/>
      <c r="AL45" s="94"/>
      <c r="AM45" s="94"/>
      <c r="AN45" s="116"/>
      <c r="AO45" s="79">
        <f>VLOOKUP($C45,Обработка!$B$16:$L$104,6,0)</f>
        <v>0</v>
      </c>
      <c r="AP45" s="75">
        <f t="shared" si="15"/>
        <v>-0.54300000000000004</v>
      </c>
      <c r="AQ45" s="75">
        <f>VLOOKUP($C45,Обработка!$B$16:$L$104,7,0)</f>
        <v>1</v>
      </c>
      <c r="AR45" s="178">
        <f t="shared" si="16"/>
        <v>0.19299999999999995</v>
      </c>
      <c r="AS45" s="180">
        <f>VLOOKUP($C45,Утилизация!$B$16:$L$104,6,0)</f>
        <v>0</v>
      </c>
      <c r="AT45" s="76">
        <f t="shared" si="17"/>
        <v>-0.13900000000000001</v>
      </c>
      <c r="AU45" s="75">
        <f>VLOOKUP($C45,Утилизация!$B$16:$L$104,7,0)</f>
        <v>0.4</v>
      </c>
      <c r="AV45" s="185">
        <f t="shared" si="18"/>
        <v>0.11400000000000005</v>
      </c>
      <c r="AW45" s="162" t="str">
        <f>VLOOKUP(C45,Захоронение!$B$16:$Q$104,16,0)</f>
        <v>белые пятна</v>
      </c>
      <c r="AX45" s="135"/>
      <c r="AY45" s="94"/>
      <c r="AZ45" s="94"/>
      <c r="BA45" s="98"/>
      <c r="BB45" s="127" t="str">
        <f>VLOOKUP(C45,'ДК ИП'!$B$16:$S$104,5,0)</f>
        <v>нет</v>
      </c>
      <c r="BC45" s="289">
        <f>VLOOKUP(C45,Радар!$B$16:$G$104,6,0)</f>
        <v>2.2490947393674045E-2</v>
      </c>
      <c r="BD45" s="98"/>
      <c r="BF45" s="293">
        <f t="shared" si="19"/>
        <v>1</v>
      </c>
      <c r="BI45" s="8">
        <f t="shared" si="20"/>
        <v>2</v>
      </c>
      <c r="BJ45" s="8">
        <f>VLOOKUP(C45,Штаб!$B$16:$C$104,2)</f>
        <v>2</v>
      </c>
      <c r="BK45" s="8">
        <f>VLOOKUP(C45,'РО - регионы'!$B$16:$C$104,2)</f>
        <v>2</v>
      </c>
      <c r="BL45" s="8">
        <f>VLOOKUP(C45,'РО - регионы'!$B$16:$L$104,11)</f>
        <v>2</v>
      </c>
      <c r="BM45" s="8">
        <f>VLOOKUP(C45,Спецтехника!$B$16:$C$104,2)</f>
        <v>2</v>
      </c>
      <c r="BN45" s="8">
        <f>VLOOKUP($C45,МНО!$B$16:$AB$104,6,0)</f>
        <v>2</v>
      </c>
      <c r="BO45" s="8">
        <f>VLOOKUP($C45,МНО!$B$16:$AB$104,4,0)</f>
        <v>0</v>
      </c>
      <c r="BP45" s="8">
        <f>VLOOKUP($C45,МНО!$B$16:$AB$104,5,0)</f>
        <v>0</v>
      </c>
      <c r="BQ45" s="8">
        <f>VLOOKUP($C45,Контейнеры!$B$16:$G$104,6,0)</f>
        <v>2</v>
      </c>
      <c r="BR45" s="8">
        <f>VLOOKUP($C45,Контейнеры!$B$16:$G$104,4,0)</f>
        <v>0</v>
      </c>
      <c r="BS45" s="8">
        <f>VLOOKUP($C45,Контейнеры!$B$16:$G$104,5,0)</f>
        <v>0</v>
      </c>
      <c r="BT45" s="8">
        <f>VLOOKUP($C45,'ДК МНО'!$B$16:$C$104,2,0)</f>
        <v>2</v>
      </c>
      <c r="BU45" s="8">
        <f>VLOOKUP($C45,Обработка!$B$16:$F$104,5,0)</f>
        <v>0</v>
      </c>
      <c r="BV45" s="8">
        <f>VLOOKUP($C45,Обработка!$B$16:$F$104,4,0)</f>
        <v>2</v>
      </c>
      <c r="BW45" s="8">
        <f>VLOOKUP($C45,Утилизация!$B$16:$F$104,5,0)</f>
        <v>0</v>
      </c>
      <c r="BX45" s="8">
        <f>VLOOKUP($C45,Утилизация!$B$16:$F$104,4,0)</f>
        <v>2</v>
      </c>
      <c r="BY45" s="8">
        <f>VLOOKUP($C45,Захоронение!$B$16:$C$104,2,0)</f>
        <v>2</v>
      </c>
      <c r="BZ45" s="8">
        <f>VLOOKUP($C45,'ДК ИП'!$B$16:$C$104,2,0)</f>
        <v>0</v>
      </c>
      <c r="CA45" s="8">
        <f>VLOOKUP(C45,Радар!$B$16:$G$104,2,0)</f>
        <v>0</v>
      </c>
      <c r="CB45" s="8">
        <f t="shared" si="21"/>
        <v>1.4</v>
      </c>
    </row>
    <row r="46" spans="1:80" ht="15.6" thickBot="1">
      <c r="A46" s="9" t="s">
        <v>657</v>
      </c>
      <c r="B46" s="122">
        <f t="shared" si="14"/>
        <v>36</v>
      </c>
      <c r="C46" s="202" t="s">
        <v>39</v>
      </c>
      <c r="D46" s="277" t="str">
        <f>VLOOKUP($C46,Штаб!$B$16:$J$104,6,0)</f>
        <v/>
      </c>
      <c r="E46" s="285" t="str">
        <f>VLOOKUP($C46,Штаб!$B$16:$J$104,7,0)</f>
        <v/>
      </c>
      <c r="F46" s="285" t="str">
        <f>VLOOKUP($C46,Штаб!$B$16:$J$104,8,0)</f>
        <v/>
      </c>
      <c r="G46" s="286" t="str">
        <f>VLOOKUP($C46,Штаб!$B$16:$J$104,9,0)</f>
        <v>✔️</v>
      </c>
      <c r="H46" s="279" t="str">
        <f>VLOOKUP(C46,'РО - регионы'!$B$16:$I$104,8,0)</f>
        <v>0 / 0 / 7 из 7</v>
      </c>
      <c r="I46" s="237"/>
      <c r="J46" s="122"/>
      <c r="K46" s="94"/>
      <c r="L46" s="94"/>
      <c r="M46" s="98"/>
      <c r="N46" s="163">
        <f>VLOOKUP(C46,Спецтехника!$B$16:$J$104,4,0)</f>
        <v>1653</v>
      </c>
      <c r="O46" s="166">
        <f>VLOOKUP(C46,Спецтехника!$B$16:$J$104,5,0)</f>
        <v>1515</v>
      </c>
      <c r="P46" s="166">
        <f>VLOOKUP(C46,Спецтехника!$B$16:$J$104,6,0)</f>
        <v>138</v>
      </c>
      <c r="Q46" s="169">
        <f>VLOOKUP(C46,Спецтехника!$B$16:$J$104,7,0)</f>
        <v>8.3484573502722328E-2</v>
      </c>
      <c r="R46" s="242"/>
      <c r="S46" s="122"/>
      <c r="T46" s="94"/>
      <c r="U46" s="94"/>
      <c r="V46" s="98"/>
      <c r="W46" s="163">
        <f>VLOOKUP($C46,МНО!$B$16:$AB$104,16,0)</f>
        <v>80049</v>
      </c>
      <c r="X46" s="166">
        <f>VLOOKUP($C46,МНО!$B$16:$AB$104,8,0)</f>
        <v>79870</v>
      </c>
      <c r="Y46" s="166">
        <f>VLOOKUP($C46,МНО!$B$16:$AB$104,11,0)</f>
        <v>179</v>
      </c>
      <c r="Z46" s="173">
        <f>VLOOKUP($C46,МНО!$B$16:$AB$104,17,0)</f>
        <v>2.2361303701482842E-3</v>
      </c>
      <c r="AA46" s="245"/>
      <c r="AB46" s="95">
        <f>VLOOKUP($C46,МНО!$B$16:$AB$104,13,0)</f>
        <v>7.6800373587200017</v>
      </c>
      <c r="AC46" s="154">
        <f>VLOOKUP($C46,МНО!$B$16:$AB$104,18,0)</f>
        <v>1</v>
      </c>
      <c r="AD46" s="163">
        <f>VLOOKUP($C46,Контейнеры!$B$16:$AB$104,16,0)</f>
        <v>222866</v>
      </c>
      <c r="AE46" s="166">
        <f>VLOOKUP($C46,Контейнеры!$B$16:$AB$104,8,0)</f>
        <v>207855</v>
      </c>
      <c r="AF46" s="166">
        <f>VLOOKUP($C46,Контейнеры!$B$16:$AB$104,11,0)</f>
        <v>15011</v>
      </c>
      <c r="AG46" s="173">
        <f>VLOOKUP($C46,Контейнеры!$B$16:$AB$104,17,0)</f>
        <v>6.7354374377428583E-2</v>
      </c>
      <c r="AH46" s="245"/>
      <c r="AI46" s="95">
        <f>VLOOKUP($C46,Контейнеры!$B$16:$AB$104,13,0)</f>
        <v>24.025980030654495</v>
      </c>
      <c r="AJ46" s="154">
        <f>VLOOKUP($C46,Контейнеры!$B$16:$AB$104,18,0)</f>
        <v>1</v>
      </c>
      <c r="AK46" s="135"/>
      <c r="AL46" s="94"/>
      <c r="AM46" s="94"/>
      <c r="AN46" s="116"/>
      <c r="AO46" s="78">
        <f>VLOOKUP($C46,Обработка!$B$16:$L$104,6,0)</f>
        <v>1</v>
      </c>
      <c r="AP46" s="75">
        <f t="shared" si="15"/>
        <v>0.45699999999999996</v>
      </c>
      <c r="AQ46" s="75">
        <f>VLOOKUP($C46,Обработка!$B$16:$L$104,7,0)</f>
        <v>1</v>
      </c>
      <c r="AR46" s="178">
        <f t="shared" si="16"/>
        <v>0.19299999999999995</v>
      </c>
      <c r="AS46" s="182">
        <f>VLOOKUP($C46,Утилизация!$B$16:$L$104,6,0)</f>
        <v>0.5</v>
      </c>
      <c r="AT46" s="75">
        <f t="shared" si="17"/>
        <v>0.36099999999999999</v>
      </c>
      <c r="AU46" s="75">
        <f>VLOOKUP($C46,Утилизация!$B$16:$L$104,7,0)</f>
        <v>0.6</v>
      </c>
      <c r="AV46" s="185">
        <f t="shared" si="18"/>
        <v>0.314</v>
      </c>
      <c r="AW46" s="161" t="str">
        <f>VLOOKUP(C46,Захоронение!$B$16:$Q$104,16,0)</f>
        <v/>
      </c>
      <c r="AX46" s="135"/>
      <c r="AY46" s="94"/>
      <c r="AZ46" s="94"/>
      <c r="BA46" s="98"/>
      <c r="BB46" s="127" t="str">
        <f>VLOOKUP(C46,'ДК ИП'!$B$16:$S$104,5,0)</f>
        <v>не подписана</v>
      </c>
      <c r="BC46" s="288">
        <f>VLOOKUP(C46,Радар!$B$16:$G$104,6,0)</f>
        <v>0.10900146337065353</v>
      </c>
      <c r="BD46" s="98"/>
      <c r="BF46" s="296">
        <f t="shared" si="19"/>
        <v>0</v>
      </c>
      <c r="BI46" s="8">
        <f t="shared" si="20"/>
        <v>0</v>
      </c>
      <c r="BJ46" s="8">
        <f>VLOOKUP(C46,Штаб!$B$16:$C$104,2)</f>
        <v>2</v>
      </c>
      <c r="BK46" s="8">
        <f>VLOOKUP(C46,'РО - регионы'!$B$16:$C$104,2)</f>
        <v>0</v>
      </c>
      <c r="BL46" s="8">
        <f>VLOOKUP(C46,'РО - регионы'!$B$16:$L$104,11)</f>
        <v>0</v>
      </c>
      <c r="BM46" s="8">
        <f>VLOOKUP(C46,Спецтехника!$B$16:$C$104,2)</f>
        <v>0</v>
      </c>
      <c r="BN46" s="8">
        <f>VLOOKUP($C46,МНО!$B$16:$AB$104,6,0)</f>
        <v>0</v>
      </c>
      <c r="BO46" s="8">
        <f>VLOOKUP($C46,МНО!$B$16:$AB$104,4,0)</f>
        <v>0</v>
      </c>
      <c r="BP46" s="8">
        <f>VLOOKUP($C46,МНО!$B$16:$AB$104,5,0)</f>
        <v>0</v>
      </c>
      <c r="BQ46" s="8">
        <f>VLOOKUP($C46,Контейнеры!$B$16:$G$104,6,0)</f>
        <v>0</v>
      </c>
      <c r="BR46" s="8">
        <f>VLOOKUP($C46,Контейнеры!$B$16:$G$104,4,0)</f>
        <v>0</v>
      </c>
      <c r="BS46" s="8">
        <f>VLOOKUP($C46,Контейнеры!$B$16:$G$104,5,0)</f>
        <v>0</v>
      </c>
      <c r="BT46" s="8">
        <f>VLOOKUP($C46,'ДК МНО'!$B$16:$C$104,2,0)</f>
        <v>2</v>
      </c>
      <c r="BU46" s="8">
        <f>VLOOKUP($C46,Обработка!$B$16:$F$104,5,0)</f>
        <v>0</v>
      </c>
      <c r="BV46" s="8">
        <f>VLOOKUP($C46,Обработка!$B$16:$F$104,4,0)</f>
        <v>0</v>
      </c>
      <c r="BW46" s="8">
        <f>VLOOKUP($C46,Утилизация!$B$16:$F$104,5,0)</f>
        <v>0</v>
      </c>
      <c r="BX46" s="8">
        <f>VLOOKUP($C46,Утилизация!$B$16:$F$104,4,0)</f>
        <v>0</v>
      </c>
      <c r="BY46" s="8">
        <f>VLOOKUP($C46,Захоронение!$B$16:$C$104,2,0)</f>
        <v>0</v>
      </c>
      <c r="BZ46" s="8">
        <f>VLOOKUP($C46,'ДК ИП'!$B$16:$C$104,2,0)</f>
        <v>0</v>
      </c>
      <c r="CA46" s="8">
        <f>VLOOKUP(C46,Радар!$B$16:$G$104,2,0)</f>
        <v>2</v>
      </c>
      <c r="CB46" s="8">
        <f t="shared" si="21"/>
        <v>0</v>
      </c>
    </row>
    <row r="47" spans="1:80" ht="15.6" thickBot="1">
      <c r="A47" s="9" t="s">
        <v>655</v>
      </c>
      <c r="B47" s="121">
        <f t="shared" si="14"/>
        <v>37</v>
      </c>
      <c r="C47" s="202" t="s">
        <v>40</v>
      </c>
      <c r="D47" s="277" t="str">
        <f>VLOOKUP($C47,Штаб!$B$16:$J$104,6,0)</f>
        <v/>
      </c>
      <c r="E47" s="285" t="str">
        <f>VLOOKUP($C47,Штаб!$B$16:$J$104,7,0)</f>
        <v/>
      </c>
      <c r="F47" s="285" t="str">
        <f>VLOOKUP($C47,Штаб!$B$16:$J$104,8,0)</f>
        <v>✔️</v>
      </c>
      <c r="G47" s="286" t="str">
        <f>VLOOKUP($C47,Штаб!$B$16:$J$104,9,0)</f>
        <v/>
      </c>
      <c r="H47" s="279" t="str">
        <f>VLOOKUP(C47,'РО - регионы'!$B$16:$I$104,8,0)</f>
        <v>0 / 0 / 1 из 1</v>
      </c>
      <c r="I47" s="237"/>
      <c r="J47" s="122"/>
      <c r="K47" s="94"/>
      <c r="L47" s="94"/>
      <c r="M47" s="98"/>
      <c r="N47" s="163">
        <f>VLOOKUP(C47,Спецтехника!$B$16:$J$104,4,0)</f>
        <v>171</v>
      </c>
      <c r="O47" s="166">
        <f>VLOOKUP(C47,Спецтехника!$B$16:$J$104,5,0)</f>
        <v>171</v>
      </c>
      <c r="P47" s="166">
        <f>VLOOKUP(C47,Спецтехника!$B$16:$J$104,6,0)</f>
        <v>0</v>
      </c>
      <c r="Q47" s="169">
        <f>VLOOKUP(C47,Спецтехника!$B$16:$J$104,7,0)</f>
        <v>0</v>
      </c>
      <c r="R47" s="242"/>
      <c r="S47" s="122"/>
      <c r="T47" s="94"/>
      <c r="U47" s="94"/>
      <c r="V47" s="98"/>
      <c r="W47" s="163">
        <f>VLOOKUP($C47,МНО!$B$16:$AB$104,16,0)</f>
        <v>4970</v>
      </c>
      <c r="X47" s="166">
        <f>VLOOKUP($C47,МНО!$B$16:$AB$104,8,0)</f>
        <v>4920</v>
      </c>
      <c r="Y47" s="166">
        <f>VLOOKUP($C47,МНО!$B$16:$AB$104,11,0)</f>
        <v>50</v>
      </c>
      <c r="Z47" s="173">
        <f>VLOOKUP($C47,МНО!$B$16:$AB$104,17,0)</f>
        <v>1.0060362173038229E-2</v>
      </c>
      <c r="AA47" s="245"/>
      <c r="AB47" s="95">
        <f>VLOOKUP($C47,МНО!$B$16:$AB$104,13,0)</f>
        <v>6.5307005383600583</v>
      </c>
      <c r="AC47" s="154">
        <f>VLOOKUP($C47,МНО!$B$16:$AB$104,18,0)</f>
        <v>1</v>
      </c>
      <c r="AD47" s="163">
        <f>VLOOKUP($C47,Контейнеры!$B$16:$AB$104,16,0)</f>
        <v>12524</v>
      </c>
      <c r="AE47" s="166">
        <f>VLOOKUP($C47,Контейнеры!$B$16:$AB$104,8,0)</f>
        <v>12374</v>
      </c>
      <c r="AF47" s="166">
        <f>VLOOKUP($C47,Контейнеры!$B$16:$AB$104,11,0)</f>
        <v>150</v>
      </c>
      <c r="AG47" s="173">
        <f>VLOOKUP($C47,Контейнеры!$B$16:$AB$104,17,0)</f>
        <v>1.1977004152028107E-2</v>
      </c>
      <c r="AH47" s="245"/>
      <c r="AI47" s="95">
        <f>VLOOKUP($C47,Контейнеры!$B$16:$AB$104,13,0)</f>
        <v>18.850218908716439</v>
      </c>
      <c r="AJ47" s="154">
        <f>VLOOKUP($C47,Контейнеры!$B$16:$AB$104,18,0)</f>
        <v>1</v>
      </c>
      <c r="AK47" s="135"/>
      <c r="AL47" s="94"/>
      <c r="AM47" s="94"/>
      <c r="AN47" s="116"/>
      <c r="AO47" s="78">
        <f>VLOOKUP($C47,Обработка!$B$16:$L$104,6,0)</f>
        <v>0.996</v>
      </c>
      <c r="AP47" s="75">
        <f t="shared" si="15"/>
        <v>0.45299999999999996</v>
      </c>
      <c r="AQ47" s="75">
        <f>VLOOKUP($C47,Обработка!$B$16:$L$104,7,0)</f>
        <v>0.85</v>
      </c>
      <c r="AR47" s="178">
        <f t="shared" si="16"/>
        <v>4.2999999999999927E-2</v>
      </c>
      <c r="AS47" s="181">
        <f>VLOOKUP($C47,Утилизация!$B$16:$L$104,6,0)</f>
        <v>7.0000000000000007E-2</v>
      </c>
      <c r="AT47" s="74">
        <f t="shared" si="17"/>
        <v>-6.9000000000000006E-2</v>
      </c>
      <c r="AU47" s="76">
        <f>VLOOKUP($C47,Утилизация!$B$16:$L$104,7,0)</f>
        <v>6.3E-2</v>
      </c>
      <c r="AV47" s="184">
        <f t="shared" si="18"/>
        <v>-0.22299999999999998</v>
      </c>
      <c r="AW47" s="161" t="str">
        <f>VLOOKUP(C47,Захоронение!$B$16:$Q$104,16,0)</f>
        <v/>
      </c>
      <c r="AX47" s="135"/>
      <c r="AY47" s="94"/>
      <c r="AZ47" s="94"/>
      <c r="BA47" s="98"/>
      <c r="BB47" s="127" t="str">
        <f>VLOOKUP(C47,'ДК ИП'!$B$16:$S$104,5,0)</f>
        <v>не подписана</v>
      </c>
      <c r="BC47" s="290">
        <f>VLOOKUP(C47,Радар!$B$16:$G$104,6,0)</f>
        <v>6.5505043888379411E-2</v>
      </c>
      <c r="BD47" s="98"/>
      <c r="BF47" s="296">
        <f t="shared" si="19"/>
        <v>0.25</v>
      </c>
      <c r="BI47" s="8">
        <f t="shared" si="20"/>
        <v>0</v>
      </c>
      <c r="BJ47" s="8">
        <f>VLOOKUP(C47,Штаб!$B$16:$C$104,2)</f>
        <v>1</v>
      </c>
      <c r="BK47" s="8">
        <f>VLOOKUP(C47,'РО - регионы'!$B$16:$C$104,2)</f>
        <v>0</v>
      </c>
      <c r="BL47" s="8">
        <f>VLOOKUP(C47,'РО - регионы'!$B$16:$L$104,11)</f>
        <v>0</v>
      </c>
      <c r="BM47" s="8">
        <f>VLOOKUP(C47,Спецтехника!$B$16:$C$104,2)</f>
        <v>0</v>
      </c>
      <c r="BN47" s="8">
        <f>VLOOKUP($C47,МНО!$B$16:$AB$104,6,0)</f>
        <v>0</v>
      </c>
      <c r="BO47" s="8">
        <f>VLOOKUP($C47,МНО!$B$16:$AB$104,4,0)</f>
        <v>0</v>
      </c>
      <c r="BP47" s="8">
        <f>VLOOKUP($C47,МНО!$B$16:$AB$104,5,0)</f>
        <v>0</v>
      </c>
      <c r="BQ47" s="8">
        <f>VLOOKUP($C47,Контейнеры!$B$16:$G$104,6,0)</f>
        <v>0</v>
      </c>
      <c r="BR47" s="8">
        <f>VLOOKUP($C47,Контейнеры!$B$16:$G$104,4,0)</f>
        <v>0</v>
      </c>
      <c r="BS47" s="8">
        <f>VLOOKUP($C47,Контейнеры!$B$16:$G$104,5,0)</f>
        <v>0</v>
      </c>
      <c r="BT47" s="8">
        <f>VLOOKUP($C47,'ДК МНО'!$B$16:$C$104,2,0)</f>
        <v>2</v>
      </c>
      <c r="BU47" s="8">
        <f>VLOOKUP($C47,Обработка!$B$16:$F$104,5,0)</f>
        <v>0</v>
      </c>
      <c r="BV47" s="8">
        <f>VLOOKUP($C47,Обработка!$B$16:$F$104,4,0)</f>
        <v>0</v>
      </c>
      <c r="BW47" s="8">
        <f>VLOOKUP($C47,Утилизация!$B$16:$F$104,5,0)</f>
        <v>2</v>
      </c>
      <c r="BX47" s="8">
        <f>VLOOKUP($C47,Утилизация!$B$16:$F$104,4,0)</f>
        <v>1</v>
      </c>
      <c r="BY47" s="8">
        <f>VLOOKUP($C47,Захоронение!$B$16:$C$104,2,0)</f>
        <v>0</v>
      </c>
      <c r="BZ47" s="8">
        <f>VLOOKUP($C47,'ДК ИП'!$B$16:$C$104,2,0)</f>
        <v>0</v>
      </c>
      <c r="CA47" s="8">
        <f>VLOOKUP(C47,Радар!$B$16:$G$104,2,0)</f>
        <v>1</v>
      </c>
      <c r="CB47" s="8">
        <f t="shared" si="21"/>
        <v>0.15000000000000002</v>
      </c>
    </row>
    <row r="48" spans="1:80" ht="15.6" thickBot="1">
      <c r="A48" s="9" t="s">
        <v>655</v>
      </c>
      <c r="B48" s="122">
        <f t="shared" si="14"/>
        <v>38</v>
      </c>
      <c r="C48" s="202" t="s">
        <v>41</v>
      </c>
      <c r="D48" s="277" t="str">
        <f>VLOOKUP($C48,Штаб!$B$16:$J$104,6,0)</f>
        <v/>
      </c>
      <c r="E48" s="285" t="str">
        <f>VLOOKUP($C48,Штаб!$B$16:$J$104,7,0)</f>
        <v/>
      </c>
      <c r="F48" s="285" t="str">
        <f>VLOOKUP($C48,Штаб!$B$16:$J$104,8,0)</f>
        <v/>
      </c>
      <c r="G48" s="286" t="str">
        <f>VLOOKUP($C48,Штаб!$B$16:$J$104,9,0)</f>
        <v>✔️</v>
      </c>
      <c r="H48" s="279" t="str">
        <f>VLOOKUP(C48,'РО - регионы'!$B$16:$I$104,8,0)</f>
        <v>0 / 0 / 2 из 2</v>
      </c>
      <c r="I48" s="237"/>
      <c r="J48" s="122"/>
      <c r="K48" s="94"/>
      <c r="L48" s="94"/>
      <c r="M48" s="98"/>
      <c r="N48" s="164">
        <f>VLOOKUP(C48,Спецтехника!$B$16:$J$104,4,0)</f>
        <v>41</v>
      </c>
      <c r="O48" s="167">
        <f>VLOOKUP(C48,Спецтехника!$B$16:$J$104,5,0)</f>
        <v>37</v>
      </c>
      <c r="P48" s="167">
        <f>VLOOKUP(C48,Спецтехника!$B$16:$J$104,6,0)</f>
        <v>4</v>
      </c>
      <c r="Q48" s="170">
        <f>VLOOKUP(C48,Спецтехника!$B$16:$J$104,7,0)</f>
        <v>9.7560975609756101E-2</v>
      </c>
      <c r="R48" s="242"/>
      <c r="S48" s="122"/>
      <c r="T48" s="94"/>
      <c r="U48" s="94"/>
      <c r="V48" s="98"/>
      <c r="W48" s="163">
        <f>VLOOKUP($C48,МНО!$B$16:$AB$104,16,0)</f>
        <v>904</v>
      </c>
      <c r="X48" s="166">
        <f>VLOOKUP($C48,МНО!$B$16:$AB$104,8,0)</f>
        <v>826</v>
      </c>
      <c r="Y48" s="166">
        <f>VLOOKUP($C48,МНО!$B$16:$AB$104,11,0)</f>
        <v>78</v>
      </c>
      <c r="Z48" s="173">
        <f>VLOOKUP($C48,МНО!$B$16:$AB$104,17,0)</f>
        <v>8.628318584070796E-2</v>
      </c>
      <c r="AA48" s="245"/>
      <c r="AB48" s="95">
        <f>VLOOKUP($C48,МНО!$B$16:$AB$104,13,0)</f>
        <v>18.662372110647972</v>
      </c>
      <c r="AC48" s="154">
        <f>VLOOKUP($C48,МНО!$B$16:$AB$104,18,0)</f>
        <v>1</v>
      </c>
      <c r="AD48" s="163">
        <f>VLOOKUP($C48,Контейнеры!$B$16:$AB$104,16,0)</f>
        <v>1592</v>
      </c>
      <c r="AE48" s="166">
        <f>VLOOKUP($C48,Контейнеры!$B$16:$AB$104,8,0)</f>
        <v>1580</v>
      </c>
      <c r="AF48" s="166">
        <f>VLOOKUP($C48,Контейнеры!$B$16:$AB$104,11,0)</f>
        <v>12</v>
      </c>
      <c r="AG48" s="173">
        <f>VLOOKUP($C48,Контейнеры!$B$16:$AB$104,17,0)</f>
        <v>7.537688442211055E-3</v>
      </c>
      <c r="AH48" s="245"/>
      <c r="AI48" s="95">
        <f>VLOOKUP($C48,Контейнеры!$B$16:$AB$104,13,0)</f>
        <v>37.419477074649485</v>
      </c>
      <c r="AJ48" s="154">
        <f>VLOOKUP($C48,Контейнеры!$B$16:$AB$104,18,0)</f>
        <v>1</v>
      </c>
      <c r="AK48" s="135"/>
      <c r="AL48" s="94"/>
      <c r="AM48" s="94"/>
      <c r="AN48" s="116"/>
      <c r="AO48" s="79">
        <f>VLOOKUP($C48,Обработка!$B$16:$L$104,6,0)</f>
        <v>0.128</v>
      </c>
      <c r="AP48" s="75">
        <f t="shared" si="15"/>
        <v>-0.41500000000000004</v>
      </c>
      <c r="AQ48" s="76">
        <f>VLOOKUP($C48,Обработка!$B$16:$L$104,7,0)</f>
        <v>0.1</v>
      </c>
      <c r="AR48" s="177">
        <f t="shared" si="16"/>
        <v>-0.70700000000000007</v>
      </c>
      <c r="AS48" s="181">
        <f>VLOOKUP($C48,Утилизация!$B$16:$L$104,6,0)</f>
        <v>9.0999999999999998E-2</v>
      </c>
      <c r="AT48" s="74">
        <f t="shared" si="17"/>
        <v>-4.8000000000000015E-2</v>
      </c>
      <c r="AU48" s="76">
        <f>VLOOKUP($C48,Утилизация!$B$16:$L$104,7,0)</f>
        <v>7.0000000000000007E-2</v>
      </c>
      <c r="AV48" s="184">
        <f t="shared" si="18"/>
        <v>-0.21599999999999997</v>
      </c>
      <c r="AW48" s="162" t="str">
        <f>VLOOKUP(C48,Захоронение!$B$16:$Q$104,16,0)</f>
        <v>белые пятна</v>
      </c>
      <c r="AX48" s="135"/>
      <c r="AY48" s="94"/>
      <c r="AZ48" s="94"/>
      <c r="BA48" s="98"/>
      <c r="BB48" s="127" t="str">
        <f>VLOOKUP(C48,'ДК ИП'!$B$16:$S$104,5,0)</f>
        <v>нет</v>
      </c>
      <c r="BC48" s="288">
        <f>VLOOKUP(C48,Радар!$B$16:$G$104,6,0)</f>
        <v>7.2470632815460405</v>
      </c>
      <c r="BD48" s="98"/>
      <c r="BF48" s="293">
        <f t="shared" si="19"/>
        <v>1.25</v>
      </c>
      <c r="BI48" s="8">
        <f t="shared" si="20"/>
        <v>1</v>
      </c>
      <c r="BJ48" s="8">
        <f>VLOOKUP(C48,Штаб!$B$16:$C$104,2)</f>
        <v>2</v>
      </c>
      <c r="BK48" s="8">
        <f>VLOOKUP(C48,'РО - регионы'!$B$16:$C$104,2)</f>
        <v>0</v>
      </c>
      <c r="BL48" s="8">
        <f>VLOOKUP(C48,'РО - регионы'!$B$16:$L$104,11)</f>
        <v>0</v>
      </c>
      <c r="BM48" s="8">
        <f>VLOOKUP(C48,Спецтехника!$B$16:$C$104,2)</f>
        <v>1</v>
      </c>
      <c r="BN48" s="8">
        <f>VLOOKUP($C48,МНО!$B$16:$AB$104,6,0)</f>
        <v>0</v>
      </c>
      <c r="BO48" s="8">
        <f>VLOOKUP($C48,МНО!$B$16:$AB$104,4,0)</f>
        <v>0</v>
      </c>
      <c r="BP48" s="8">
        <f>VLOOKUP($C48,МНО!$B$16:$AB$104,5,0)</f>
        <v>0</v>
      </c>
      <c r="BQ48" s="8">
        <f>VLOOKUP($C48,Контейнеры!$B$16:$G$104,6,0)</f>
        <v>0</v>
      </c>
      <c r="BR48" s="8">
        <f>VLOOKUP($C48,Контейнеры!$B$16:$G$104,4,0)</f>
        <v>0</v>
      </c>
      <c r="BS48" s="8">
        <f>VLOOKUP($C48,Контейнеры!$B$16:$G$104,5,0)</f>
        <v>0</v>
      </c>
      <c r="BT48" s="8">
        <f>VLOOKUP($C48,'ДК МНО'!$B$16:$C$104,2,0)</f>
        <v>2</v>
      </c>
      <c r="BU48" s="8">
        <f>VLOOKUP($C48,Обработка!$B$16:$F$104,5,0)</f>
        <v>2</v>
      </c>
      <c r="BV48" s="8">
        <f>VLOOKUP($C48,Обработка!$B$16:$F$104,4,0)</f>
        <v>2</v>
      </c>
      <c r="BW48" s="8">
        <f>VLOOKUP($C48,Утилизация!$B$16:$F$104,5,0)</f>
        <v>2</v>
      </c>
      <c r="BX48" s="8">
        <f>VLOOKUP($C48,Утилизация!$B$16:$F$104,4,0)</f>
        <v>1</v>
      </c>
      <c r="BY48" s="8">
        <f>VLOOKUP($C48,Захоронение!$B$16:$C$104,2,0)</f>
        <v>2</v>
      </c>
      <c r="BZ48" s="8">
        <f>VLOOKUP($C48,'ДК ИП'!$B$16:$C$104,2,0)</f>
        <v>0</v>
      </c>
      <c r="CA48" s="8">
        <f>VLOOKUP(C48,Радар!$B$16:$G$104,2,0)</f>
        <v>2</v>
      </c>
      <c r="CB48" s="8">
        <f t="shared" si="21"/>
        <v>0.89999999999999991</v>
      </c>
    </row>
    <row r="49" spans="1:80" ht="15.6" thickBot="1">
      <c r="A49" s="9" t="s">
        <v>659</v>
      </c>
      <c r="B49" s="121">
        <f t="shared" si="14"/>
        <v>39</v>
      </c>
      <c r="C49" s="202" t="s">
        <v>42</v>
      </c>
      <c r="D49" s="277" t="str">
        <f>VLOOKUP($C49,Штаб!$B$16:$J$104,6,0)</f>
        <v>✔️</v>
      </c>
      <c r="E49" s="285" t="str">
        <f>VLOOKUP($C49,Штаб!$B$16:$J$104,7,0)</f>
        <v/>
      </c>
      <c r="F49" s="285" t="str">
        <f>VLOOKUP($C49,Штаб!$B$16:$J$104,8,0)</f>
        <v/>
      </c>
      <c r="G49" s="286" t="str">
        <f>VLOOKUP($C49,Штаб!$B$16:$J$104,9,0)</f>
        <v/>
      </c>
      <c r="H49" s="278" t="str">
        <f>VLOOKUP(C49,'РО - регионы'!$B$16:$I$104,8,0)</f>
        <v>0 / 2 / 7 из 9</v>
      </c>
      <c r="I49" s="237"/>
      <c r="J49" s="122"/>
      <c r="K49" s="94"/>
      <c r="L49" s="94"/>
      <c r="M49" s="98"/>
      <c r="N49" s="164">
        <f>VLOOKUP(C49,Спецтехника!$B$16:$J$104,4,0)</f>
        <v>534</v>
      </c>
      <c r="O49" s="167">
        <f>VLOOKUP(C49,Спецтехника!$B$16:$J$104,5,0)</f>
        <v>482</v>
      </c>
      <c r="P49" s="167">
        <f>VLOOKUP(C49,Спецтехника!$B$16:$J$104,6,0)</f>
        <v>52</v>
      </c>
      <c r="Q49" s="170">
        <f>VLOOKUP(C49,Спецтехника!$B$16:$J$104,7,0)</f>
        <v>9.7378277153558054E-2</v>
      </c>
      <c r="R49" s="242"/>
      <c r="S49" s="122"/>
      <c r="T49" s="94"/>
      <c r="U49" s="94"/>
      <c r="V49" s="98"/>
      <c r="W49" s="164">
        <f>VLOOKUP($C49,МНО!$B$16:$AB$104,16,0)</f>
        <v>37162</v>
      </c>
      <c r="X49" s="167">
        <f>VLOOKUP($C49,МНО!$B$16:$AB$104,8,0)</f>
        <v>28895</v>
      </c>
      <c r="Y49" s="167">
        <f>VLOOKUP($C49,МНО!$B$16:$AB$104,11,0)</f>
        <v>8267</v>
      </c>
      <c r="Z49" s="172">
        <f>VLOOKUP($C49,МНО!$B$16:$AB$104,17,0)</f>
        <v>0.22245842527312845</v>
      </c>
      <c r="AA49" s="245"/>
      <c r="AB49" s="95">
        <f>VLOOKUP($C49,МНО!$B$16:$AB$104,13,0)</f>
        <v>8.6500334113748991</v>
      </c>
      <c r="AC49" s="154">
        <f>VLOOKUP($C49,МНО!$B$16:$AB$104,18,0)</f>
        <v>0.93224713663494108</v>
      </c>
      <c r="AD49" s="165">
        <f>VLOOKUP($C49,Контейнеры!$B$16:$AB$104,16,0)</f>
        <v>59725</v>
      </c>
      <c r="AE49" s="168">
        <f>VLOOKUP($C49,Контейнеры!$B$16:$AB$104,8,0)</f>
        <v>59725</v>
      </c>
      <c r="AF49" s="168">
        <f>VLOOKUP($C49,Контейнеры!$B$16:$AB$104,11,0)</f>
        <v>0</v>
      </c>
      <c r="AG49" s="174">
        <f>VLOOKUP($C49,Контейнеры!$B$16:$AB$104,17,0)</f>
        <v>0</v>
      </c>
      <c r="AH49" s="245"/>
      <c r="AI49" s="95">
        <f>VLOOKUP($C49,Контейнеры!$B$16:$AB$104,13,0)</f>
        <v>19.515837318463504</v>
      </c>
      <c r="AJ49" s="154">
        <f>VLOOKUP($C49,Контейнеры!$B$16:$AB$104,18,0)</f>
        <v>0.88336217479404244</v>
      </c>
      <c r="AK49" s="135"/>
      <c r="AL49" s="94"/>
      <c r="AM49" s="94"/>
      <c r="AN49" s="116"/>
      <c r="AO49" s="78">
        <f>VLOOKUP($C49,Обработка!$B$16:$L$104,6,0)</f>
        <v>0.80500000000000005</v>
      </c>
      <c r="AP49" s="75">
        <f t="shared" si="15"/>
        <v>0.26200000000000001</v>
      </c>
      <c r="AQ49" s="75">
        <f>VLOOKUP($C49,Обработка!$B$16:$L$104,7,0)</f>
        <v>0.96</v>
      </c>
      <c r="AR49" s="178">
        <f t="shared" si="16"/>
        <v>0.15299999999999991</v>
      </c>
      <c r="AS49" s="181">
        <f>VLOOKUP($C49,Утилизация!$B$16:$L$104,6,0)</f>
        <v>0.125</v>
      </c>
      <c r="AT49" s="74">
        <f t="shared" si="17"/>
        <v>-1.4000000000000012E-2</v>
      </c>
      <c r="AU49" s="74">
        <f>VLOOKUP($C49,Утилизация!$B$16:$L$104,7,0)</f>
        <v>0.182</v>
      </c>
      <c r="AV49" s="186">
        <f t="shared" si="18"/>
        <v>-0.10399999999999998</v>
      </c>
      <c r="AW49" s="161" t="str">
        <f>VLOOKUP(C49,Захоронение!$B$16:$Q$104,16,0)</f>
        <v/>
      </c>
      <c r="AX49" s="135"/>
      <c r="AY49" s="94"/>
      <c r="AZ49" s="94"/>
      <c r="BA49" s="98"/>
      <c r="BB49" s="127" t="str">
        <f>VLOOKUP(C49,'ДК ИП'!$B$16:$S$104,5,0)</f>
        <v>небольшое</v>
      </c>
      <c r="BC49" s="289">
        <f>VLOOKUP(C49,Радар!$B$16:$G$104,6,0)</f>
        <v>8.4958019301808463E-3</v>
      </c>
      <c r="BD49" s="98"/>
      <c r="BF49" s="296">
        <f t="shared" si="19"/>
        <v>0.16666666666666666</v>
      </c>
      <c r="BI49" s="8">
        <f t="shared" si="20"/>
        <v>0</v>
      </c>
      <c r="BJ49" s="8">
        <f>VLOOKUP(C49,Штаб!$B$16:$C$104,2)</f>
        <v>0</v>
      </c>
      <c r="BK49" s="8">
        <f>VLOOKUP(C49,'РО - регионы'!$B$16:$C$104,2)</f>
        <v>1</v>
      </c>
      <c r="BL49" s="8">
        <f>VLOOKUP(C49,'РО - регионы'!$B$16:$L$104,11)</f>
        <v>2</v>
      </c>
      <c r="BM49" s="8">
        <f>VLOOKUP(C49,Спецтехника!$B$16:$C$104,2)</f>
        <v>1</v>
      </c>
      <c r="BN49" s="8">
        <f>VLOOKUP($C49,МНО!$B$16:$AB$104,6,0)</f>
        <v>1</v>
      </c>
      <c r="BO49" s="8">
        <f>VLOOKUP($C49,МНО!$B$16:$AB$104,4,0)</f>
        <v>0</v>
      </c>
      <c r="BP49" s="8">
        <f>VLOOKUP($C49,МНО!$B$16:$AB$104,5,0)</f>
        <v>0</v>
      </c>
      <c r="BQ49" s="8">
        <f>VLOOKUP($C49,Контейнеры!$B$16:$G$104,6,0)</f>
        <v>2</v>
      </c>
      <c r="BR49" s="8">
        <f>VLOOKUP($C49,Контейнеры!$B$16:$G$104,4,0)</f>
        <v>0</v>
      </c>
      <c r="BS49" s="8">
        <f>VLOOKUP($C49,Контейнеры!$B$16:$G$104,5,0)</f>
        <v>1</v>
      </c>
      <c r="BT49" s="8">
        <f>VLOOKUP($C49,'ДК МНО'!$B$16:$C$104,2,0)</f>
        <v>2</v>
      </c>
      <c r="BU49" s="8">
        <f>VLOOKUP($C49,Обработка!$B$16:$F$104,5,0)</f>
        <v>0</v>
      </c>
      <c r="BV49" s="8">
        <f>VLOOKUP($C49,Обработка!$B$16:$F$104,4,0)</f>
        <v>0</v>
      </c>
      <c r="BW49" s="8">
        <f>VLOOKUP($C49,Утилизация!$B$16:$F$104,5,0)</f>
        <v>1</v>
      </c>
      <c r="BX49" s="8">
        <f>VLOOKUP($C49,Утилизация!$B$16:$F$104,4,0)</f>
        <v>1</v>
      </c>
      <c r="BY49" s="8">
        <f>VLOOKUP($C49,Захоронение!$B$16:$C$104,2,0)</f>
        <v>0</v>
      </c>
      <c r="BZ49" s="8">
        <f>VLOOKUP($C49,'ДК ИП'!$B$16:$C$104,2,0)</f>
        <v>0</v>
      </c>
      <c r="CA49" s="8">
        <f>VLOOKUP(C49,Радар!$B$16:$G$104,2,0)</f>
        <v>0</v>
      </c>
      <c r="CB49" s="8">
        <f t="shared" si="21"/>
        <v>0.5</v>
      </c>
    </row>
    <row r="50" spans="1:80" ht="15.6" thickBot="1">
      <c r="A50" s="9" t="s">
        <v>655</v>
      </c>
      <c r="B50" s="122">
        <f t="shared" si="14"/>
        <v>40</v>
      </c>
      <c r="C50" s="202" t="s">
        <v>43</v>
      </c>
      <c r="D50" s="277" t="str">
        <f>VLOOKUP($C50,Штаб!$B$16:$J$104,6,0)</f>
        <v>✔️</v>
      </c>
      <c r="E50" s="285" t="str">
        <f>VLOOKUP($C50,Штаб!$B$16:$J$104,7,0)</f>
        <v/>
      </c>
      <c r="F50" s="285" t="str">
        <f>VLOOKUP($C50,Штаб!$B$16:$J$104,8,0)</f>
        <v/>
      </c>
      <c r="G50" s="286" t="str">
        <f>VLOOKUP($C50,Штаб!$B$16:$J$104,9,0)</f>
        <v/>
      </c>
      <c r="H50" s="280" t="str">
        <f>VLOOKUP(C50,'РО - регионы'!$B$16:$I$104,8,0)</f>
        <v>1 / 2 / 1 из 4</v>
      </c>
      <c r="I50" s="237"/>
      <c r="J50" s="122"/>
      <c r="K50" s="94"/>
      <c r="L50" s="94"/>
      <c r="M50" s="98"/>
      <c r="N50" s="164">
        <f>VLOOKUP(C50,Спецтехника!$B$16:$J$104,4,0)</f>
        <v>79</v>
      </c>
      <c r="O50" s="167">
        <f>VLOOKUP(C50,Спецтехника!$B$16:$J$104,5,0)</f>
        <v>65</v>
      </c>
      <c r="P50" s="167">
        <f>VLOOKUP(C50,Спецтехника!$B$16:$J$104,6,0)</f>
        <v>14</v>
      </c>
      <c r="Q50" s="170">
        <f>VLOOKUP(C50,Спецтехника!$B$16:$J$104,7,0)</f>
        <v>0.17721518987341772</v>
      </c>
      <c r="R50" s="242"/>
      <c r="S50" s="122"/>
      <c r="T50" s="94"/>
      <c r="U50" s="94"/>
      <c r="V50" s="98"/>
      <c r="W50" s="163">
        <f>VLOOKUP($C50,МНО!$B$16:$AB$104,16,0)</f>
        <v>4953</v>
      </c>
      <c r="X50" s="166">
        <f>VLOOKUP($C50,МНО!$B$16:$AB$104,8,0)</f>
        <v>4932</v>
      </c>
      <c r="Y50" s="166">
        <f>VLOOKUP($C50,МНО!$B$16:$AB$104,11,0)</f>
        <v>21</v>
      </c>
      <c r="Z50" s="173">
        <f>VLOOKUP($C50,МНО!$B$16:$AB$104,17,0)</f>
        <v>4.2398546335554212E-3</v>
      </c>
      <c r="AA50" s="245"/>
      <c r="AB50" s="95">
        <f>VLOOKUP($C50,МНО!$B$16:$AB$104,13,0)</f>
        <v>8.2492339622047179</v>
      </c>
      <c r="AC50" s="154">
        <f>VLOOKUP($C50,МНО!$B$16:$AB$104,18,0)</f>
        <v>1</v>
      </c>
      <c r="AD50" s="163">
        <f>VLOOKUP($C50,Контейнеры!$B$16:$AB$104,16,0)</f>
        <v>9764</v>
      </c>
      <c r="AE50" s="166">
        <f>VLOOKUP($C50,Контейнеры!$B$16:$AB$104,8,0)</f>
        <v>9744</v>
      </c>
      <c r="AF50" s="166">
        <f>VLOOKUP($C50,Контейнеры!$B$16:$AB$104,11,0)</f>
        <v>20</v>
      </c>
      <c r="AG50" s="173">
        <f>VLOOKUP($C50,Контейнеры!$B$16:$AB$104,17,0)</f>
        <v>2.0483408439164277E-3</v>
      </c>
      <c r="AH50" s="245"/>
      <c r="AI50" s="95">
        <f>VLOOKUP($C50,Контейнеры!$B$16:$AB$104,13,0)</f>
        <v>17.051450090734576</v>
      </c>
      <c r="AJ50" s="154">
        <f>VLOOKUP($C50,Контейнеры!$B$16:$AB$104,18,0)</f>
        <v>1</v>
      </c>
      <c r="AK50" s="135"/>
      <c r="AL50" s="94"/>
      <c r="AM50" s="94"/>
      <c r="AN50" s="116"/>
      <c r="AO50" s="78">
        <f>VLOOKUP($C50,Обработка!$B$16:$L$104,6,0)</f>
        <v>0.81400000000000006</v>
      </c>
      <c r="AP50" s="75">
        <f t="shared" si="15"/>
        <v>0.27100000000000002</v>
      </c>
      <c r="AQ50" s="74">
        <f>VLOOKUP($C50,Обработка!$B$16:$L$104,7,0)</f>
        <v>0.6</v>
      </c>
      <c r="AR50" s="179">
        <f t="shared" si="16"/>
        <v>-0.20700000000000007</v>
      </c>
      <c r="AS50" s="181">
        <f>VLOOKUP($C50,Утилизация!$B$16:$L$104,6,0)</f>
        <v>0.129</v>
      </c>
      <c r="AT50" s="74">
        <f t="shared" si="17"/>
        <v>-1.0000000000000009E-2</v>
      </c>
      <c r="AU50" s="76">
        <f>VLOOKUP($C50,Утилизация!$B$16:$L$104,7,0)</f>
        <v>7.8E-2</v>
      </c>
      <c r="AV50" s="184">
        <f t="shared" si="18"/>
        <v>-0.20799999999999996</v>
      </c>
      <c r="AW50" s="161" t="str">
        <f>VLOOKUP(C50,Захоронение!$B$16:$Q$104,16,0)</f>
        <v/>
      </c>
      <c r="AX50" s="135"/>
      <c r="AY50" s="94"/>
      <c r="AZ50" s="94"/>
      <c r="BA50" s="98"/>
      <c r="BB50" s="127" t="str">
        <f>VLOOKUP(C50,'ДК ИП'!$B$16:$S$104,5,0)</f>
        <v>небольшое</v>
      </c>
      <c r="BC50" s="288">
        <f>VLOOKUP(C50,Радар!$B$16:$G$104,6,0)</f>
        <v>0.20124350989680584</v>
      </c>
      <c r="BD50" s="98"/>
      <c r="BF50" s="296">
        <f t="shared" si="19"/>
        <v>0.33333333333333331</v>
      </c>
      <c r="BI50" s="8">
        <f t="shared" si="20"/>
        <v>0</v>
      </c>
      <c r="BJ50" s="8">
        <f>VLOOKUP(C50,Штаб!$B$16:$C$104,2)</f>
        <v>0</v>
      </c>
      <c r="BK50" s="8">
        <f>VLOOKUP(C50,'РО - регионы'!$B$16:$C$104,2)</f>
        <v>2</v>
      </c>
      <c r="BL50" s="8">
        <f>VLOOKUP(C50,'РО - регионы'!$B$16:$L$104,11)</f>
        <v>2</v>
      </c>
      <c r="BM50" s="8">
        <f>VLOOKUP(C50,Спецтехника!$B$16:$C$104,2)</f>
        <v>1</v>
      </c>
      <c r="BN50" s="8">
        <f>VLOOKUP($C50,МНО!$B$16:$AB$104,6,0)</f>
        <v>0</v>
      </c>
      <c r="BO50" s="8">
        <f>VLOOKUP($C50,МНО!$B$16:$AB$104,4,0)</f>
        <v>0</v>
      </c>
      <c r="BP50" s="8">
        <f>VLOOKUP($C50,МНО!$B$16:$AB$104,5,0)</f>
        <v>0</v>
      </c>
      <c r="BQ50" s="8">
        <f>VLOOKUP($C50,Контейнеры!$B$16:$G$104,6,0)</f>
        <v>0</v>
      </c>
      <c r="BR50" s="8">
        <f>VLOOKUP($C50,Контейнеры!$B$16:$G$104,4,0)</f>
        <v>0</v>
      </c>
      <c r="BS50" s="8">
        <f>VLOOKUP($C50,Контейнеры!$B$16:$G$104,5,0)</f>
        <v>0</v>
      </c>
      <c r="BT50" s="8">
        <f>VLOOKUP($C50,'ДК МНО'!$B$16:$C$104,2,0)</f>
        <v>2</v>
      </c>
      <c r="BU50" s="8">
        <f>VLOOKUP($C50,Обработка!$B$16:$F$104,5,0)</f>
        <v>1</v>
      </c>
      <c r="BV50" s="8">
        <f>VLOOKUP($C50,Обработка!$B$16:$F$104,4,0)</f>
        <v>0</v>
      </c>
      <c r="BW50" s="8">
        <f>VLOOKUP($C50,Утилизация!$B$16:$F$104,5,0)</f>
        <v>2</v>
      </c>
      <c r="BX50" s="8">
        <f>VLOOKUP($C50,Утилизация!$B$16:$F$104,4,0)</f>
        <v>1</v>
      </c>
      <c r="BY50" s="8">
        <f>VLOOKUP($C50,Захоронение!$B$16:$C$104,2,0)</f>
        <v>0</v>
      </c>
      <c r="BZ50" s="8">
        <f>VLOOKUP($C50,'ДК ИП'!$B$16:$C$104,2,0)</f>
        <v>0</v>
      </c>
      <c r="CA50" s="8">
        <f>VLOOKUP(C50,Радар!$B$16:$G$104,2,0)</f>
        <v>2</v>
      </c>
      <c r="CB50" s="8">
        <f t="shared" si="21"/>
        <v>0.65</v>
      </c>
    </row>
    <row r="51" spans="1:80" ht="15.6" thickBot="1">
      <c r="A51" s="9" t="s">
        <v>653</v>
      </c>
      <c r="B51" s="121">
        <f t="shared" si="14"/>
        <v>41</v>
      </c>
      <c r="C51" s="202" t="s">
        <v>44</v>
      </c>
      <c r="D51" s="277" t="str">
        <f>VLOOKUP($C51,Штаб!$B$16:$J$104,6,0)</f>
        <v/>
      </c>
      <c r="E51" s="285" t="str">
        <f>VLOOKUP($C51,Штаб!$B$16:$J$104,7,0)</f>
        <v/>
      </c>
      <c r="F51" s="285" t="str">
        <f>VLOOKUP($C51,Штаб!$B$16:$J$104,8,0)</f>
        <v/>
      </c>
      <c r="G51" s="286" t="str">
        <f>VLOOKUP($C51,Штаб!$B$16:$J$104,9,0)</f>
        <v>✔️</v>
      </c>
      <c r="H51" s="279" t="str">
        <f>VLOOKUP(C51,'РО - регионы'!$B$16:$I$104,8,0)</f>
        <v>0 / 0 / 1 из 1</v>
      </c>
      <c r="I51" s="237"/>
      <c r="J51" s="122"/>
      <c r="K51" s="94"/>
      <c r="L51" s="94"/>
      <c r="M51" s="98"/>
      <c r="N51" s="163">
        <f>VLOOKUP(C51,Спецтехника!$B$16:$J$104,4,0)</f>
        <v>631</v>
      </c>
      <c r="O51" s="166">
        <f>VLOOKUP(C51,Спецтехника!$B$16:$J$104,5,0)</f>
        <v>597</v>
      </c>
      <c r="P51" s="166">
        <f>VLOOKUP(C51,Спецтехника!$B$16:$J$104,6,0)</f>
        <v>34</v>
      </c>
      <c r="Q51" s="169">
        <f>VLOOKUP(C51,Спецтехника!$B$16:$J$104,7,0)</f>
        <v>5.388272583201268E-2</v>
      </c>
      <c r="R51" s="242"/>
      <c r="S51" s="122"/>
      <c r="T51" s="94"/>
      <c r="U51" s="94"/>
      <c r="V51" s="98"/>
      <c r="W51" s="163">
        <f>VLOOKUP($C51,МНО!$B$16:$AB$104,16,0)</f>
        <v>18031</v>
      </c>
      <c r="X51" s="166">
        <f>VLOOKUP($C51,МНО!$B$16:$AB$104,8,0)</f>
        <v>16196</v>
      </c>
      <c r="Y51" s="166">
        <f>VLOOKUP($C51,МНО!$B$16:$AB$104,11,0)</f>
        <v>1835</v>
      </c>
      <c r="Z51" s="173">
        <f>VLOOKUP($C51,МНО!$B$16:$AB$104,17,0)</f>
        <v>0.10176917530918973</v>
      </c>
      <c r="AA51" s="245"/>
      <c r="AB51" s="95">
        <f>VLOOKUP($C51,МНО!$B$16:$AB$104,13,0)</f>
        <v>3.6131508797891545</v>
      </c>
      <c r="AC51" s="154">
        <f>VLOOKUP($C51,МНО!$B$16:$AB$104,18,0)</f>
        <v>1</v>
      </c>
      <c r="AD51" s="163">
        <f>VLOOKUP($C51,Контейнеры!$B$16:$AB$104,16,0)</f>
        <v>42807</v>
      </c>
      <c r="AE51" s="166">
        <f>VLOOKUP($C51,Контейнеры!$B$16:$AB$104,8,0)</f>
        <v>38649</v>
      </c>
      <c r="AF51" s="166">
        <f>VLOOKUP($C51,Контейнеры!$B$16:$AB$104,11,0)</f>
        <v>4158</v>
      </c>
      <c r="AG51" s="173">
        <f>VLOOKUP($C51,Контейнеры!$B$16:$AB$104,17,0)</f>
        <v>9.7133646366248508E-2</v>
      </c>
      <c r="AH51" s="245"/>
      <c r="AI51" s="95">
        <f>VLOOKUP($C51,Контейнеры!$B$16:$AB$104,13,0)</f>
        <v>13.855012238612067</v>
      </c>
      <c r="AJ51" s="154">
        <f>VLOOKUP($C51,Контейнеры!$B$16:$AB$104,18,0)</f>
        <v>1</v>
      </c>
      <c r="AK51" s="135"/>
      <c r="AL51" s="94"/>
      <c r="AM51" s="94"/>
      <c r="AN51" s="116"/>
      <c r="AO51" s="79">
        <f>VLOOKUP($C51,Обработка!$B$16:$L$104,6,0)</f>
        <v>9.6000000000000002E-2</v>
      </c>
      <c r="AP51" s="75">
        <f t="shared" si="15"/>
        <v>-0.44700000000000006</v>
      </c>
      <c r="AQ51" s="74">
        <f>VLOOKUP($C51,Обработка!$B$16:$L$104,7,0)</f>
        <v>0.8</v>
      </c>
      <c r="AR51" s="179">
        <f t="shared" si="16"/>
        <v>-7.0000000000000062E-3</v>
      </c>
      <c r="AS51" s="180">
        <f>VLOOKUP($C51,Утилизация!$B$16:$L$104,6,0)</f>
        <v>2.4E-2</v>
      </c>
      <c r="AT51" s="76">
        <f t="shared" si="17"/>
        <v>-0.11500000000000002</v>
      </c>
      <c r="AU51" s="75">
        <f>VLOOKUP($C51,Утилизация!$B$16:$L$104,7,0)</f>
        <v>0.43200000000000005</v>
      </c>
      <c r="AV51" s="185">
        <f t="shared" si="18"/>
        <v>0.14600000000000007</v>
      </c>
      <c r="AW51" s="162" t="str">
        <f>VLOOKUP(C51,Захоронение!$B$16:$Q$104,16,0)</f>
        <v>765 приказ</v>
      </c>
      <c r="AX51" s="135"/>
      <c r="AY51" s="94"/>
      <c r="AZ51" s="94"/>
      <c r="BA51" s="98"/>
      <c r="BB51" s="127" t="str">
        <f>VLOOKUP(C51,'ДК ИП'!$B$16:$S$104,5,0)</f>
        <v>небольшое</v>
      </c>
      <c r="BC51" s="289">
        <f>VLOOKUP(C51,Радар!$B$16:$G$104,6,0)</f>
        <v>3.2621959525827277E-2</v>
      </c>
      <c r="BD51" s="98"/>
      <c r="BF51" s="293">
        <f t="shared" si="19"/>
        <v>1.0833333333333333</v>
      </c>
      <c r="BI51" s="8">
        <f t="shared" si="20"/>
        <v>1</v>
      </c>
      <c r="BJ51" s="8">
        <f>VLOOKUP(C51,Штаб!$B$16:$C$104,2)</f>
        <v>2</v>
      </c>
      <c r="BK51" s="8">
        <f>VLOOKUP(C51,'РО - регионы'!$B$16:$C$104,2)</f>
        <v>0</v>
      </c>
      <c r="BL51" s="8">
        <f>VLOOKUP(C51,'РО - регионы'!$B$16:$L$104,11)</f>
        <v>0</v>
      </c>
      <c r="BM51" s="8">
        <f>VLOOKUP(C51,Спецтехника!$B$16:$C$104,2)</f>
        <v>0</v>
      </c>
      <c r="BN51" s="8">
        <f>VLOOKUP($C51,МНО!$B$16:$AB$104,6,0)</f>
        <v>0</v>
      </c>
      <c r="BO51" s="8">
        <f>VLOOKUP($C51,МНО!$B$16:$AB$104,4,0)</f>
        <v>1</v>
      </c>
      <c r="BP51" s="8">
        <f>VLOOKUP($C51,МНО!$B$16:$AB$104,5,0)</f>
        <v>0</v>
      </c>
      <c r="BQ51" s="8">
        <f>VLOOKUP($C51,Контейнеры!$B$16:$G$104,6,0)</f>
        <v>0</v>
      </c>
      <c r="BR51" s="8">
        <f>VLOOKUP($C51,Контейнеры!$B$16:$G$104,4,0)</f>
        <v>0</v>
      </c>
      <c r="BS51" s="8">
        <f>VLOOKUP($C51,Контейнеры!$B$16:$G$104,5,0)</f>
        <v>0</v>
      </c>
      <c r="BT51" s="8">
        <f>VLOOKUP($C51,'ДК МНО'!$B$16:$C$104,2,0)</f>
        <v>2</v>
      </c>
      <c r="BU51" s="8">
        <f>VLOOKUP($C51,Обработка!$B$16:$F$104,5,0)</f>
        <v>1</v>
      </c>
      <c r="BV51" s="8">
        <f>VLOOKUP($C51,Обработка!$B$16:$F$104,4,0)</f>
        <v>2</v>
      </c>
      <c r="BW51" s="8">
        <f>VLOOKUP($C51,Утилизация!$B$16:$F$104,5,0)</f>
        <v>0</v>
      </c>
      <c r="BX51" s="8">
        <f>VLOOKUP($C51,Утилизация!$B$16:$F$104,4,0)</f>
        <v>2</v>
      </c>
      <c r="BY51" s="8">
        <f>VLOOKUP($C51,Захоронение!$B$16:$C$104,2,0)</f>
        <v>2</v>
      </c>
      <c r="BZ51" s="8">
        <f>VLOOKUP($C51,'ДК ИП'!$B$16:$C$104,2,0)</f>
        <v>0</v>
      </c>
      <c r="CA51" s="8">
        <f>VLOOKUP(C51,Радар!$B$16:$G$104,2,0)</f>
        <v>0</v>
      </c>
      <c r="CB51" s="8">
        <f t="shared" si="21"/>
        <v>0.8</v>
      </c>
    </row>
    <row r="52" spans="1:80" ht="15.6" thickBot="1">
      <c r="A52" s="9" t="s">
        <v>653</v>
      </c>
      <c r="B52" s="122">
        <f t="shared" si="14"/>
        <v>42</v>
      </c>
      <c r="C52" s="202" t="s">
        <v>45</v>
      </c>
      <c r="D52" s="277" t="str">
        <f>VLOOKUP($C52,Штаб!$B$16:$J$104,6,0)</f>
        <v>✔️</v>
      </c>
      <c r="E52" s="285" t="str">
        <f>VLOOKUP($C52,Штаб!$B$16:$J$104,7,0)</f>
        <v/>
      </c>
      <c r="F52" s="285" t="str">
        <f>VLOOKUP($C52,Штаб!$B$16:$J$104,8,0)</f>
        <v/>
      </c>
      <c r="G52" s="286" t="str">
        <f>VLOOKUP($C52,Штаб!$B$16:$J$104,9,0)</f>
        <v/>
      </c>
      <c r="H52" s="278" t="str">
        <f>VLOOKUP(C52,'РО - регионы'!$B$16:$I$104,8,0)</f>
        <v>0 / 1 / 0 из 1</v>
      </c>
      <c r="I52" s="237"/>
      <c r="J52" s="122"/>
      <c r="K52" s="94"/>
      <c r="L52" s="94"/>
      <c r="M52" s="98"/>
      <c r="N52" s="163">
        <f>VLOOKUP(C52,Спецтехника!$B$16:$J$104,4,0)</f>
        <v>191</v>
      </c>
      <c r="O52" s="166">
        <f>VLOOKUP(C52,Спецтехника!$B$16:$J$104,5,0)</f>
        <v>191</v>
      </c>
      <c r="P52" s="166">
        <f>VLOOKUP(C52,Спецтехника!$B$16:$J$104,6,0)</f>
        <v>0</v>
      </c>
      <c r="Q52" s="169">
        <f>VLOOKUP(C52,Спецтехника!$B$16:$J$104,7,0)</f>
        <v>0</v>
      </c>
      <c r="R52" s="242"/>
      <c r="S52" s="122"/>
      <c r="T52" s="94"/>
      <c r="U52" s="94"/>
      <c r="V52" s="98"/>
      <c r="W52" s="163">
        <f>VLOOKUP($C52,МНО!$B$16:$AB$104,16,0)</f>
        <v>21898</v>
      </c>
      <c r="X52" s="166">
        <f>VLOOKUP($C52,МНО!$B$16:$AB$104,8,0)</f>
        <v>19250</v>
      </c>
      <c r="Y52" s="166">
        <f>VLOOKUP($C52,МНО!$B$16:$AB$104,11,0)</f>
        <v>2648</v>
      </c>
      <c r="Z52" s="173">
        <f>VLOOKUP($C52,МНО!$B$16:$AB$104,17,0)</f>
        <v>0.12092428532286054</v>
      </c>
      <c r="AA52" s="245"/>
      <c r="AB52" s="95">
        <f>VLOOKUP($C52,МНО!$B$16:$AB$104,13,0)</f>
        <v>10.045140705123446</v>
      </c>
      <c r="AC52" s="154">
        <f>VLOOKUP($C52,МНО!$B$16:$AB$104,18,0)</f>
        <v>1</v>
      </c>
      <c r="AD52" s="163">
        <f>VLOOKUP($C52,Контейнеры!$B$16:$AB$104,16,0)</f>
        <v>42882</v>
      </c>
      <c r="AE52" s="166">
        <f>VLOOKUP($C52,Контейнеры!$B$16:$AB$104,8,0)</f>
        <v>38248</v>
      </c>
      <c r="AF52" s="166">
        <f>VLOOKUP($C52,Контейнеры!$B$16:$AB$104,11,0)</f>
        <v>4634</v>
      </c>
      <c r="AG52" s="173">
        <f>VLOOKUP($C52,Контейнеры!$B$16:$AB$104,17,0)</f>
        <v>0.10806398955272609</v>
      </c>
      <c r="AH52" s="245"/>
      <c r="AI52" s="95">
        <f>VLOOKUP($C52,Контейнеры!$B$16:$AB$104,13,0)</f>
        <v>21.037427678342087</v>
      </c>
      <c r="AJ52" s="154">
        <f>VLOOKUP($C52,Контейнеры!$B$16:$AB$104,18,0)</f>
        <v>0.98712158360647273</v>
      </c>
      <c r="AK52" s="135"/>
      <c r="AL52" s="94"/>
      <c r="AM52" s="94"/>
      <c r="AN52" s="116"/>
      <c r="AO52" s="80">
        <f>VLOOKUP($C52,Обработка!$B$16:$L$104,6,0)</f>
        <v>0.46700000000000003</v>
      </c>
      <c r="AP52" s="75">
        <f t="shared" si="15"/>
        <v>-7.6000000000000012E-2</v>
      </c>
      <c r="AQ52" s="75">
        <f>VLOOKUP($C52,Обработка!$B$16:$L$104,7,0)</f>
        <v>1</v>
      </c>
      <c r="AR52" s="178">
        <f t="shared" si="16"/>
        <v>0.19299999999999995</v>
      </c>
      <c r="AS52" s="180">
        <f>VLOOKUP($C52,Утилизация!$B$16:$L$104,6,0)</f>
        <v>1.9E-2</v>
      </c>
      <c r="AT52" s="76">
        <f t="shared" si="17"/>
        <v>-0.12000000000000001</v>
      </c>
      <c r="AU52" s="75">
        <f>VLOOKUP($C52,Утилизация!$B$16:$L$104,7,0)</f>
        <v>0.309</v>
      </c>
      <c r="AV52" s="185">
        <f t="shared" si="18"/>
        <v>2.300000000000002E-2</v>
      </c>
      <c r="AW52" s="162" t="str">
        <f>VLOOKUP(C52,Захоронение!$B$16:$Q$104,16,0)</f>
        <v>765 приказ</v>
      </c>
      <c r="AX52" s="135"/>
      <c r="AY52" s="94"/>
      <c r="AZ52" s="94"/>
      <c r="BA52" s="98"/>
      <c r="BB52" s="127" t="str">
        <f>VLOOKUP(C52,'ДК ИП'!$B$16:$S$104,5,0)</f>
        <v>существенное</v>
      </c>
      <c r="BC52" s="288">
        <f>VLOOKUP(C52,Радар!$B$16:$G$104,6,0)</f>
        <v>0.16610811438138753</v>
      </c>
      <c r="BD52" s="98"/>
      <c r="BF52" s="293">
        <f t="shared" si="19"/>
        <v>1.0833333333333333</v>
      </c>
      <c r="BI52" s="8">
        <f t="shared" si="20"/>
        <v>1</v>
      </c>
      <c r="BJ52" s="8">
        <f>VLOOKUP(C52,Штаб!$B$16:$C$104,2)</f>
        <v>0</v>
      </c>
      <c r="BK52" s="8">
        <f>VLOOKUP(C52,'РО - регионы'!$B$16:$C$104,2)</f>
        <v>1</v>
      </c>
      <c r="BL52" s="8">
        <f>VLOOKUP(C52,'РО - регионы'!$B$16:$L$104,11)</f>
        <v>0</v>
      </c>
      <c r="BM52" s="8">
        <f>VLOOKUP(C52,Спецтехника!$B$16:$C$104,2)</f>
        <v>0</v>
      </c>
      <c r="BN52" s="8">
        <f>VLOOKUP($C52,МНО!$B$16:$AB$104,6,0)</f>
        <v>0</v>
      </c>
      <c r="BO52" s="8">
        <f>VLOOKUP($C52,МНО!$B$16:$AB$104,4,0)</f>
        <v>0</v>
      </c>
      <c r="BP52" s="8">
        <f>VLOOKUP($C52,МНО!$B$16:$AB$104,5,0)</f>
        <v>0</v>
      </c>
      <c r="BQ52" s="8">
        <f>VLOOKUP($C52,Контейнеры!$B$16:$G$104,6,0)</f>
        <v>0</v>
      </c>
      <c r="BR52" s="8">
        <f>VLOOKUP($C52,Контейнеры!$B$16:$G$104,4,0)</f>
        <v>0</v>
      </c>
      <c r="BS52" s="8">
        <f>VLOOKUP($C52,Контейнеры!$B$16:$G$104,5,0)</f>
        <v>0</v>
      </c>
      <c r="BT52" s="8">
        <f>VLOOKUP($C52,'ДК МНО'!$B$16:$C$104,2,0)</f>
        <v>2</v>
      </c>
      <c r="BU52" s="8">
        <f>VLOOKUP($C52,Обработка!$B$16:$F$104,5,0)</f>
        <v>0</v>
      </c>
      <c r="BV52" s="8">
        <f>VLOOKUP($C52,Обработка!$B$16:$F$104,4,0)</f>
        <v>1</v>
      </c>
      <c r="BW52" s="8">
        <f>VLOOKUP($C52,Утилизация!$B$16:$F$104,5,0)</f>
        <v>0</v>
      </c>
      <c r="BX52" s="8">
        <f>VLOOKUP($C52,Утилизация!$B$16:$F$104,4,0)</f>
        <v>2</v>
      </c>
      <c r="BY52" s="8">
        <f>VLOOKUP($C52,Захоронение!$B$16:$C$104,2,0)</f>
        <v>2</v>
      </c>
      <c r="BZ52" s="8">
        <f>VLOOKUP($C52,'ДК ИП'!$B$16:$C$104,2,0)</f>
        <v>2</v>
      </c>
      <c r="CA52" s="8">
        <f>VLOOKUP(C52,Радар!$B$16:$G$104,2,0)</f>
        <v>2</v>
      </c>
      <c r="CB52" s="8">
        <f t="shared" si="21"/>
        <v>1.05</v>
      </c>
    </row>
    <row r="53" spans="1:80" ht="15.6" thickBot="1">
      <c r="A53" s="9" t="s">
        <v>659</v>
      </c>
      <c r="B53" s="121">
        <f t="shared" si="14"/>
        <v>43</v>
      </c>
      <c r="C53" s="202" t="s">
        <v>46</v>
      </c>
      <c r="D53" s="277" t="str">
        <f>VLOOKUP($C53,Штаб!$B$16:$J$104,6,0)</f>
        <v/>
      </c>
      <c r="E53" s="285" t="str">
        <f>VLOOKUP($C53,Штаб!$B$16:$J$104,7,0)</f>
        <v/>
      </c>
      <c r="F53" s="285" t="str">
        <f>VLOOKUP($C53,Штаб!$B$16:$J$104,8,0)</f>
        <v>✔️</v>
      </c>
      <c r="G53" s="286" t="str">
        <f>VLOOKUP($C53,Штаб!$B$16:$J$104,9,0)</f>
        <v/>
      </c>
      <c r="H53" s="279" t="str">
        <f>VLOOKUP(C53,'РО - регионы'!$B$16:$I$104,8,0)</f>
        <v>0 / 0 / 1 из 1</v>
      </c>
      <c r="I53" s="237"/>
      <c r="J53" s="122"/>
      <c r="K53" s="94"/>
      <c r="L53" s="94"/>
      <c r="M53" s="98"/>
      <c r="N53" s="163">
        <f>VLOOKUP(C53,Спецтехника!$B$16:$J$104,4,0)</f>
        <v>202</v>
      </c>
      <c r="O53" s="166">
        <f>VLOOKUP(C53,Спецтехника!$B$16:$J$104,5,0)</f>
        <v>202</v>
      </c>
      <c r="P53" s="166">
        <f>VLOOKUP(C53,Спецтехника!$B$16:$J$104,6,0)</f>
        <v>0</v>
      </c>
      <c r="Q53" s="169">
        <f>VLOOKUP(C53,Спецтехника!$B$16:$J$104,7,0)</f>
        <v>0</v>
      </c>
      <c r="R53" s="242"/>
      <c r="S53" s="122"/>
      <c r="T53" s="94"/>
      <c r="U53" s="94"/>
      <c r="V53" s="98"/>
      <c r="W53" s="164">
        <f>VLOOKUP($C53,МНО!$B$16:$AB$104,16,0)</f>
        <v>16230</v>
      </c>
      <c r="X53" s="167">
        <f>VLOOKUP($C53,МНО!$B$16:$AB$104,8,0)</f>
        <v>12551</v>
      </c>
      <c r="Y53" s="167">
        <f>VLOOKUP($C53,МНО!$B$16:$AB$104,11,0)</f>
        <v>3679</v>
      </c>
      <c r="Z53" s="172">
        <f>VLOOKUP($C53,МНО!$B$16:$AB$104,17,0)</f>
        <v>0.22667898952556995</v>
      </c>
      <c r="AA53" s="245"/>
      <c r="AB53" s="95">
        <f>VLOOKUP($C53,МНО!$B$16:$AB$104,13,0)</f>
        <v>6.6589888967635247</v>
      </c>
      <c r="AC53" s="154">
        <f>VLOOKUP($C53,МНО!$B$16:$AB$104,18,0)</f>
        <v>1</v>
      </c>
      <c r="AD53" s="164">
        <f>VLOOKUP($C53,Контейнеры!$B$16:$AB$104,16,0)</f>
        <v>35675</v>
      </c>
      <c r="AE53" s="167">
        <f>VLOOKUP($C53,Контейнеры!$B$16:$AB$104,8,0)</f>
        <v>29484</v>
      </c>
      <c r="AF53" s="167">
        <f>VLOOKUP($C53,Контейнеры!$B$16:$AB$104,11,0)</f>
        <v>6191</v>
      </c>
      <c r="AG53" s="172">
        <f>VLOOKUP($C53,Контейнеры!$B$16:$AB$104,17,0)</f>
        <v>0.17353889278206028</v>
      </c>
      <c r="AH53" s="245"/>
      <c r="AI53" s="95">
        <f>VLOOKUP($C53,Контейнеры!$B$16:$AB$104,13,0)</f>
        <v>16.123316796598157</v>
      </c>
      <c r="AJ53" s="154">
        <f>VLOOKUP($C53,Контейнеры!$B$16:$AB$104,18,0)</f>
        <v>1</v>
      </c>
      <c r="AK53" s="135"/>
      <c r="AL53" s="94"/>
      <c r="AM53" s="94"/>
      <c r="AN53" s="116"/>
      <c r="AO53" s="78">
        <f>VLOOKUP($C53,Обработка!$B$16:$L$104,6,0)</f>
        <v>0.68500000000000005</v>
      </c>
      <c r="AP53" s="75">
        <f t="shared" si="15"/>
        <v>0.14200000000000002</v>
      </c>
      <c r="AQ53" s="74">
        <f>VLOOKUP($C53,Обработка!$B$16:$L$104,7,0)</f>
        <v>0.6</v>
      </c>
      <c r="AR53" s="179">
        <f t="shared" si="16"/>
        <v>-0.20700000000000007</v>
      </c>
      <c r="AS53" s="180">
        <f>VLOOKUP($C53,Утилизация!$B$16:$L$104,6,0)</f>
        <v>2.2000000000000002E-2</v>
      </c>
      <c r="AT53" s="76">
        <f t="shared" si="17"/>
        <v>-0.11700000000000001</v>
      </c>
      <c r="AU53" s="74">
        <f>VLOOKUP($C53,Утилизация!$B$16:$L$104,7,0)</f>
        <v>0.28000000000000003</v>
      </c>
      <c r="AV53" s="186">
        <f t="shared" si="18"/>
        <v>-5.9999999999999498E-3</v>
      </c>
      <c r="AW53" s="161" t="str">
        <f>VLOOKUP(C53,Захоронение!$B$16:$Q$104,16,0)</f>
        <v/>
      </c>
      <c r="AX53" s="135"/>
      <c r="AY53" s="94"/>
      <c r="AZ53" s="94"/>
      <c r="BA53" s="98"/>
      <c r="BB53" s="127" t="str">
        <f>VLOOKUP(C53,'ДК ИП'!$B$16:$S$104,5,0)</f>
        <v>среднее</v>
      </c>
      <c r="BC53" s="290">
        <f>VLOOKUP(C53,Радар!$B$16:$G$104,6,0)</f>
        <v>0.10991679134840013</v>
      </c>
      <c r="BD53" s="98"/>
      <c r="BF53" s="296">
        <f t="shared" si="19"/>
        <v>0.41666666666666669</v>
      </c>
      <c r="BI53" s="8">
        <f t="shared" si="20"/>
        <v>0</v>
      </c>
      <c r="BJ53" s="8">
        <f>VLOOKUP(C53,Штаб!$B$16:$C$104,2)</f>
        <v>1</v>
      </c>
      <c r="BK53" s="8">
        <f>VLOOKUP(C53,'РО - регионы'!$B$16:$C$104,2)</f>
        <v>0</v>
      </c>
      <c r="BL53" s="8">
        <f>VLOOKUP(C53,'РО - регионы'!$B$16:$L$104,11)</f>
        <v>0</v>
      </c>
      <c r="BM53" s="8">
        <f>VLOOKUP(C53,Спецтехника!$B$16:$C$104,2)</f>
        <v>0</v>
      </c>
      <c r="BN53" s="8">
        <f>VLOOKUP($C53,МНО!$B$16:$AB$104,6,0)</f>
        <v>1</v>
      </c>
      <c r="BO53" s="8">
        <f>VLOOKUP($C53,МНО!$B$16:$AB$104,4,0)</f>
        <v>0</v>
      </c>
      <c r="BP53" s="8">
        <f>VLOOKUP($C53,МНО!$B$16:$AB$104,5,0)</f>
        <v>0</v>
      </c>
      <c r="BQ53" s="8">
        <f>VLOOKUP($C53,Контейнеры!$B$16:$G$104,6,0)</f>
        <v>1</v>
      </c>
      <c r="BR53" s="8">
        <f>VLOOKUP($C53,Контейнеры!$B$16:$G$104,4,0)</f>
        <v>0</v>
      </c>
      <c r="BS53" s="8">
        <f>VLOOKUP($C53,Контейнеры!$B$16:$G$104,5,0)</f>
        <v>0</v>
      </c>
      <c r="BT53" s="8">
        <f>VLOOKUP($C53,'ДК МНО'!$B$16:$C$104,2,0)</f>
        <v>2</v>
      </c>
      <c r="BU53" s="8">
        <f>VLOOKUP($C53,Обработка!$B$16:$F$104,5,0)</f>
        <v>1</v>
      </c>
      <c r="BV53" s="8">
        <f>VLOOKUP($C53,Обработка!$B$16:$F$104,4,0)</f>
        <v>0</v>
      </c>
      <c r="BW53" s="8">
        <f>VLOOKUP($C53,Утилизация!$B$16:$F$104,5,0)</f>
        <v>1</v>
      </c>
      <c r="BX53" s="8">
        <f>VLOOKUP($C53,Утилизация!$B$16:$F$104,4,0)</f>
        <v>2</v>
      </c>
      <c r="BY53" s="8">
        <f>VLOOKUP($C53,Захоронение!$B$16:$C$104,2,0)</f>
        <v>0</v>
      </c>
      <c r="BZ53" s="8">
        <f>VLOOKUP($C53,'ДК ИП'!$B$16:$C$104,2,0)</f>
        <v>1</v>
      </c>
      <c r="CA53" s="8">
        <f>VLOOKUP(C53,Радар!$B$16:$G$104,2,0)</f>
        <v>1</v>
      </c>
      <c r="CB53" s="8">
        <f t="shared" si="21"/>
        <v>0.4</v>
      </c>
    </row>
    <row r="54" spans="1:80" ht="15.6" thickBot="1">
      <c r="A54" s="9" t="s">
        <v>657</v>
      </c>
      <c r="B54" s="122">
        <f t="shared" si="14"/>
        <v>44</v>
      </c>
      <c r="C54" s="202" t="s">
        <v>47</v>
      </c>
      <c r="D54" s="277" t="str">
        <f>VLOOKUP($C54,Штаб!$B$16:$J$104,6,0)</f>
        <v>✔️</v>
      </c>
      <c r="E54" s="285" t="str">
        <f>VLOOKUP($C54,Штаб!$B$16:$J$104,7,0)</f>
        <v/>
      </c>
      <c r="F54" s="285" t="str">
        <f>VLOOKUP($C54,Штаб!$B$16:$J$104,8,0)</f>
        <v/>
      </c>
      <c r="G54" s="286" t="str">
        <f>VLOOKUP($C54,Штаб!$B$16:$J$104,9,0)</f>
        <v/>
      </c>
      <c r="H54" s="279" t="str">
        <f>VLOOKUP(C54,'РО - регионы'!$B$16:$I$104,8,0)</f>
        <v>0 / 0 / 1 из 1</v>
      </c>
      <c r="I54" s="237"/>
      <c r="J54" s="122"/>
      <c r="K54" s="94"/>
      <c r="L54" s="94"/>
      <c r="M54" s="98"/>
      <c r="N54" s="163">
        <f>VLOOKUP(C54,Спецтехника!$B$16:$J$104,4,0)</f>
        <v>78</v>
      </c>
      <c r="O54" s="166">
        <f>VLOOKUP(C54,Спецтехника!$B$16:$J$104,5,0)</f>
        <v>78</v>
      </c>
      <c r="P54" s="166">
        <f>VLOOKUP(C54,Спецтехника!$B$16:$J$104,6,0)</f>
        <v>0</v>
      </c>
      <c r="Q54" s="169">
        <f>VLOOKUP(C54,Спецтехника!$B$16:$J$104,7,0)</f>
        <v>0</v>
      </c>
      <c r="R54" s="242"/>
      <c r="S54" s="122"/>
      <c r="T54" s="94"/>
      <c r="U54" s="94"/>
      <c r="V54" s="98"/>
      <c r="W54" s="164">
        <f>VLOOKUP($C54,МНО!$B$16:$AB$104,16,0)</f>
        <v>12095</v>
      </c>
      <c r="X54" s="167">
        <f>VLOOKUP($C54,МНО!$B$16:$AB$104,8,0)</f>
        <v>9385</v>
      </c>
      <c r="Y54" s="167">
        <f>VLOOKUP($C54,МНО!$B$16:$AB$104,11,0)</f>
        <v>2710</v>
      </c>
      <c r="Z54" s="172">
        <f>VLOOKUP($C54,МНО!$B$16:$AB$104,17,0)</f>
        <v>0.22405952873088053</v>
      </c>
      <c r="AA54" s="245"/>
      <c r="AB54" s="95">
        <f>VLOOKUP($C54,МНО!$B$16:$AB$104,13,0)</f>
        <v>12.170643161016974</v>
      </c>
      <c r="AC54" s="154">
        <f>VLOOKUP($C54,МНО!$B$16:$AB$104,18,0)</f>
        <v>1</v>
      </c>
      <c r="AD54" s="163">
        <f>VLOOKUP($C54,Контейнеры!$B$16:$AB$104,16,0)</f>
        <v>19592</v>
      </c>
      <c r="AE54" s="166">
        <f>VLOOKUP($C54,Контейнеры!$B$16:$AB$104,8,0)</f>
        <v>19433</v>
      </c>
      <c r="AF54" s="166">
        <f>VLOOKUP($C54,Контейнеры!$B$16:$AB$104,11,0)</f>
        <v>159</v>
      </c>
      <c r="AG54" s="173">
        <f>VLOOKUP($C54,Контейнеры!$B$16:$AB$104,17,0)</f>
        <v>8.1155573703552471E-3</v>
      </c>
      <c r="AH54" s="245"/>
      <c r="AI54" s="95">
        <f>VLOOKUP($C54,Контейнеры!$B$16:$AB$104,13,0)</f>
        <v>28.062661194594547</v>
      </c>
      <c r="AJ54" s="154">
        <f>VLOOKUP($C54,Контейнеры!$B$16:$AB$104,18,0)</f>
        <v>1</v>
      </c>
      <c r="AK54" s="135"/>
      <c r="AL54" s="94"/>
      <c r="AM54" s="94"/>
      <c r="AN54" s="116"/>
      <c r="AO54" s="78">
        <f>VLOOKUP($C54,Обработка!$B$16:$L$104,6,0)</f>
        <v>0.626</v>
      </c>
      <c r="AP54" s="75">
        <f t="shared" si="15"/>
        <v>8.2999999999999963E-2</v>
      </c>
      <c r="AQ54" s="75">
        <f>VLOOKUP($C54,Обработка!$B$16:$L$104,7,0)</f>
        <v>0.81900000000000006</v>
      </c>
      <c r="AR54" s="178">
        <f t="shared" si="16"/>
        <v>1.2000000000000011E-2</v>
      </c>
      <c r="AS54" s="182">
        <f>VLOOKUP($C54,Утилизация!$B$16:$L$104,6,0)</f>
        <v>0.218</v>
      </c>
      <c r="AT54" s="75">
        <f t="shared" si="17"/>
        <v>7.8999999999999987E-2</v>
      </c>
      <c r="AU54" s="76">
        <f>VLOOKUP($C54,Утилизация!$B$16:$L$104,7,0)</f>
        <v>0.105</v>
      </c>
      <c r="AV54" s="184">
        <f t="shared" si="18"/>
        <v>-0.18099999999999999</v>
      </c>
      <c r="AW54" s="160" t="str">
        <f>VLOOKUP(C54,Захоронение!$B$16:$Q$104,16,0)</f>
        <v>перегруз</v>
      </c>
      <c r="AX54" s="135"/>
      <c r="AY54" s="94"/>
      <c r="AZ54" s="94"/>
      <c r="BA54" s="98"/>
      <c r="BB54" s="127" t="str">
        <f>VLOOKUP(C54,'ДК ИП'!$B$16:$S$104,5,0)</f>
        <v>существенное</v>
      </c>
      <c r="BC54" s="288">
        <f>VLOOKUP(C54,Радар!$B$16:$G$104,6,0)</f>
        <v>0.10830543866590804</v>
      </c>
      <c r="BD54" s="98"/>
      <c r="BF54" s="294">
        <f t="shared" si="19"/>
        <v>0.66666666666666663</v>
      </c>
      <c r="BI54" s="8">
        <f t="shared" si="20"/>
        <v>0</v>
      </c>
      <c r="BJ54" s="8">
        <f>VLOOKUP(C54,Штаб!$B$16:$C$104,2)</f>
        <v>0</v>
      </c>
      <c r="BK54" s="8">
        <f>VLOOKUP(C54,'РО - регионы'!$B$16:$C$104,2)</f>
        <v>0</v>
      </c>
      <c r="BL54" s="8">
        <f>VLOOKUP(C54,'РО - регионы'!$B$16:$L$104,11)</f>
        <v>0</v>
      </c>
      <c r="BM54" s="8">
        <f>VLOOKUP(C54,Спецтехника!$B$16:$C$104,2)</f>
        <v>0</v>
      </c>
      <c r="BN54" s="8">
        <f>VLOOKUP($C54,МНО!$B$16:$AB$104,6,0)</f>
        <v>1</v>
      </c>
      <c r="BO54" s="8">
        <f>VLOOKUP($C54,МНО!$B$16:$AB$104,4,0)</f>
        <v>0</v>
      </c>
      <c r="BP54" s="8">
        <f>VLOOKUP($C54,МНО!$B$16:$AB$104,5,0)</f>
        <v>0</v>
      </c>
      <c r="BQ54" s="8">
        <f>VLOOKUP($C54,Контейнеры!$B$16:$G$104,6,0)</f>
        <v>0</v>
      </c>
      <c r="BR54" s="8">
        <f>VLOOKUP($C54,Контейнеры!$B$16:$G$104,4,0)</f>
        <v>0</v>
      </c>
      <c r="BS54" s="8">
        <f>VLOOKUP($C54,Контейнеры!$B$16:$G$104,5,0)</f>
        <v>0</v>
      </c>
      <c r="BT54" s="8">
        <f>VLOOKUP($C54,'ДК МНО'!$B$16:$C$104,2,0)</f>
        <v>2</v>
      </c>
      <c r="BU54" s="8">
        <f>VLOOKUP($C54,Обработка!$B$16:$F$104,5,0)</f>
        <v>0</v>
      </c>
      <c r="BV54" s="8">
        <f>VLOOKUP($C54,Обработка!$B$16:$F$104,4,0)</f>
        <v>0</v>
      </c>
      <c r="BW54" s="8">
        <f>VLOOKUP($C54,Утилизация!$B$16:$F$104,5,0)</f>
        <v>2</v>
      </c>
      <c r="BX54" s="8">
        <f>VLOOKUP($C54,Утилизация!$B$16:$F$104,4,0)</f>
        <v>0</v>
      </c>
      <c r="BY54" s="8">
        <f>VLOOKUP($C54,Захоронение!$B$16:$C$104,2,0)</f>
        <v>1</v>
      </c>
      <c r="BZ54" s="8">
        <f>VLOOKUP($C54,'ДК ИП'!$B$16:$C$104,2,0)</f>
        <v>2</v>
      </c>
      <c r="CA54" s="8">
        <f>VLOOKUP(C54,Радар!$B$16:$G$104,2,0)</f>
        <v>2</v>
      </c>
      <c r="CB54" s="8">
        <f t="shared" si="21"/>
        <v>0.60000000000000009</v>
      </c>
    </row>
    <row r="55" spans="1:80" ht="15.6" thickBot="1">
      <c r="A55" s="9" t="s">
        <v>659</v>
      </c>
      <c r="B55" s="121">
        <f t="shared" si="14"/>
        <v>45</v>
      </c>
      <c r="C55" s="202" t="s">
        <v>48</v>
      </c>
      <c r="D55" s="277" t="str">
        <f>VLOOKUP($C55,Штаб!$B$16:$J$104,6,0)</f>
        <v>✔️</v>
      </c>
      <c r="E55" s="285" t="str">
        <f>VLOOKUP($C55,Штаб!$B$16:$J$104,7,0)</f>
        <v/>
      </c>
      <c r="F55" s="285" t="str">
        <f>VLOOKUP($C55,Штаб!$B$16:$J$104,8,0)</f>
        <v/>
      </c>
      <c r="G55" s="286" t="str">
        <f>VLOOKUP($C55,Штаб!$B$16:$J$104,9,0)</f>
        <v/>
      </c>
      <c r="H55" s="279" t="str">
        <f>VLOOKUP(C55,'РО - регионы'!$B$16:$I$104,8,0)</f>
        <v>0 / 0 / 4 из 4</v>
      </c>
      <c r="I55" s="237"/>
      <c r="J55" s="122"/>
      <c r="K55" s="94"/>
      <c r="L55" s="94"/>
      <c r="M55" s="98"/>
      <c r="N55" s="163">
        <f>VLOOKUP(C55,Спецтехника!$B$16:$J$104,4,0)</f>
        <v>260</v>
      </c>
      <c r="O55" s="166">
        <f>VLOOKUP(C55,Спецтехника!$B$16:$J$104,5,0)</f>
        <v>239</v>
      </c>
      <c r="P55" s="166">
        <f>VLOOKUP(C55,Спецтехника!$B$16:$J$104,6,0)</f>
        <v>21</v>
      </c>
      <c r="Q55" s="169">
        <f>VLOOKUP(C55,Спецтехника!$B$16:$J$104,7,0)</f>
        <v>8.0769230769230774E-2</v>
      </c>
      <c r="R55" s="242"/>
      <c r="S55" s="122"/>
      <c r="T55" s="94"/>
      <c r="U55" s="94"/>
      <c r="V55" s="98"/>
      <c r="W55" s="163">
        <f>VLOOKUP($C55,МНО!$B$16:$AB$104,16,0)</f>
        <v>11847</v>
      </c>
      <c r="X55" s="166">
        <f>VLOOKUP($C55,МНО!$B$16:$AB$104,8,0)</f>
        <v>11623</v>
      </c>
      <c r="Y55" s="166">
        <f>VLOOKUP($C55,МНО!$B$16:$AB$104,11,0)</f>
        <v>224</v>
      </c>
      <c r="Z55" s="173">
        <f>VLOOKUP($C55,МНО!$B$16:$AB$104,17,0)</f>
        <v>1.8907740356208323E-2</v>
      </c>
      <c r="AA55" s="245"/>
      <c r="AB55" s="95">
        <f>VLOOKUP($C55,МНО!$B$16:$AB$104,13,0)</f>
        <v>7.2080788730480139</v>
      </c>
      <c r="AC55" s="154">
        <f>VLOOKUP($C55,МНО!$B$16:$AB$104,18,0)</f>
        <v>1</v>
      </c>
      <c r="AD55" s="164">
        <f>VLOOKUP($C55,Контейнеры!$B$16:$AB$104,16,0)</f>
        <v>19932</v>
      </c>
      <c r="AE55" s="167">
        <f>VLOOKUP($C55,Контейнеры!$B$16:$AB$104,8,0)</f>
        <v>16381</v>
      </c>
      <c r="AF55" s="167">
        <f>VLOOKUP($C55,Контейнеры!$B$16:$AB$104,11,0)</f>
        <v>3551</v>
      </c>
      <c r="AG55" s="172">
        <f>VLOOKUP($C55,Контейнеры!$B$16:$AB$104,17,0)</f>
        <v>0.17815572948023278</v>
      </c>
      <c r="AH55" s="245"/>
      <c r="AI55" s="95">
        <f>VLOOKUP($C55,Контейнеры!$B$16:$AB$104,13,0)</f>
        <v>13.252024693535299</v>
      </c>
      <c r="AJ55" s="154">
        <f>VLOOKUP($C55,Контейнеры!$B$16:$AB$104,18,0)</f>
        <v>0.85759907858227313</v>
      </c>
      <c r="AK55" s="135"/>
      <c r="AL55" s="94"/>
      <c r="AM55" s="94"/>
      <c r="AN55" s="116"/>
      <c r="AO55" s="79">
        <f>VLOOKUP($C55,Обработка!$B$16:$L$104,6,0)</f>
        <v>0.184</v>
      </c>
      <c r="AP55" s="75">
        <f t="shared" si="15"/>
        <v>-0.35900000000000004</v>
      </c>
      <c r="AQ55" s="76">
        <f>VLOOKUP($C55,Обработка!$B$16:$L$104,7,0)</f>
        <v>0.182</v>
      </c>
      <c r="AR55" s="177">
        <f t="shared" si="16"/>
        <v>-0.625</v>
      </c>
      <c r="AS55" s="180">
        <f>VLOOKUP($C55,Утилизация!$B$16:$L$104,6,0)</f>
        <v>1.6E-2</v>
      </c>
      <c r="AT55" s="76">
        <f t="shared" si="17"/>
        <v>-0.12300000000000001</v>
      </c>
      <c r="AU55" s="76">
        <f>VLOOKUP($C55,Утилизация!$B$16:$L$104,7,0)</f>
        <v>1.4999999999999999E-2</v>
      </c>
      <c r="AV55" s="184">
        <f t="shared" si="18"/>
        <v>-0.27099999999999996</v>
      </c>
      <c r="AW55" s="160" t="str">
        <f>VLOOKUP(C55,Захоронение!$B$16:$Q$104,16,0)</f>
        <v>перегруз</v>
      </c>
      <c r="AX55" s="135"/>
      <c r="AY55" s="94"/>
      <c r="AZ55" s="94"/>
      <c r="BA55" s="98"/>
      <c r="BB55" s="127" t="str">
        <f>VLOOKUP(C55,'ДК ИП'!$B$16:$S$104,5,0)</f>
        <v>среднее</v>
      </c>
      <c r="BC55" s="289">
        <f>VLOOKUP(C55,Радар!$B$16:$G$104,6,0)</f>
        <v>8.9797615590160446E-2</v>
      </c>
      <c r="BD55" s="98"/>
      <c r="BF55" s="293">
        <f t="shared" si="19"/>
        <v>1.0833333333333333</v>
      </c>
      <c r="BI55" s="8">
        <f t="shared" si="20"/>
        <v>1</v>
      </c>
      <c r="BJ55" s="8">
        <f>VLOOKUP(C55,Штаб!$B$16:$C$104,2)</f>
        <v>0</v>
      </c>
      <c r="BK55" s="8">
        <f>VLOOKUP(C55,'РО - регионы'!$B$16:$C$104,2)</f>
        <v>0</v>
      </c>
      <c r="BL55" s="8">
        <f>VLOOKUP(C55,'РО - регионы'!$B$16:$L$104,11)</f>
        <v>0</v>
      </c>
      <c r="BM55" s="8">
        <f>VLOOKUP(C55,Спецтехника!$B$16:$C$104,2)</f>
        <v>0</v>
      </c>
      <c r="BN55" s="8">
        <f>VLOOKUP($C55,МНО!$B$16:$AB$104,6,0)</f>
        <v>0</v>
      </c>
      <c r="BO55" s="8">
        <f>VLOOKUP($C55,МНО!$B$16:$AB$104,4,0)</f>
        <v>0</v>
      </c>
      <c r="BP55" s="8">
        <f>VLOOKUP($C55,МНО!$B$16:$AB$104,5,0)</f>
        <v>0</v>
      </c>
      <c r="BQ55" s="8">
        <f>VLOOKUP($C55,Контейнеры!$B$16:$G$104,6,0)</f>
        <v>1</v>
      </c>
      <c r="BR55" s="8">
        <f>VLOOKUP($C55,Контейнеры!$B$16:$G$104,4,0)</f>
        <v>0</v>
      </c>
      <c r="BS55" s="8">
        <f>VLOOKUP($C55,Контейнеры!$B$16:$G$104,5,0)</f>
        <v>1</v>
      </c>
      <c r="BT55" s="8">
        <f>VLOOKUP($C55,'ДК МНО'!$B$16:$C$104,2,0)</f>
        <v>2</v>
      </c>
      <c r="BU55" s="8">
        <f>VLOOKUP($C55,Обработка!$B$16:$F$104,5,0)</f>
        <v>2</v>
      </c>
      <c r="BV55" s="8">
        <f>VLOOKUP($C55,Обработка!$B$16:$F$104,4,0)</f>
        <v>2</v>
      </c>
      <c r="BW55" s="8">
        <f>VLOOKUP($C55,Утилизация!$B$16:$F$104,5,0)</f>
        <v>2</v>
      </c>
      <c r="BX55" s="8">
        <f>VLOOKUP($C55,Утилизация!$B$16:$F$104,4,0)</f>
        <v>2</v>
      </c>
      <c r="BY55" s="8">
        <f>VLOOKUP($C55,Захоронение!$B$16:$C$104,2,0)</f>
        <v>1</v>
      </c>
      <c r="BZ55" s="8">
        <f>VLOOKUP($C55,'ДК ИП'!$B$16:$C$104,2,0)</f>
        <v>1</v>
      </c>
      <c r="CA55" s="8">
        <f>VLOOKUP(C55,Радар!$B$16:$G$104,2,0)</f>
        <v>0</v>
      </c>
      <c r="CB55" s="8">
        <f t="shared" si="21"/>
        <v>0.79999999999999993</v>
      </c>
    </row>
    <row r="56" spans="1:80" ht="15.6" thickBot="1">
      <c r="A56" s="9" t="s">
        <v>659</v>
      </c>
      <c r="B56" s="122">
        <f t="shared" si="14"/>
        <v>46</v>
      </c>
      <c r="C56" s="202" t="s">
        <v>49</v>
      </c>
      <c r="D56" s="277" t="str">
        <f>VLOOKUP($C56,Штаб!$B$16:$J$104,6,0)</f>
        <v/>
      </c>
      <c r="E56" s="285" t="str">
        <f>VLOOKUP($C56,Штаб!$B$16:$J$104,7,0)</f>
        <v/>
      </c>
      <c r="F56" s="285" t="str">
        <f>VLOOKUP($C56,Штаб!$B$16:$J$104,8,0)</f>
        <v/>
      </c>
      <c r="G56" s="286" t="str">
        <f>VLOOKUP($C56,Штаб!$B$16:$J$104,9,0)</f>
        <v>✔️</v>
      </c>
      <c r="H56" s="279" t="str">
        <f>VLOOKUP(C56,'РО - регионы'!$B$16:$I$104,8,0)</f>
        <v>0 / 0 / 1 из 1</v>
      </c>
      <c r="I56" s="237"/>
      <c r="J56" s="122"/>
      <c r="K56" s="94"/>
      <c r="L56" s="94"/>
      <c r="M56" s="98"/>
      <c r="N56" s="163">
        <f>VLOOKUP(C56,Спецтехника!$B$16:$J$104,4,0)</f>
        <v>365</v>
      </c>
      <c r="O56" s="166">
        <f>VLOOKUP(C56,Спецтехника!$B$16:$J$104,5,0)</f>
        <v>354</v>
      </c>
      <c r="P56" s="166">
        <f>VLOOKUP(C56,Спецтехника!$B$16:$J$104,6,0)</f>
        <v>11</v>
      </c>
      <c r="Q56" s="169">
        <f>VLOOKUP(C56,Спецтехника!$B$16:$J$104,7,0)</f>
        <v>3.0136986301369864E-2</v>
      </c>
      <c r="R56" s="242"/>
      <c r="S56" s="122"/>
      <c r="T56" s="94"/>
      <c r="U56" s="94"/>
      <c r="V56" s="98"/>
      <c r="W56" s="163">
        <f>VLOOKUP($C56,МНО!$B$16:$AB$104,16,0)</f>
        <v>23668</v>
      </c>
      <c r="X56" s="166">
        <f>VLOOKUP($C56,МНО!$B$16:$AB$104,8,0)</f>
        <v>19449</v>
      </c>
      <c r="Y56" s="166">
        <f>VLOOKUP($C56,МНО!$B$16:$AB$104,11,0)</f>
        <v>4219</v>
      </c>
      <c r="Z56" s="173">
        <f>VLOOKUP($C56,МНО!$B$16:$AB$104,17,0)</f>
        <v>0.17825756295419976</v>
      </c>
      <c r="AA56" s="245"/>
      <c r="AB56" s="95">
        <f>VLOOKUP($C56,МНО!$B$16:$AB$104,13,0)</f>
        <v>7.1699770685770572</v>
      </c>
      <c r="AC56" s="154">
        <f>VLOOKUP($C56,МНО!$B$16:$AB$104,18,0)</f>
        <v>1</v>
      </c>
      <c r="AD56" s="164">
        <f>VLOOKUP($C56,Контейнеры!$B$16:$AB$104,16,0)</f>
        <v>61976</v>
      </c>
      <c r="AE56" s="167">
        <f>VLOOKUP($C56,Контейнеры!$B$16:$AB$104,8,0)</f>
        <v>45020</v>
      </c>
      <c r="AF56" s="167">
        <f>VLOOKUP($C56,Контейнеры!$B$16:$AB$104,11,0)</f>
        <v>16956</v>
      </c>
      <c r="AG56" s="172">
        <f>VLOOKUP($C56,Контейнеры!$B$16:$AB$104,17,0)</f>
        <v>0.27358977668775009</v>
      </c>
      <c r="AH56" s="245"/>
      <c r="AI56" s="95">
        <f>VLOOKUP($C56,Контейнеры!$B$16:$AB$104,13,0)</f>
        <v>18.042164642967926</v>
      </c>
      <c r="AJ56" s="154">
        <f>VLOOKUP($C56,Контейнеры!$B$16:$AB$104,18,0)</f>
        <v>1</v>
      </c>
      <c r="AK56" s="135"/>
      <c r="AL56" s="94"/>
      <c r="AM56" s="94"/>
      <c r="AN56" s="116"/>
      <c r="AO56" s="80">
        <f>VLOOKUP($C56,Обработка!$B$16:$L$104,6,0)</f>
        <v>0.311</v>
      </c>
      <c r="AP56" s="75">
        <f t="shared" si="15"/>
        <v>-0.23200000000000004</v>
      </c>
      <c r="AQ56" s="74">
        <f>VLOOKUP($C56,Обработка!$B$16:$L$104,7,0)</f>
        <v>0.79799999999999993</v>
      </c>
      <c r="AR56" s="179">
        <f t="shared" si="16"/>
        <v>-9.000000000000119E-3</v>
      </c>
      <c r="AS56" s="180">
        <f>VLOOKUP($C56,Утилизация!$B$16:$L$104,6,0)</f>
        <v>6.2E-2</v>
      </c>
      <c r="AT56" s="76">
        <f t="shared" si="17"/>
        <v>-7.7000000000000013E-2</v>
      </c>
      <c r="AU56" s="76">
        <f>VLOOKUP($C56,Утилизация!$B$16:$L$104,7,0)</f>
        <v>0.105</v>
      </c>
      <c r="AV56" s="184">
        <f t="shared" si="18"/>
        <v>-0.18099999999999999</v>
      </c>
      <c r="AW56" s="162" t="str">
        <f>VLOOKUP(C56,Захоронение!$B$16:$Q$104,16,0)</f>
        <v>765 приказ</v>
      </c>
      <c r="AX56" s="135"/>
      <c r="AY56" s="94"/>
      <c r="AZ56" s="94"/>
      <c r="BA56" s="98"/>
      <c r="BB56" s="127" t="str">
        <f>VLOOKUP(C56,'ДК ИП'!$B$16:$S$104,5,0)</f>
        <v>небольшое</v>
      </c>
      <c r="BC56" s="288">
        <f>VLOOKUP(C56,Радар!$B$16:$G$104,6,0)</f>
        <v>7.2537356738720443E-2</v>
      </c>
      <c r="BD56" s="98"/>
      <c r="BF56" s="293">
        <f t="shared" si="19"/>
        <v>1.1666666666666667</v>
      </c>
      <c r="BI56" s="8">
        <f t="shared" si="20"/>
        <v>1</v>
      </c>
      <c r="BJ56" s="8">
        <f>VLOOKUP(C56,Штаб!$B$16:$C$104,2)</f>
        <v>2</v>
      </c>
      <c r="BK56" s="8">
        <f>VLOOKUP(C56,'РО - регионы'!$B$16:$C$104,2)</f>
        <v>0</v>
      </c>
      <c r="BL56" s="8">
        <f>VLOOKUP(C56,'РО - регионы'!$B$16:$L$104,11)</f>
        <v>0</v>
      </c>
      <c r="BM56" s="8">
        <f>VLOOKUP(C56,Спецтехника!$B$16:$C$104,2)</f>
        <v>0</v>
      </c>
      <c r="BN56" s="8">
        <f>VLOOKUP($C56,МНО!$B$16:$AB$104,6,0)</f>
        <v>0</v>
      </c>
      <c r="BO56" s="8">
        <f>VLOOKUP($C56,МНО!$B$16:$AB$104,4,0)</f>
        <v>0</v>
      </c>
      <c r="BP56" s="8">
        <f>VLOOKUP($C56,МНО!$B$16:$AB$104,5,0)</f>
        <v>0</v>
      </c>
      <c r="BQ56" s="8">
        <f>VLOOKUP($C56,Контейнеры!$B$16:$G$104,6,0)</f>
        <v>1</v>
      </c>
      <c r="BR56" s="8">
        <f>VLOOKUP($C56,Контейнеры!$B$16:$G$104,4,0)</f>
        <v>0</v>
      </c>
      <c r="BS56" s="8">
        <f>VLOOKUP($C56,Контейнеры!$B$16:$G$104,5,0)</f>
        <v>0</v>
      </c>
      <c r="BT56" s="8">
        <f>VLOOKUP($C56,'ДК МНО'!$B$16:$C$104,2,0)</f>
        <v>2</v>
      </c>
      <c r="BU56" s="8">
        <f>VLOOKUP($C56,Обработка!$B$16:$F$104,5,0)</f>
        <v>1</v>
      </c>
      <c r="BV56" s="8">
        <f>VLOOKUP($C56,Обработка!$B$16:$F$104,4,0)</f>
        <v>1</v>
      </c>
      <c r="BW56" s="8">
        <f>VLOOKUP($C56,Утилизация!$B$16:$F$104,5,0)</f>
        <v>2</v>
      </c>
      <c r="BX56" s="8">
        <f>VLOOKUP($C56,Утилизация!$B$16:$F$104,4,0)</f>
        <v>2</v>
      </c>
      <c r="BY56" s="8">
        <f>VLOOKUP($C56,Захоронение!$B$16:$C$104,2,0)</f>
        <v>2</v>
      </c>
      <c r="BZ56" s="8">
        <f>VLOOKUP($C56,'ДК ИП'!$B$16:$C$104,2,0)</f>
        <v>0</v>
      </c>
      <c r="CA56" s="8">
        <f>VLOOKUP(C56,Радар!$B$16:$G$104,2,0)</f>
        <v>2</v>
      </c>
      <c r="CB56" s="8">
        <f t="shared" si="21"/>
        <v>0.85</v>
      </c>
    </row>
    <row r="57" spans="1:80" ht="15.6" thickBot="1">
      <c r="A57" s="9" t="s">
        <v>654</v>
      </c>
      <c r="B57" s="121">
        <f t="shared" si="14"/>
        <v>47</v>
      </c>
      <c r="C57" s="202" t="s">
        <v>50</v>
      </c>
      <c r="D57" s="277" t="str">
        <f>VLOOKUP($C57,Штаб!$B$16:$J$104,6,0)</f>
        <v>✔️</v>
      </c>
      <c r="E57" s="285" t="str">
        <f>VLOOKUP($C57,Штаб!$B$16:$J$104,7,0)</f>
        <v/>
      </c>
      <c r="F57" s="285" t="str">
        <f>VLOOKUP($C57,Штаб!$B$16:$J$104,8,0)</f>
        <v/>
      </c>
      <c r="G57" s="286" t="str">
        <f>VLOOKUP($C57,Штаб!$B$16:$J$104,9,0)</f>
        <v/>
      </c>
      <c r="H57" s="278" t="str">
        <f>VLOOKUP(C57,'РО - регионы'!$B$16:$I$104,8,0)</f>
        <v>0 / 1 / 0 из 1</v>
      </c>
      <c r="I57" s="237"/>
      <c r="J57" s="122"/>
      <c r="K57" s="94"/>
      <c r="L57" s="94"/>
      <c r="M57" s="98"/>
      <c r="N57" s="165">
        <f>VLOOKUP(C57,Спецтехника!$B$16:$J$104,4,0)</f>
        <v>368</v>
      </c>
      <c r="O57" s="168">
        <f>VLOOKUP(C57,Спецтехника!$B$16:$J$104,5,0)</f>
        <v>273</v>
      </c>
      <c r="P57" s="168">
        <f>VLOOKUP(C57,Спецтехника!$B$16:$J$104,6,0)</f>
        <v>95</v>
      </c>
      <c r="Q57" s="171">
        <f>VLOOKUP(C57,Спецтехника!$B$16:$J$104,7,0)</f>
        <v>0.25815217391304346</v>
      </c>
      <c r="R57" s="242"/>
      <c r="S57" s="122"/>
      <c r="T57" s="94"/>
      <c r="U57" s="94"/>
      <c r="V57" s="98"/>
      <c r="W57" s="165">
        <f>VLOOKUP($C57,МНО!$B$16:$AB$104,16,0)</f>
        <v>24025</v>
      </c>
      <c r="X57" s="168">
        <f>VLOOKUP($C57,МНО!$B$16:$AB$104,8,0)</f>
        <v>3917</v>
      </c>
      <c r="Y57" s="168">
        <f>VLOOKUP($C57,МНО!$B$16:$AB$104,11,0)</f>
        <v>20108</v>
      </c>
      <c r="Z57" s="174">
        <f>VLOOKUP($C57,МНО!$B$16:$AB$104,17,0)</f>
        <v>0.83696149843912593</v>
      </c>
      <c r="AA57" s="245"/>
      <c r="AB57" s="95">
        <f>VLOOKUP($C57,МНО!$B$16:$AB$104,13,0)</f>
        <v>2.0554774071865869</v>
      </c>
      <c r="AC57" s="154">
        <f>VLOOKUP($C57,МНО!$B$16:$AB$104,18,0)</f>
        <v>1.7832347705741224E-2</v>
      </c>
      <c r="AD57" s="165">
        <f>VLOOKUP($C57,Контейнеры!$B$16:$AB$104,16,0)</f>
        <v>49060</v>
      </c>
      <c r="AE57" s="168">
        <f>VLOOKUP($C57,Контейнеры!$B$16:$AB$104,8,0)</f>
        <v>9423</v>
      </c>
      <c r="AF57" s="168">
        <f>VLOOKUP($C57,Контейнеры!$B$16:$AB$104,11,0)</f>
        <v>39637</v>
      </c>
      <c r="AG57" s="174">
        <f>VLOOKUP($C57,Контейнеры!$B$16:$AB$104,17,0)</f>
        <v>0.80792906644924578</v>
      </c>
      <c r="AH57" s="245"/>
      <c r="AI57" s="95">
        <f>VLOOKUP($C57,Контейнеры!$B$16:$AB$104,13,0)</f>
        <v>5.2164728273415584</v>
      </c>
      <c r="AJ57" s="154">
        <f>VLOOKUP($C57,Контейнеры!$B$16:$AB$104,18,0)</f>
        <v>0.15309753204763685</v>
      </c>
      <c r="AK57" s="135"/>
      <c r="AL57" s="94"/>
      <c r="AM57" s="94"/>
      <c r="AN57" s="116"/>
      <c r="AO57" s="80">
        <f>VLOOKUP($C57,Обработка!$B$16:$L$104,6,0)</f>
        <v>0.41200000000000003</v>
      </c>
      <c r="AP57" s="75">
        <f t="shared" si="15"/>
        <v>-0.13100000000000001</v>
      </c>
      <c r="AQ57" s="75">
        <f>VLOOKUP($C57,Обработка!$B$16:$L$104,7,0)</f>
        <v>0.92498599999999997</v>
      </c>
      <c r="AR57" s="178">
        <f t="shared" si="16"/>
        <v>0.11798599999999992</v>
      </c>
      <c r="AS57" s="180">
        <f>VLOOKUP($C57,Утилизация!$B$16:$L$104,6,0)</f>
        <v>0.02</v>
      </c>
      <c r="AT57" s="76">
        <f t="shared" si="17"/>
        <v>-0.11900000000000001</v>
      </c>
      <c r="AU57" s="74">
        <f>VLOOKUP($C57,Утилизация!$B$16:$L$104,7,0)</f>
        <v>0.16899999999999998</v>
      </c>
      <c r="AV57" s="186">
        <f t="shared" si="18"/>
        <v>-0.11699999999999999</v>
      </c>
      <c r="AW57" s="162" t="str">
        <f>VLOOKUP(C57,Захоронение!$B$16:$Q$104,16,0)</f>
        <v>765 приказ</v>
      </c>
      <c r="AX57" s="135"/>
      <c r="AY57" s="94"/>
      <c r="AZ57" s="94"/>
      <c r="BA57" s="98"/>
      <c r="BB57" s="127" t="str">
        <f>VLOOKUP(C57,'ДК ИП'!$B$16:$S$104,5,0)</f>
        <v>нет</v>
      </c>
      <c r="BC57" s="289">
        <f>VLOOKUP(C57,Радар!$B$16:$G$104,6,0)</f>
        <v>5.4805349666434709E-2</v>
      </c>
      <c r="BD57" s="98"/>
      <c r="BF57" s="293">
        <f t="shared" si="19"/>
        <v>1</v>
      </c>
      <c r="BI57" s="8">
        <f t="shared" si="20"/>
        <v>2</v>
      </c>
      <c r="BJ57" s="8">
        <f>VLOOKUP(C57,Штаб!$B$16:$C$104,2)</f>
        <v>0</v>
      </c>
      <c r="BK57" s="8">
        <f>VLOOKUP(C57,'РО - регионы'!$B$16:$C$104,2)</f>
        <v>1</v>
      </c>
      <c r="BL57" s="8">
        <f>VLOOKUP(C57,'РО - регионы'!$B$16:$L$104,11)</f>
        <v>2</v>
      </c>
      <c r="BM57" s="8">
        <f>VLOOKUP(C57,Спецтехника!$B$16:$C$104,2)</f>
        <v>2</v>
      </c>
      <c r="BN57" s="8">
        <f>VLOOKUP($C57,МНО!$B$16:$AB$104,6,0)</f>
        <v>2</v>
      </c>
      <c r="BO57" s="8">
        <f>VLOOKUP($C57,МНО!$B$16:$AB$104,4,0)</f>
        <v>2</v>
      </c>
      <c r="BP57" s="8">
        <f>VLOOKUP($C57,МНО!$B$16:$AB$104,5,0)</f>
        <v>2</v>
      </c>
      <c r="BQ57" s="8">
        <f>VLOOKUP($C57,Контейнеры!$B$16:$G$104,6,0)</f>
        <v>2</v>
      </c>
      <c r="BR57" s="8">
        <f>VLOOKUP($C57,Контейнеры!$B$16:$G$104,4,0)</f>
        <v>0</v>
      </c>
      <c r="BS57" s="8">
        <f>VLOOKUP($C57,Контейнеры!$B$16:$G$104,5,0)</f>
        <v>2</v>
      </c>
      <c r="BT57" s="8">
        <f>VLOOKUP($C57,'ДК МНО'!$B$16:$C$104,2,0)</f>
        <v>2</v>
      </c>
      <c r="BU57" s="8">
        <f>VLOOKUP($C57,Обработка!$B$16:$F$104,5,0)</f>
        <v>0</v>
      </c>
      <c r="BV57" s="8">
        <f>VLOOKUP($C57,Обработка!$B$16:$F$104,4,0)</f>
        <v>1</v>
      </c>
      <c r="BW57" s="8">
        <f>VLOOKUP($C57,Утилизация!$B$16:$F$104,5,0)</f>
        <v>1</v>
      </c>
      <c r="BX57" s="8">
        <f>VLOOKUP($C57,Утилизация!$B$16:$F$104,4,0)</f>
        <v>2</v>
      </c>
      <c r="BY57" s="8">
        <f>VLOOKUP($C57,Захоронение!$B$16:$C$104,2,0)</f>
        <v>2</v>
      </c>
      <c r="BZ57" s="8">
        <f>VLOOKUP($C57,'ДК ИП'!$B$16:$C$104,2,0)</f>
        <v>0</v>
      </c>
      <c r="CA57" s="8">
        <f>VLOOKUP(C57,Радар!$B$16:$G$104,2,0)</f>
        <v>0</v>
      </c>
      <c r="CB57" s="8">
        <f t="shared" si="21"/>
        <v>1.3</v>
      </c>
    </row>
    <row r="58" spans="1:80" ht="15.6" thickBot="1">
      <c r="A58" s="9" t="s">
        <v>655</v>
      </c>
      <c r="B58" s="122">
        <f t="shared" si="14"/>
        <v>48</v>
      </c>
      <c r="C58" s="202" t="s">
        <v>51</v>
      </c>
      <c r="D58" s="277" t="str">
        <f>VLOOKUP($C58,Штаб!$B$16:$J$104,6,0)</f>
        <v/>
      </c>
      <c r="E58" s="285" t="str">
        <f>VLOOKUP($C58,Штаб!$B$16:$J$104,7,0)</f>
        <v/>
      </c>
      <c r="F58" s="285" t="str">
        <f>VLOOKUP($C58,Штаб!$B$16:$J$104,8,0)</f>
        <v/>
      </c>
      <c r="G58" s="286" t="str">
        <f>VLOOKUP($C58,Штаб!$B$16:$J$104,9,0)</f>
        <v>✔️</v>
      </c>
      <c r="H58" s="278" t="str">
        <f>VLOOKUP(C58,'РО - регионы'!$B$16:$I$104,8,0)</f>
        <v>0 / 2 / 0 из 2</v>
      </c>
      <c r="I58" s="237"/>
      <c r="J58" s="122"/>
      <c r="K58" s="94"/>
      <c r="L58" s="94"/>
      <c r="M58" s="98"/>
      <c r="N58" s="165">
        <f>VLOOKUP(C58,Спецтехника!$B$16:$J$104,4,0)</f>
        <v>104</v>
      </c>
      <c r="O58" s="168">
        <f>VLOOKUP(C58,Спецтехника!$B$16:$J$104,5,0)</f>
        <v>84</v>
      </c>
      <c r="P58" s="168">
        <f>VLOOKUP(C58,Спецтехника!$B$16:$J$104,6,0)</f>
        <v>20</v>
      </c>
      <c r="Q58" s="171">
        <f>VLOOKUP(C58,Спецтехника!$B$16:$J$104,7,0)</f>
        <v>0.19230769230769232</v>
      </c>
      <c r="R58" s="242"/>
      <c r="S58" s="122"/>
      <c r="T58" s="94"/>
      <c r="U58" s="94"/>
      <c r="V58" s="98"/>
      <c r="W58" s="164">
        <f>VLOOKUP($C58,МНО!$B$16:$AB$104,16,0)</f>
        <v>5731</v>
      </c>
      <c r="X58" s="167">
        <f>VLOOKUP($C58,МНО!$B$16:$AB$104,8,0)</f>
        <v>4417</v>
      </c>
      <c r="Y58" s="167">
        <f>VLOOKUP($C58,МНО!$B$16:$AB$104,11,0)</f>
        <v>1314</v>
      </c>
      <c r="Z58" s="172">
        <f>VLOOKUP($C58,МНО!$B$16:$AB$104,17,0)</f>
        <v>0.22927935787820625</v>
      </c>
      <c r="AA58" s="245"/>
      <c r="AB58" s="95">
        <f>VLOOKUP($C58,МНО!$B$16:$AB$104,13,0)</f>
        <v>5.9984823117042678</v>
      </c>
      <c r="AC58" s="154">
        <f>VLOOKUP($C58,МНО!$B$16:$AB$104,18,0)</f>
        <v>0.89612497463988638</v>
      </c>
      <c r="AD58" s="164">
        <f>VLOOKUP($C58,Контейнеры!$B$16:$AB$104,16,0)</f>
        <v>9547</v>
      </c>
      <c r="AE58" s="167">
        <f>VLOOKUP($C58,Контейнеры!$B$16:$AB$104,8,0)</f>
        <v>7218</v>
      </c>
      <c r="AF58" s="167">
        <f>VLOOKUP($C58,Контейнеры!$B$16:$AB$104,11,0)</f>
        <v>2329</v>
      </c>
      <c r="AG58" s="172">
        <f>VLOOKUP($C58,Контейнеры!$B$16:$AB$104,17,0)</f>
        <v>0.24395097936524562</v>
      </c>
      <c r="AH58" s="245"/>
      <c r="AI58" s="95">
        <f>VLOOKUP($C58,Контейнеры!$B$16:$AB$104,13,0)</f>
        <v>12.420265440585601</v>
      </c>
      <c r="AJ58" s="154">
        <f>VLOOKUP($C58,Контейнеры!$B$16:$AB$104,18,0)</f>
        <v>0.76227690358010347</v>
      </c>
      <c r="AK58" s="135"/>
      <c r="AL58" s="94"/>
      <c r="AM58" s="94"/>
      <c r="AN58" s="116"/>
      <c r="AO58" s="78">
        <f>VLOOKUP($C58,Обработка!$B$16:$L$104,6,0)</f>
        <v>0.59200000000000008</v>
      </c>
      <c r="AP58" s="75">
        <f t="shared" si="15"/>
        <v>4.9000000000000044E-2</v>
      </c>
      <c r="AQ58" s="75">
        <f>VLOOKUP($C58,Обработка!$B$16:$L$104,7,0)</f>
        <v>1</v>
      </c>
      <c r="AR58" s="178">
        <f t="shared" si="16"/>
        <v>0.19299999999999995</v>
      </c>
      <c r="AS58" s="181">
        <f>VLOOKUP($C58,Утилизация!$B$16:$L$104,6,0)</f>
        <v>8.3000000000000004E-2</v>
      </c>
      <c r="AT58" s="74">
        <f t="shared" si="17"/>
        <v>-5.6000000000000008E-2</v>
      </c>
      <c r="AU58" s="75">
        <f>VLOOKUP($C58,Утилизация!$B$16:$L$104,7,0)</f>
        <v>0.5</v>
      </c>
      <c r="AV58" s="185">
        <f t="shared" si="18"/>
        <v>0.21400000000000002</v>
      </c>
      <c r="AW58" s="161" t="str">
        <f>VLOOKUP(C58,Захоронение!$B$16:$Q$104,16,0)</f>
        <v/>
      </c>
      <c r="AX58" s="135"/>
      <c r="AY58" s="94"/>
      <c r="AZ58" s="94"/>
      <c r="BA58" s="98"/>
      <c r="BB58" s="127" t="str">
        <f>VLOOKUP(C58,'ДК ИП'!$B$16:$S$104,5,0)</f>
        <v>небольшое</v>
      </c>
      <c r="BC58" s="288">
        <f>VLOOKUP(C58,Радар!$B$16:$G$104,6,0)</f>
        <v>2.5811025437625937E-2</v>
      </c>
      <c r="BD58" s="98"/>
      <c r="BF58" s="296">
        <f t="shared" si="19"/>
        <v>8.3333333333333329E-2</v>
      </c>
      <c r="BI58" s="8">
        <f t="shared" si="20"/>
        <v>0</v>
      </c>
      <c r="BJ58" s="8">
        <f>VLOOKUP(C58,Штаб!$B$16:$C$104,2)</f>
        <v>2</v>
      </c>
      <c r="BK58" s="8">
        <f>VLOOKUP(C58,'РО - регионы'!$B$16:$C$104,2)</f>
        <v>1</v>
      </c>
      <c r="BL58" s="8">
        <f>VLOOKUP(C58,'РО - регионы'!$B$16:$L$104,11)</f>
        <v>2</v>
      </c>
      <c r="BM58" s="8">
        <f>VLOOKUP(C58,Спецтехника!$B$16:$C$104,2)</f>
        <v>2</v>
      </c>
      <c r="BN58" s="8">
        <f>VLOOKUP($C58,МНО!$B$16:$AB$104,6,0)</f>
        <v>1</v>
      </c>
      <c r="BO58" s="8">
        <f>VLOOKUP($C58,МНО!$B$16:$AB$104,4,0)</f>
        <v>0</v>
      </c>
      <c r="BP58" s="8">
        <f>VLOOKUP($C58,МНО!$B$16:$AB$104,5,0)</f>
        <v>0</v>
      </c>
      <c r="BQ58" s="8">
        <f>VLOOKUP($C58,Контейнеры!$B$16:$G$104,6,0)</f>
        <v>1</v>
      </c>
      <c r="BR58" s="8">
        <f>VLOOKUP($C58,Контейнеры!$B$16:$G$104,4,0)</f>
        <v>0</v>
      </c>
      <c r="BS58" s="8">
        <f>VLOOKUP($C58,Контейнеры!$B$16:$G$104,5,0)</f>
        <v>2</v>
      </c>
      <c r="BT58" s="8">
        <f>VLOOKUP($C58,'ДК МНО'!$B$16:$C$104,2,0)</f>
        <v>2</v>
      </c>
      <c r="BU58" s="8">
        <f>VLOOKUP($C58,Обработка!$B$16:$F$104,5,0)</f>
        <v>0</v>
      </c>
      <c r="BV58" s="8">
        <f>VLOOKUP($C58,Обработка!$B$16:$F$104,4,0)</f>
        <v>0</v>
      </c>
      <c r="BW58" s="8">
        <f>VLOOKUP($C58,Утилизация!$B$16:$F$104,5,0)</f>
        <v>0</v>
      </c>
      <c r="BX58" s="8">
        <f>VLOOKUP($C58,Утилизация!$B$16:$F$104,4,0)</f>
        <v>1</v>
      </c>
      <c r="BY58" s="8">
        <f>VLOOKUP($C58,Захоронение!$B$16:$C$104,2,0)</f>
        <v>0</v>
      </c>
      <c r="BZ58" s="8">
        <f>VLOOKUP($C58,'ДК ИП'!$B$16:$C$104,2,0)</f>
        <v>0</v>
      </c>
      <c r="CA58" s="8">
        <f>VLOOKUP(C58,Радар!$B$16:$G$104,2,0)</f>
        <v>2</v>
      </c>
      <c r="CB58" s="8">
        <f t="shared" si="21"/>
        <v>0.45</v>
      </c>
    </row>
    <row r="59" spans="1:80" ht="15.6" thickBot="1">
      <c r="A59" s="9" t="s">
        <v>656</v>
      </c>
      <c r="B59" s="121">
        <f t="shared" si="14"/>
        <v>49</v>
      </c>
      <c r="C59" s="202" t="s">
        <v>52</v>
      </c>
      <c r="D59" s="277" t="str">
        <f>VLOOKUP($C59,Штаб!$B$16:$J$104,6,0)</f>
        <v/>
      </c>
      <c r="E59" s="285" t="str">
        <f>VLOOKUP($C59,Штаб!$B$16:$J$104,7,0)</f>
        <v>✔️</v>
      </c>
      <c r="F59" s="285" t="str">
        <f>VLOOKUP($C59,Штаб!$B$16:$J$104,8,0)</f>
        <v/>
      </c>
      <c r="G59" s="286" t="str">
        <f>VLOOKUP($C59,Штаб!$B$16:$J$104,9,0)</f>
        <v/>
      </c>
      <c r="H59" s="279" t="str">
        <f>VLOOKUP(C59,'РО - регионы'!$B$16:$I$104,8,0)</f>
        <v>0 / 0 / 1 из 1</v>
      </c>
      <c r="I59" s="237"/>
      <c r="J59" s="122"/>
      <c r="K59" s="94"/>
      <c r="L59" s="94"/>
      <c r="M59" s="98"/>
      <c r="N59" s="163">
        <f>VLOOKUP(C59,Спецтехника!$B$16:$J$104,4,0)</f>
        <v>76</v>
      </c>
      <c r="O59" s="166">
        <f>VLOOKUP(C59,Спецтехника!$B$16:$J$104,5,0)</f>
        <v>70</v>
      </c>
      <c r="P59" s="166">
        <f>VLOOKUP(C59,Спецтехника!$B$16:$J$104,6,0)</f>
        <v>6</v>
      </c>
      <c r="Q59" s="169">
        <f>VLOOKUP(C59,Спецтехника!$B$16:$J$104,7,0)</f>
        <v>7.8947368421052627E-2</v>
      </c>
      <c r="R59" s="242"/>
      <c r="S59" s="122"/>
      <c r="T59" s="94"/>
      <c r="U59" s="94"/>
      <c r="V59" s="98"/>
      <c r="W59" s="165">
        <f>VLOOKUP($C59,МНО!$B$16:$AB$104,16,0)</f>
        <v>4451</v>
      </c>
      <c r="X59" s="168">
        <f>VLOOKUP($C59,МНО!$B$16:$AB$104,8,0)</f>
        <v>2026</v>
      </c>
      <c r="Y59" s="168">
        <f>VLOOKUP($C59,МНО!$B$16:$AB$104,11,0)</f>
        <v>2425</v>
      </c>
      <c r="Z59" s="174">
        <f>VLOOKUP($C59,МНО!$B$16:$AB$104,17,0)</f>
        <v>0.54482138845203321</v>
      </c>
      <c r="AA59" s="245"/>
      <c r="AB59" s="95">
        <f>VLOOKUP($C59,МНО!$B$16:$AB$104,13,0)</f>
        <v>3.6097332952450203</v>
      </c>
      <c r="AC59" s="154">
        <f>VLOOKUP($C59,МНО!$B$16:$AB$104,18,0)</f>
        <v>0.66975206611570248</v>
      </c>
      <c r="AD59" s="165">
        <f>VLOOKUP($C59,Контейнеры!$B$16:$AB$104,16,0)</f>
        <v>7913</v>
      </c>
      <c r="AE59" s="168">
        <f>VLOOKUP($C59,Контейнеры!$B$16:$AB$104,8,0)</f>
        <v>3611</v>
      </c>
      <c r="AF59" s="168">
        <f>VLOOKUP($C59,Контейнеры!$B$16:$AB$104,11,0)</f>
        <v>4302</v>
      </c>
      <c r="AG59" s="174">
        <f>VLOOKUP($C59,Контейнеры!$B$16:$AB$104,17,0)</f>
        <v>0.54366232781498802</v>
      </c>
      <c r="AH59" s="245"/>
      <c r="AI59" s="95">
        <f>VLOOKUP($C59,Контейнеры!$B$16:$AB$104,13,0)</f>
        <v>7.2134736741171936</v>
      </c>
      <c r="AJ59" s="154">
        <f>VLOOKUP($C59,Контейнеры!$B$16:$AB$104,18,0)</f>
        <v>0.52669194865810964</v>
      </c>
      <c r="AK59" s="135"/>
      <c r="AL59" s="94"/>
      <c r="AM59" s="94"/>
      <c r="AN59" s="116"/>
      <c r="AO59" s="78">
        <f>VLOOKUP($C59,Обработка!$B$16:$L$104,6,0)</f>
        <v>0.9</v>
      </c>
      <c r="AP59" s="75">
        <f t="shared" si="15"/>
        <v>0.35699999999999998</v>
      </c>
      <c r="AQ59" s="75">
        <f>VLOOKUP($C59,Обработка!$B$16:$L$104,7,0)</f>
        <v>1</v>
      </c>
      <c r="AR59" s="178">
        <f t="shared" si="16"/>
        <v>0.19299999999999995</v>
      </c>
      <c r="AS59" s="181">
        <f>VLOOKUP($C59,Утилизация!$B$16:$L$104,6,0)</f>
        <v>0.12300000000000001</v>
      </c>
      <c r="AT59" s="74">
        <f t="shared" si="17"/>
        <v>-1.6E-2</v>
      </c>
      <c r="AU59" s="75">
        <f>VLOOKUP($C59,Утилизация!$B$16:$L$104,7,0)</f>
        <v>0.5</v>
      </c>
      <c r="AV59" s="185">
        <f t="shared" si="18"/>
        <v>0.21400000000000002</v>
      </c>
      <c r="AW59" s="161" t="str">
        <f>VLOOKUP(C59,Захоронение!$B$16:$Q$104,16,0)</f>
        <v/>
      </c>
      <c r="AX59" s="135"/>
      <c r="AY59" s="94"/>
      <c r="AZ59" s="94"/>
      <c r="BA59" s="98"/>
      <c r="BB59" s="127" t="str">
        <f>VLOOKUP(C59,'ДК ИП'!$B$16:$S$104,5,0)</f>
        <v>среднее</v>
      </c>
      <c r="BC59" s="289">
        <f>VLOOKUP(C59,Радар!$B$16:$G$104,6,0)</f>
        <v>9.1891384383658514E-2</v>
      </c>
      <c r="BD59" s="98"/>
      <c r="BF59" s="296">
        <f t="shared" si="19"/>
        <v>0.16666666666666666</v>
      </c>
      <c r="BI59" s="8">
        <f t="shared" si="20"/>
        <v>0</v>
      </c>
      <c r="BJ59" s="8">
        <f>VLOOKUP(C59,Штаб!$B$16:$C$104,2)</f>
        <v>1</v>
      </c>
      <c r="BK59" s="8">
        <f>VLOOKUP(C59,'РО - регионы'!$B$16:$C$104,2)</f>
        <v>0</v>
      </c>
      <c r="BL59" s="8">
        <f>VLOOKUP(C59,'РО - регионы'!$B$16:$L$104,11)</f>
        <v>0</v>
      </c>
      <c r="BM59" s="8">
        <f>VLOOKUP(C59,Спецтехника!$B$16:$C$104,2)</f>
        <v>0</v>
      </c>
      <c r="BN59" s="8">
        <f>VLOOKUP($C59,МНО!$B$16:$AB$104,6,0)</f>
        <v>2</v>
      </c>
      <c r="BO59" s="8">
        <f>VLOOKUP($C59,МНО!$B$16:$AB$104,4,0)</f>
        <v>1</v>
      </c>
      <c r="BP59" s="8">
        <f>VLOOKUP($C59,МНО!$B$16:$AB$104,5,0)</f>
        <v>2</v>
      </c>
      <c r="BQ59" s="8">
        <f>VLOOKUP($C59,Контейнеры!$B$16:$G$104,6,0)</f>
        <v>2</v>
      </c>
      <c r="BR59" s="8">
        <f>VLOOKUP($C59,Контейнеры!$B$16:$G$104,4,0)</f>
        <v>0</v>
      </c>
      <c r="BS59" s="8">
        <f>VLOOKUP($C59,Контейнеры!$B$16:$G$104,5,0)</f>
        <v>2</v>
      </c>
      <c r="BT59" s="8">
        <f>VLOOKUP($C59,'ДК МНО'!$B$16:$C$104,2,0)</f>
        <v>2</v>
      </c>
      <c r="BU59" s="8">
        <f>VLOOKUP($C59,Обработка!$B$16:$F$104,5,0)</f>
        <v>0</v>
      </c>
      <c r="BV59" s="8">
        <f>VLOOKUP($C59,Обработка!$B$16:$F$104,4,0)</f>
        <v>0</v>
      </c>
      <c r="BW59" s="8">
        <f>VLOOKUP($C59,Утилизация!$B$16:$F$104,5,0)</f>
        <v>0</v>
      </c>
      <c r="BX59" s="8">
        <f>VLOOKUP($C59,Утилизация!$B$16:$F$104,4,0)</f>
        <v>1</v>
      </c>
      <c r="BY59" s="8">
        <f>VLOOKUP($C59,Захоронение!$B$16:$C$104,2,0)</f>
        <v>0</v>
      </c>
      <c r="BZ59" s="8">
        <f>VLOOKUP($C59,'ДК ИП'!$B$16:$C$104,2,0)</f>
        <v>1</v>
      </c>
      <c r="CA59" s="8">
        <f>VLOOKUP(C59,Радар!$B$16:$G$104,2,0)</f>
        <v>0</v>
      </c>
      <c r="CB59" s="8">
        <f t="shared" si="21"/>
        <v>0.4</v>
      </c>
    </row>
    <row r="60" spans="1:80" ht="15.6" thickBot="1">
      <c r="A60" s="9" t="s">
        <v>653</v>
      </c>
      <c r="B60" s="122">
        <f t="shared" si="14"/>
        <v>50</v>
      </c>
      <c r="C60" s="202" t="s">
        <v>53</v>
      </c>
      <c r="D60" s="277" t="str">
        <f>VLOOKUP($C60,Штаб!$B$16:$J$104,6,0)</f>
        <v/>
      </c>
      <c r="E60" s="285" t="str">
        <f>VLOOKUP($C60,Штаб!$B$16:$J$104,7,0)</f>
        <v/>
      </c>
      <c r="F60" s="285" t="str">
        <f>VLOOKUP($C60,Штаб!$B$16:$J$104,8,0)</f>
        <v>✔️</v>
      </c>
      <c r="G60" s="286" t="str">
        <f>VLOOKUP($C60,Штаб!$B$16:$J$104,9,0)</f>
        <v/>
      </c>
      <c r="H60" s="278" t="str">
        <f>VLOOKUP(C60,'РО - регионы'!$B$16:$I$104,8,0)</f>
        <v>0 / 3 / 0 из 3</v>
      </c>
      <c r="I60" s="237"/>
      <c r="J60" s="122"/>
      <c r="K60" s="94"/>
      <c r="L60" s="94"/>
      <c r="M60" s="98"/>
      <c r="N60" s="165">
        <f>VLOOKUP(C60,Спецтехника!$B$16:$J$104,4,0)</f>
        <v>68</v>
      </c>
      <c r="O60" s="168">
        <f>VLOOKUP(C60,Спецтехника!$B$16:$J$104,5,0)</f>
        <v>46</v>
      </c>
      <c r="P60" s="168">
        <f>VLOOKUP(C60,Спецтехника!$B$16:$J$104,6,0)</f>
        <v>22</v>
      </c>
      <c r="Q60" s="171">
        <f>VLOOKUP(C60,Спецтехника!$B$16:$J$104,7,0)</f>
        <v>0.3235294117647059</v>
      </c>
      <c r="R60" s="242"/>
      <c r="S60" s="122"/>
      <c r="T60" s="94"/>
      <c r="U60" s="94"/>
      <c r="V60" s="98"/>
      <c r="W60" s="164">
        <f>VLOOKUP($C60,МНО!$B$16:$AB$104,16,0)</f>
        <v>1606</v>
      </c>
      <c r="X60" s="167">
        <f>VLOOKUP($C60,МНО!$B$16:$AB$104,8,0)</f>
        <v>1206</v>
      </c>
      <c r="Y60" s="167">
        <f>VLOOKUP($C60,МНО!$B$16:$AB$104,11,0)</f>
        <v>400</v>
      </c>
      <c r="Z60" s="172">
        <f>VLOOKUP($C60,МНО!$B$16:$AB$104,17,0)</f>
        <v>0.24906600249066002</v>
      </c>
      <c r="AA60" s="245"/>
      <c r="AB60" s="95">
        <f>VLOOKUP($C60,МНО!$B$16:$AB$104,13,0)</f>
        <v>5.7125234265651317</v>
      </c>
      <c r="AC60" s="154">
        <f>VLOOKUP($C60,МНО!$B$16:$AB$104,18,0)</f>
        <v>0.93560899922420482</v>
      </c>
      <c r="AD60" s="164">
        <f>VLOOKUP($C60,Контейнеры!$B$16:$AB$104,16,0)</f>
        <v>3529</v>
      </c>
      <c r="AE60" s="167">
        <f>VLOOKUP($C60,Контейнеры!$B$16:$AB$104,8,0)</f>
        <v>2829</v>
      </c>
      <c r="AF60" s="167">
        <f>VLOOKUP($C60,Контейнеры!$B$16:$AB$104,11,0)</f>
        <v>700</v>
      </c>
      <c r="AG60" s="172">
        <f>VLOOKUP($C60,Контейнеры!$B$16:$AB$104,17,0)</f>
        <v>0.19835647492207426</v>
      </c>
      <c r="AH60" s="245"/>
      <c r="AI60" s="95">
        <f>VLOOKUP($C60,Контейнеры!$B$16:$AB$104,13,0)</f>
        <v>13.422532204113587</v>
      </c>
      <c r="AJ60" s="154">
        <f>VLOOKUP($C60,Контейнеры!$B$16:$AB$104,18,0)</f>
        <v>0.57313614262560775</v>
      </c>
      <c r="AK60" s="135"/>
      <c r="AL60" s="94"/>
      <c r="AM60" s="94"/>
      <c r="AN60" s="116"/>
      <c r="AO60" s="79">
        <f>VLOOKUP($C60,Обработка!$B$16:$L$104,6,0)</f>
        <v>0</v>
      </c>
      <c r="AP60" s="75">
        <f t="shared" si="15"/>
        <v>-0.54300000000000004</v>
      </c>
      <c r="AQ60" s="74">
        <f>VLOOKUP($C60,Обработка!$B$16:$L$104,7,0)</f>
        <v>0.66700000000000004</v>
      </c>
      <c r="AR60" s="179">
        <f t="shared" si="16"/>
        <v>-0.14000000000000001</v>
      </c>
      <c r="AS60" s="180">
        <f>VLOOKUP($C60,Утилизация!$B$16:$L$104,6,0)</f>
        <v>0</v>
      </c>
      <c r="AT60" s="76">
        <f t="shared" si="17"/>
        <v>-0.13900000000000001</v>
      </c>
      <c r="AU60" s="74">
        <f>VLOOKUP($C60,Утилизация!$B$16:$L$104,7,0)</f>
        <v>0.25</v>
      </c>
      <c r="AV60" s="186">
        <f t="shared" si="18"/>
        <v>-3.5999999999999976E-2</v>
      </c>
      <c r="AW60" s="162" t="str">
        <f>VLOOKUP(C60,Захоронение!$B$16:$Q$104,16,0)</f>
        <v>765 приказ</v>
      </c>
      <c r="AX60" s="135"/>
      <c r="AY60" s="94"/>
      <c r="AZ60" s="94"/>
      <c r="BA60" s="98"/>
      <c r="BB60" s="127" t="str">
        <f>VLOOKUP(C60,'ДК ИП'!$B$16:$S$104,5,0)</f>
        <v>небольшое</v>
      </c>
      <c r="BC60" s="288">
        <f>VLOOKUP(C60,Радар!$B$16:$G$104,6,0)</f>
        <v>0.90147794937489623</v>
      </c>
      <c r="BD60" s="98"/>
      <c r="BF60" s="293">
        <f t="shared" si="19"/>
        <v>1.1666666666666667</v>
      </c>
      <c r="BI60" s="8">
        <f t="shared" si="20"/>
        <v>1</v>
      </c>
      <c r="BJ60" s="8">
        <f>VLOOKUP(C60,Штаб!$B$16:$C$104,2)</f>
        <v>1</v>
      </c>
      <c r="BK60" s="8">
        <f>VLOOKUP(C60,'РО - регионы'!$B$16:$C$104,2)</f>
        <v>1</v>
      </c>
      <c r="BL60" s="8">
        <f>VLOOKUP(C60,'РО - регионы'!$B$16:$L$104,11)</f>
        <v>2</v>
      </c>
      <c r="BM60" s="8">
        <f>VLOOKUP(C60,Спецтехника!$B$16:$C$104,2)</f>
        <v>2</v>
      </c>
      <c r="BN60" s="8">
        <f>VLOOKUP($C60,МНО!$B$16:$AB$104,6,0)</f>
        <v>1</v>
      </c>
      <c r="BO60" s="8">
        <f>VLOOKUP($C60,МНО!$B$16:$AB$104,4,0)</f>
        <v>1</v>
      </c>
      <c r="BP60" s="8">
        <f>VLOOKUP($C60,МНО!$B$16:$AB$104,5,0)</f>
        <v>0</v>
      </c>
      <c r="BQ60" s="8">
        <f>VLOOKUP($C60,Контейнеры!$B$16:$G$104,6,0)</f>
        <v>1</v>
      </c>
      <c r="BR60" s="8">
        <f>VLOOKUP($C60,Контейнеры!$B$16:$G$104,4,0)</f>
        <v>0</v>
      </c>
      <c r="BS60" s="8">
        <f>VLOOKUP($C60,Контейнеры!$B$16:$G$104,5,0)</f>
        <v>2</v>
      </c>
      <c r="BT60" s="8">
        <f>VLOOKUP($C60,'ДК МНО'!$B$16:$C$104,2,0)</f>
        <v>2</v>
      </c>
      <c r="BU60" s="8">
        <f>VLOOKUP($C60,Обработка!$B$16:$F$104,5,0)</f>
        <v>1</v>
      </c>
      <c r="BV60" s="8">
        <f>VLOOKUP($C60,Обработка!$B$16:$F$104,4,0)</f>
        <v>2</v>
      </c>
      <c r="BW60" s="8">
        <f>VLOOKUP($C60,Утилизация!$B$16:$F$104,5,0)</f>
        <v>1</v>
      </c>
      <c r="BX60" s="8">
        <f>VLOOKUP($C60,Утилизация!$B$16:$F$104,4,0)</f>
        <v>2</v>
      </c>
      <c r="BY60" s="8">
        <f>VLOOKUP($C60,Захоронение!$B$16:$C$104,2,0)</f>
        <v>2</v>
      </c>
      <c r="BZ60" s="8">
        <f>VLOOKUP($C60,'ДК ИП'!$B$16:$C$104,2,0)</f>
        <v>0</v>
      </c>
      <c r="CA60" s="8">
        <f>VLOOKUP(C60,Радар!$B$16:$G$104,2,0)</f>
        <v>2</v>
      </c>
      <c r="CB60" s="8">
        <f t="shared" si="21"/>
        <v>1.25</v>
      </c>
    </row>
    <row r="61" spans="1:80" ht="15.6" thickBot="1">
      <c r="A61" s="9" t="s">
        <v>659</v>
      </c>
      <c r="B61" s="121">
        <f t="shared" si="14"/>
        <v>51</v>
      </c>
      <c r="C61" s="202" t="s">
        <v>3</v>
      </c>
      <c r="D61" s="277" t="str">
        <f>VLOOKUP($C61,Штаб!$B$16:$J$104,6,0)</f>
        <v/>
      </c>
      <c r="E61" s="285" t="str">
        <f>VLOOKUP($C61,Штаб!$B$16:$J$104,7,0)</f>
        <v/>
      </c>
      <c r="F61" s="285" t="str">
        <f>VLOOKUP($C61,Штаб!$B$16:$J$104,8,0)</f>
        <v>✔️</v>
      </c>
      <c r="G61" s="286" t="str">
        <f>VLOOKUP($C61,Штаб!$B$16:$J$104,9,0)</f>
        <v/>
      </c>
      <c r="H61" s="278" t="str">
        <f>VLOOKUP(C61,'РО - регионы'!$B$16:$I$104,8,0)</f>
        <v>0 / 2 / 3 из 5</v>
      </c>
      <c r="I61" s="237"/>
      <c r="J61" s="122"/>
      <c r="K61" s="94"/>
      <c r="L61" s="94"/>
      <c r="M61" s="98"/>
      <c r="N61" s="164">
        <f>VLOOKUP(C61,Спецтехника!$B$16:$J$104,4,0)</f>
        <v>580</v>
      </c>
      <c r="O61" s="167">
        <f>VLOOKUP(C61,Спецтехника!$B$16:$J$104,5,0)</f>
        <v>526</v>
      </c>
      <c r="P61" s="167">
        <f>VLOOKUP(C61,Спецтехника!$B$16:$J$104,6,0)</f>
        <v>54</v>
      </c>
      <c r="Q61" s="170">
        <f>VLOOKUP(C61,Спецтехника!$B$16:$J$104,7,0)</f>
        <v>9.3103448275862075E-2</v>
      </c>
      <c r="R61" s="242"/>
      <c r="S61" s="122"/>
      <c r="T61" s="94"/>
      <c r="U61" s="94"/>
      <c r="V61" s="98"/>
      <c r="W61" s="163">
        <f>VLOOKUP($C61,МНО!$B$16:$AB$104,16,0)</f>
        <v>46019</v>
      </c>
      <c r="X61" s="166">
        <f>VLOOKUP($C61,МНО!$B$16:$AB$104,8,0)</f>
        <v>43337</v>
      </c>
      <c r="Y61" s="166">
        <f>VLOOKUP($C61,МНО!$B$16:$AB$104,11,0)</f>
        <v>2682</v>
      </c>
      <c r="Z61" s="173">
        <f>VLOOKUP($C61,МНО!$B$16:$AB$104,17,0)</f>
        <v>5.8280275538364588E-2</v>
      </c>
      <c r="AA61" s="245"/>
      <c r="AB61" s="95">
        <f>VLOOKUP($C61,МНО!$B$16:$AB$104,13,0)</f>
        <v>9.380318332943359</v>
      </c>
      <c r="AC61" s="154">
        <f>VLOOKUP($C61,МНО!$B$16:$AB$104,18,0)</f>
        <v>1</v>
      </c>
      <c r="AD61" s="163">
        <f>VLOOKUP($C61,Контейнеры!$B$16:$AB$104,16,0)</f>
        <v>113717</v>
      </c>
      <c r="AE61" s="166">
        <f>VLOOKUP($C61,Контейнеры!$B$16:$AB$104,8,0)</f>
        <v>103522</v>
      </c>
      <c r="AF61" s="166">
        <f>VLOOKUP($C61,Контейнеры!$B$16:$AB$104,11,0)</f>
        <v>10195</v>
      </c>
      <c r="AG61" s="173">
        <f>VLOOKUP($C61,Контейнеры!$B$16:$AB$104,17,0)</f>
        <v>8.9652382669257888E-2</v>
      </c>
      <c r="AH61" s="245"/>
      <c r="AI61" s="95">
        <f>VLOOKUP($C61,Контейнеры!$B$16:$AB$104,13,0)</f>
        <v>25.470670543290815</v>
      </c>
      <c r="AJ61" s="154">
        <f>VLOOKUP($C61,Контейнеры!$B$16:$AB$104,18,0)</f>
        <v>1</v>
      </c>
      <c r="AK61" s="135"/>
      <c r="AL61" s="94"/>
      <c r="AM61" s="94"/>
      <c r="AN61" s="116"/>
      <c r="AO61" s="80">
        <f>VLOOKUP($C61,Обработка!$B$16:$L$104,6,0)</f>
        <v>0.436</v>
      </c>
      <c r="AP61" s="75">
        <f t="shared" si="15"/>
        <v>-0.10700000000000004</v>
      </c>
      <c r="AQ61" s="74">
        <f>VLOOKUP($C61,Обработка!$B$16:$L$104,7,0)</f>
        <v>0.8</v>
      </c>
      <c r="AR61" s="179">
        <f t="shared" si="16"/>
        <v>-7.0000000000000062E-3</v>
      </c>
      <c r="AS61" s="180">
        <f>VLOOKUP($C61,Утилизация!$B$16:$L$104,6,0)</f>
        <v>5.7999999999999996E-2</v>
      </c>
      <c r="AT61" s="76">
        <f t="shared" si="17"/>
        <v>-8.1000000000000016E-2</v>
      </c>
      <c r="AU61" s="75">
        <f>VLOOKUP($C61,Утилизация!$B$16:$L$104,7,0)</f>
        <v>0.34899999999999998</v>
      </c>
      <c r="AV61" s="185">
        <f t="shared" si="18"/>
        <v>6.3E-2</v>
      </c>
      <c r="AW61" s="161" t="str">
        <f>VLOOKUP(C61,Захоронение!$B$16:$Q$104,16,0)</f>
        <v/>
      </c>
      <c r="AX61" s="135"/>
      <c r="AY61" s="94"/>
      <c r="AZ61" s="94"/>
      <c r="BA61" s="98"/>
      <c r="BB61" s="127" t="str">
        <f>VLOOKUP(C61,'ДК ИП'!$B$16:$S$104,5,0)</f>
        <v>небольшое</v>
      </c>
      <c r="BC61" s="289">
        <f>VLOOKUP(C61,Радар!$B$16:$G$104,6,0)</f>
        <v>2.952493639221516E-3</v>
      </c>
      <c r="BD61" s="98"/>
      <c r="BF61" s="296">
        <f t="shared" si="19"/>
        <v>0.33333333333333331</v>
      </c>
      <c r="BI61" s="8">
        <f t="shared" si="20"/>
        <v>0</v>
      </c>
      <c r="BJ61" s="8">
        <f>VLOOKUP(C61,Штаб!$B$16:$C$104,2)</f>
        <v>1</v>
      </c>
      <c r="BK61" s="8">
        <f>VLOOKUP(C61,'РО - регионы'!$B$16:$C$104,2)</f>
        <v>1</v>
      </c>
      <c r="BL61" s="8">
        <f>VLOOKUP(C61,'РО - регионы'!$B$16:$L$104,11)</f>
        <v>2</v>
      </c>
      <c r="BM61" s="8">
        <f>VLOOKUP(C61,Спецтехника!$B$16:$C$104,2)</f>
        <v>1</v>
      </c>
      <c r="BN61" s="8">
        <f>VLOOKUP($C61,МНО!$B$16:$AB$104,6,0)</f>
        <v>0</v>
      </c>
      <c r="BO61" s="8">
        <f>VLOOKUP($C61,МНО!$B$16:$AB$104,4,0)</f>
        <v>0</v>
      </c>
      <c r="BP61" s="8">
        <f>VLOOKUP($C61,МНО!$B$16:$AB$104,5,0)</f>
        <v>0</v>
      </c>
      <c r="BQ61" s="8">
        <f>VLOOKUP($C61,Контейнеры!$B$16:$G$104,6,0)</f>
        <v>0</v>
      </c>
      <c r="BR61" s="8">
        <f>VLOOKUP($C61,Контейнеры!$B$16:$G$104,4,0)</f>
        <v>0</v>
      </c>
      <c r="BS61" s="8">
        <f>VLOOKUP($C61,Контейнеры!$B$16:$G$104,5,0)</f>
        <v>0</v>
      </c>
      <c r="BT61" s="8">
        <f>VLOOKUP($C61,'ДК МНО'!$B$16:$C$104,2,0)</f>
        <v>2</v>
      </c>
      <c r="BU61" s="8">
        <f>VLOOKUP($C61,Обработка!$B$16:$F$104,5,0)</f>
        <v>1</v>
      </c>
      <c r="BV61" s="8">
        <f>VLOOKUP($C61,Обработка!$B$16:$F$104,4,0)</f>
        <v>1</v>
      </c>
      <c r="BW61" s="8">
        <f>VLOOKUP($C61,Утилизация!$B$16:$F$104,5,0)</f>
        <v>0</v>
      </c>
      <c r="BX61" s="8">
        <f>VLOOKUP($C61,Утилизация!$B$16:$F$104,4,0)</f>
        <v>2</v>
      </c>
      <c r="BY61" s="8">
        <f>VLOOKUP($C61,Захоронение!$B$16:$C$104,2,0)</f>
        <v>0</v>
      </c>
      <c r="BZ61" s="8">
        <f>VLOOKUP($C61,'ДК ИП'!$B$16:$C$104,2,0)</f>
        <v>0</v>
      </c>
      <c r="CA61" s="8">
        <f>VLOOKUP(C61,Радар!$B$16:$G$104,2,0)</f>
        <v>0</v>
      </c>
      <c r="CB61" s="8">
        <f t="shared" si="21"/>
        <v>0.44999999999999996</v>
      </c>
    </row>
    <row r="62" spans="1:80" ht="15.6" thickBot="1">
      <c r="A62" s="9" t="s">
        <v>654</v>
      </c>
      <c r="B62" s="122">
        <f t="shared" si="14"/>
        <v>52</v>
      </c>
      <c r="C62" s="202" t="s">
        <v>54</v>
      </c>
      <c r="D62" s="277" t="str">
        <f>VLOOKUP($C62,Штаб!$B$16:$J$104,6,0)</f>
        <v/>
      </c>
      <c r="E62" s="285" t="str">
        <f>VLOOKUP($C62,Штаб!$B$16:$J$104,7,0)</f>
        <v/>
      </c>
      <c r="F62" s="285" t="str">
        <f>VLOOKUP($C62,Штаб!$B$16:$J$104,8,0)</f>
        <v/>
      </c>
      <c r="G62" s="286" t="str">
        <f>VLOOKUP($C62,Штаб!$B$16:$J$104,9,0)</f>
        <v>✔️</v>
      </c>
      <c r="H62" s="279" t="str">
        <f>VLOOKUP(C62,'РО - регионы'!$B$16:$I$104,8,0)</f>
        <v>0 / 0 / 3 из 3</v>
      </c>
      <c r="I62" s="237"/>
      <c r="J62" s="122"/>
      <c r="K62" s="94"/>
      <c r="L62" s="94"/>
      <c r="M62" s="98"/>
      <c r="N62" s="163">
        <f>VLOOKUP(C62,Спецтехника!$B$16:$J$104,4,0)</f>
        <v>191</v>
      </c>
      <c r="O62" s="166">
        <f>VLOOKUP(C62,Спецтехника!$B$16:$J$104,5,0)</f>
        <v>191</v>
      </c>
      <c r="P62" s="166">
        <f>VLOOKUP(C62,Спецтехника!$B$16:$J$104,6,0)</f>
        <v>0</v>
      </c>
      <c r="Q62" s="169">
        <f>VLOOKUP(C62,Спецтехника!$B$16:$J$104,7,0)</f>
        <v>0</v>
      </c>
      <c r="R62" s="242"/>
      <c r="S62" s="122"/>
      <c r="T62" s="94"/>
      <c r="U62" s="94"/>
      <c r="V62" s="98"/>
      <c r="W62" s="165">
        <f>VLOOKUP($C62,МНО!$B$16:$AB$104,16,0)</f>
        <v>10779</v>
      </c>
      <c r="X62" s="168">
        <f>VLOOKUP($C62,МНО!$B$16:$AB$104,8,0)</f>
        <v>3807</v>
      </c>
      <c r="Y62" s="168">
        <f>VLOOKUP($C62,МНО!$B$16:$AB$104,11,0)</f>
        <v>6972</v>
      </c>
      <c r="Z62" s="174">
        <f>VLOOKUP($C62,МНО!$B$16:$AB$104,17,0)</f>
        <v>0.64681324798218753</v>
      </c>
      <c r="AA62" s="245"/>
      <c r="AB62" s="95">
        <f>VLOOKUP($C62,МНО!$B$16:$AB$104,13,0)</f>
        <v>3.8439298626844542</v>
      </c>
      <c r="AC62" s="154">
        <f>VLOOKUP($C62,МНО!$B$16:$AB$104,18,0)</f>
        <v>1</v>
      </c>
      <c r="AD62" s="165">
        <f>VLOOKUP($C62,Контейнеры!$B$16:$AB$104,16,0)</f>
        <v>7328</v>
      </c>
      <c r="AE62" s="168">
        <f>VLOOKUP($C62,Контейнеры!$B$16:$AB$104,8,0)</f>
        <v>7328</v>
      </c>
      <c r="AF62" s="168">
        <f>VLOOKUP($C62,Контейнеры!$B$16:$AB$104,11,0)</f>
        <v>0</v>
      </c>
      <c r="AG62" s="174">
        <f>VLOOKUP($C62,Контейнеры!$B$16:$AB$104,17,0)</f>
        <v>0</v>
      </c>
      <c r="AH62" s="245"/>
      <c r="AI62" s="95">
        <f>VLOOKUP($C62,Контейнеры!$B$16:$AB$104,13,0)</f>
        <v>7.5396996878350322</v>
      </c>
      <c r="AJ62" s="154">
        <f>VLOOKUP($C62,Контейнеры!$B$16:$AB$104,18,0)</f>
        <v>1</v>
      </c>
      <c r="AK62" s="135"/>
      <c r="AL62" s="94"/>
      <c r="AM62" s="94"/>
      <c r="AN62" s="116"/>
      <c r="AO62" s="79">
        <f>VLOOKUP($C62,Обработка!$B$16:$L$104,6,0)</f>
        <v>0</v>
      </c>
      <c r="AP62" s="76">
        <f t="shared" si="15"/>
        <v>-0.54300000000000004</v>
      </c>
      <c r="AQ62" s="74">
        <f>VLOOKUP($C62,Обработка!$B$16:$L$104,7,0)</f>
        <v>0.66206900000000002</v>
      </c>
      <c r="AR62" s="179">
        <f t="shared" si="16"/>
        <v>-0.14493100000000003</v>
      </c>
      <c r="AS62" s="180">
        <f>VLOOKUP($C62,Утилизация!$B$16:$L$104,6,0)</f>
        <v>0</v>
      </c>
      <c r="AT62" s="76">
        <f t="shared" si="17"/>
        <v>-0.13900000000000001</v>
      </c>
      <c r="AU62" s="74">
        <f>VLOOKUP($C62,Утилизация!$B$16:$L$104,7,0)</f>
        <v>0.27147300000000002</v>
      </c>
      <c r="AV62" s="186">
        <f t="shared" si="18"/>
        <v>-1.4526999999999957E-2</v>
      </c>
      <c r="AW62" s="162" t="str">
        <f>VLOOKUP(C62,Захоронение!$B$16:$Q$104,16,0)</f>
        <v>свалки</v>
      </c>
      <c r="AX62" s="135"/>
      <c r="AY62" s="94"/>
      <c r="AZ62" s="94"/>
      <c r="BA62" s="98"/>
      <c r="BB62" s="127" t="str">
        <f>VLOOKUP(C62,'ДК ИП'!$B$16:$S$104,5,0)</f>
        <v>среднее</v>
      </c>
      <c r="BC62" s="290">
        <f>VLOOKUP(C62,Радар!$B$16:$G$104,6,0)</f>
        <v>9.1571134309131802E-2</v>
      </c>
      <c r="BD62" s="98"/>
      <c r="BF62" s="293">
        <f t="shared" si="19"/>
        <v>1.25</v>
      </c>
      <c r="BI62" s="8">
        <f t="shared" si="20"/>
        <v>1</v>
      </c>
      <c r="BJ62" s="8">
        <f>VLOOKUP(C62,Штаб!$B$16:$C$104,2)</f>
        <v>2</v>
      </c>
      <c r="BK62" s="8">
        <f>VLOOKUP(C62,'РО - регионы'!$B$16:$C$104,2)</f>
        <v>0</v>
      </c>
      <c r="BL62" s="8">
        <f>VLOOKUP(C62,'РО - регионы'!$B$16:$L$104,11)</f>
        <v>0</v>
      </c>
      <c r="BM62" s="8">
        <f>VLOOKUP(C62,Спецтехника!$B$16:$C$104,2)</f>
        <v>0</v>
      </c>
      <c r="BN62" s="8">
        <f>VLOOKUP($C62,МНО!$B$16:$AB$104,6,0)</f>
        <v>2</v>
      </c>
      <c r="BO62" s="8">
        <f>VLOOKUP($C62,МНО!$B$16:$AB$104,4,0)</f>
        <v>1</v>
      </c>
      <c r="BP62" s="8">
        <f>VLOOKUP($C62,МНО!$B$16:$AB$104,5,0)</f>
        <v>0</v>
      </c>
      <c r="BQ62" s="8">
        <f>VLOOKUP($C62,Контейнеры!$B$16:$G$104,6,0)</f>
        <v>2</v>
      </c>
      <c r="BR62" s="8">
        <f>VLOOKUP($C62,Контейнеры!$B$16:$G$104,4,0)</f>
        <v>2</v>
      </c>
      <c r="BS62" s="8">
        <f>VLOOKUP($C62,Контейнеры!$B$16:$G$104,5,0)</f>
        <v>0</v>
      </c>
      <c r="BT62" s="8">
        <f>VLOOKUP($C62,'ДК МНО'!$B$16:$C$104,2,0)</f>
        <v>2</v>
      </c>
      <c r="BU62" s="8">
        <f>VLOOKUP($C62,Обработка!$B$16:$F$104,5,0)</f>
        <v>1</v>
      </c>
      <c r="BV62" s="8">
        <f>VLOOKUP($C62,Обработка!$B$16:$F$104,4,0)</f>
        <v>2</v>
      </c>
      <c r="BW62" s="8">
        <f>VLOOKUP($C62,Утилизация!$B$16:$F$104,5,0)</f>
        <v>1</v>
      </c>
      <c r="BX62" s="8">
        <f>VLOOKUP($C62,Утилизация!$B$16:$F$104,4,0)</f>
        <v>2</v>
      </c>
      <c r="BY62" s="8">
        <f>VLOOKUP($C62,Захоронение!$B$16:$C$104,2,0)</f>
        <v>2</v>
      </c>
      <c r="BZ62" s="8">
        <f>VLOOKUP($C62,'ДК ИП'!$B$16:$C$104,2,0)</f>
        <v>1</v>
      </c>
      <c r="CA62" s="8">
        <f>VLOOKUP(C62,Радар!$B$16:$G$104,2,0)</f>
        <v>1</v>
      </c>
      <c r="CB62" s="8">
        <f t="shared" si="21"/>
        <v>1.25</v>
      </c>
    </row>
    <row r="63" spans="1:80" ht="15.6" thickBot="1">
      <c r="A63" s="9" t="s">
        <v>658</v>
      </c>
      <c r="B63" s="121">
        <f t="shared" si="14"/>
        <v>53</v>
      </c>
      <c r="C63" s="202" t="s">
        <v>55</v>
      </c>
      <c r="D63" s="277" t="str">
        <f>VLOOKUP($C63,Штаб!$B$16:$J$104,6,0)</f>
        <v/>
      </c>
      <c r="E63" s="285" t="str">
        <f>VLOOKUP($C63,Штаб!$B$16:$J$104,7,0)</f>
        <v/>
      </c>
      <c r="F63" s="285" t="str">
        <f>VLOOKUP($C63,Штаб!$B$16:$J$104,8,0)</f>
        <v/>
      </c>
      <c r="G63" s="286" t="str">
        <f>VLOOKUP($C63,Штаб!$B$16:$J$104,9,0)</f>
        <v>✔️</v>
      </c>
      <c r="H63" s="278" t="str">
        <f>VLOOKUP(C63,'РО - регионы'!$B$16:$I$104,8,0)</f>
        <v>0 / 3 / 0 из 3</v>
      </c>
      <c r="I63" s="237"/>
      <c r="J63" s="122"/>
      <c r="K63" s="94"/>
      <c r="L63" s="94"/>
      <c r="M63" s="98"/>
      <c r="N63" s="165">
        <f>VLOOKUP(C63,Спецтехника!$B$16:$J$104,4,0)</f>
        <v>263</v>
      </c>
      <c r="O63" s="168">
        <f>VLOOKUP(C63,Спецтехника!$B$16:$J$104,5,0)</f>
        <v>139</v>
      </c>
      <c r="P63" s="168">
        <f>VLOOKUP(C63,Спецтехника!$B$16:$J$104,6,0)</f>
        <v>124</v>
      </c>
      <c r="Q63" s="171">
        <f>VLOOKUP(C63,Спецтехника!$B$16:$J$104,7,0)</f>
        <v>0.47148288973384028</v>
      </c>
      <c r="R63" s="242"/>
      <c r="S63" s="122"/>
      <c r="T63" s="94"/>
      <c r="U63" s="94"/>
      <c r="V63" s="98"/>
      <c r="W63" s="165">
        <f>VLOOKUP($C63,МНО!$B$16:$AB$104,16,0)</f>
        <v>11459</v>
      </c>
      <c r="X63" s="168">
        <f>VLOOKUP($C63,МНО!$B$16:$AB$104,8,0)</f>
        <v>6173</v>
      </c>
      <c r="Y63" s="168">
        <f>VLOOKUP($C63,МНО!$B$16:$AB$104,11,0)</f>
        <v>5286</v>
      </c>
      <c r="Z63" s="174">
        <f>VLOOKUP($C63,МНО!$B$16:$AB$104,17,0)</f>
        <v>0.46129679727724932</v>
      </c>
      <c r="AA63" s="245"/>
      <c r="AB63" s="95">
        <f>VLOOKUP($C63,МНО!$B$16:$AB$104,13,0)</f>
        <v>1.8244403853198292</v>
      </c>
      <c r="AC63" s="154">
        <f>VLOOKUP($C63,МНО!$B$16:$AB$104,18,0)</f>
        <v>1</v>
      </c>
      <c r="AD63" s="165">
        <f>VLOOKUP($C63,Контейнеры!$B$16:$AB$104,16,0)</f>
        <v>18260</v>
      </c>
      <c r="AE63" s="168">
        <f>VLOOKUP($C63,Контейнеры!$B$16:$AB$104,8,0)</f>
        <v>18260</v>
      </c>
      <c r="AF63" s="168">
        <f>VLOOKUP($C63,Контейнеры!$B$16:$AB$104,11,0)</f>
        <v>0</v>
      </c>
      <c r="AG63" s="174">
        <f>VLOOKUP($C63,Контейнеры!$B$16:$AB$104,17,0)</f>
        <v>0</v>
      </c>
      <c r="AH63" s="245"/>
      <c r="AI63" s="95">
        <f>VLOOKUP($C63,Контейнеры!$B$16:$AB$104,13,0)</f>
        <v>5.6493609353807166</v>
      </c>
      <c r="AJ63" s="154">
        <f>VLOOKUP($C63,Контейнеры!$B$16:$AB$104,18,0)</f>
        <v>1</v>
      </c>
      <c r="AK63" s="135"/>
      <c r="AL63" s="94"/>
      <c r="AM63" s="94"/>
      <c r="AN63" s="116"/>
      <c r="AO63" s="79">
        <f>VLOOKUP($C63,Обработка!$B$16:$L$104,6,0)</f>
        <v>0</v>
      </c>
      <c r="AP63" s="76">
        <f t="shared" si="15"/>
        <v>-0.54300000000000004</v>
      </c>
      <c r="AQ63" s="75">
        <f>VLOOKUP($C63,Обработка!$B$16:$L$104,7,0)</f>
        <v>1</v>
      </c>
      <c r="AR63" s="178">
        <f t="shared" si="16"/>
        <v>0.19299999999999995</v>
      </c>
      <c r="AS63" s="180">
        <f>VLOOKUP($C63,Утилизация!$B$16:$L$104,6,0)</f>
        <v>0</v>
      </c>
      <c r="AT63" s="76">
        <f t="shared" si="17"/>
        <v>-0.13900000000000001</v>
      </c>
      <c r="AU63" s="75">
        <f>VLOOKUP($C63,Утилизация!$B$16:$L$104,7,0)</f>
        <v>0.5</v>
      </c>
      <c r="AV63" s="185">
        <f t="shared" si="18"/>
        <v>0.21400000000000002</v>
      </c>
      <c r="AW63" s="160" t="str">
        <f>VLOOKUP(C63,Захоронение!$B$16:$Q$104,16,0)</f>
        <v>перегруз</v>
      </c>
      <c r="AX63" s="135"/>
      <c r="AY63" s="94"/>
      <c r="AZ63" s="94"/>
      <c r="BA63" s="98"/>
      <c r="BB63" s="127" t="str">
        <f>VLOOKUP(C63,'ДК ИП'!$B$16:$S$104,5,0)</f>
        <v>нет</v>
      </c>
      <c r="BC63" s="289">
        <f>VLOOKUP(C63,Радар!$B$16:$G$104,6,0)</f>
        <v>6.1876899620818366E-4</v>
      </c>
      <c r="BD63" s="98"/>
      <c r="BF63" s="294">
        <f t="shared" si="19"/>
        <v>0.66666666666666663</v>
      </c>
      <c r="BI63" s="8">
        <f t="shared" si="20"/>
        <v>1</v>
      </c>
      <c r="BJ63" s="8">
        <f>VLOOKUP(C63,Штаб!$B$16:$C$104,2)</f>
        <v>2</v>
      </c>
      <c r="BK63" s="8">
        <f>VLOOKUP(C63,'РО - регионы'!$B$16:$C$104,2)</f>
        <v>1</v>
      </c>
      <c r="BL63" s="8">
        <f>VLOOKUP(C63,'РО - регионы'!$B$16:$L$104,11)</f>
        <v>2</v>
      </c>
      <c r="BM63" s="8">
        <f>VLOOKUP(C63,Спецтехника!$B$16:$C$104,2)</f>
        <v>2</v>
      </c>
      <c r="BN63" s="8">
        <f>VLOOKUP($C63,МНО!$B$16:$AB$104,6,0)</f>
        <v>2</v>
      </c>
      <c r="BO63" s="8">
        <f>VLOOKUP($C63,МНО!$B$16:$AB$104,4,0)</f>
        <v>2</v>
      </c>
      <c r="BP63" s="8">
        <f>VLOOKUP($C63,МНО!$B$16:$AB$104,5,0)</f>
        <v>0</v>
      </c>
      <c r="BQ63" s="8">
        <f>VLOOKUP($C63,Контейнеры!$B$16:$G$104,6,0)</f>
        <v>2</v>
      </c>
      <c r="BR63" s="8">
        <f>VLOOKUP($C63,Контейнеры!$B$16:$G$104,4,0)</f>
        <v>2</v>
      </c>
      <c r="BS63" s="8">
        <f>VLOOKUP($C63,Контейнеры!$B$16:$G$104,5,0)</f>
        <v>0</v>
      </c>
      <c r="BT63" s="8">
        <f>VLOOKUP($C63,'ДК МНО'!$B$16:$C$104,2,0)</f>
        <v>2</v>
      </c>
      <c r="BU63" s="8">
        <f>VLOOKUP($C63,Обработка!$B$16:$F$104,5,0)</f>
        <v>0</v>
      </c>
      <c r="BV63" s="8">
        <f>VLOOKUP($C63,Обработка!$B$16:$F$104,4,0)</f>
        <v>2</v>
      </c>
      <c r="BW63" s="8">
        <f>VLOOKUP($C63,Утилизация!$B$16:$F$104,5,0)</f>
        <v>0</v>
      </c>
      <c r="BX63" s="8">
        <f>VLOOKUP($C63,Утилизация!$B$16:$F$104,4,0)</f>
        <v>2</v>
      </c>
      <c r="BY63" s="8">
        <f>VLOOKUP($C63,Захоронение!$B$16:$C$104,2,0)</f>
        <v>1</v>
      </c>
      <c r="BZ63" s="8">
        <f>VLOOKUP($C63,'ДК ИП'!$B$16:$C$104,2,0)</f>
        <v>0</v>
      </c>
      <c r="CA63" s="8">
        <f>VLOOKUP(C63,Радар!$B$16:$G$104,2,0)</f>
        <v>0</v>
      </c>
      <c r="CB63" s="8">
        <f t="shared" si="21"/>
        <v>1.1499999999999999</v>
      </c>
    </row>
    <row r="64" spans="1:80" s="307" customFormat="1" ht="15.6" thickBot="1">
      <c r="A64" s="307" t="s">
        <v>658</v>
      </c>
      <c r="B64" s="308">
        <f t="shared" si="14"/>
        <v>54</v>
      </c>
      <c r="C64" s="309" t="s">
        <v>56</v>
      </c>
      <c r="D64" s="310" t="str">
        <f>VLOOKUP($C64,Штаб!$B$16:$J$104,6,0)</f>
        <v>✔️</v>
      </c>
      <c r="E64" s="311" t="str">
        <f>VLOOKUP($C64,Штаб!$B$16:$J$104,7,0)</f>
        <v/>
      </c>
      <c r="F64" s="311" t="str">
        <f>VLOOKUP($C64,Штаб!$B$16:$J$104,8,0)</f>
        <v/>
      </c>
      <c r="G64" s="312" t="str">
        <f>VLOOKUP($C64,Штаб!$B$16:$J$104,9,0)</f>
        <v/>
      </c>
      <c r="H64" s="313" t="str">
        <f>VLOOKUP(C64,'РО - регионы'!$B$16:$I$104,8,0)</f>
        <v>0 / 1 / 0 из 1</v>
      </c>
      <c r="I64" s="314"/>
      <c r="J64" s="308"/>
      <c r="K64" s="315"/>
      <c r="L64" s="315"/>
      <c r="M64" s="316"/>
      <c r="N64" s="317">
        <f>VLOOKUP(C64,Спецтехника!$B$16:$J$104,4,0)</f>
        <v>91</v>
      </c>
      <c r="O64" s="318">
        <f>VLOOKUP(C64,Спецтехника!$B$16:$J$104,5,0)</f>
        <v>36</v>
      </c>
      <c r="P64" s="318">
        <f>VLOOKUP(C64,Спецтехника!$B$16:$J$104,6,0)</f>
        <v>55</v>
      </c>
      <c r="Q64" s="319">
        <f>VLOOKUP(C64,Спецтехника!$B$16:$J$104,7,0)</f>
        <v>0.60439560439560436</v>
      </c>
      <c r="R64" s="320"/>
      <c r="S64" s="308"/>
      <c r="T64" s="315"/>
      <c r="U64" s="315"/>
      <c r="V64" s="316"/>
      <c r="W64" s="317">
        <f>VLOOKUP($C64,МНО!$B$16:$AB$104,16,0)</f>
        <v>380</v>
      </c>
      <c r="X64" s="318">
        <f>VLOOKUP($C64,МНО!$B$16:$AB$104,8,0)</f>
        <v>58</v>
      </c>
      <c r="Y64" s="318">
        <f>VLOOKUP($C64,МНО!$B$16:$AB$104,11,0)</f>
        <v>322</v>
      </c>
      <c r="Z64" s="321">
        <f>VLOOKUP($C64,МНО!$B$16:$AB$104,17,0)</f>
        <v>0.84736842105263155</v>
      </c>
      <c r="AA64" s="321"/>
      <c r="AB64" s="322">
        <f>VLOOKUP($C64,МНО!$B$16:$AB$104,13,0)</f>
        <v>0.11001100110011001</v>
      </c>
      <c r="AC64" s="323">
        <f>VLOOKUP($C64,МНО!$B$16:$AB$104,18,0)</f>
        <v>0.2140221402214022</v>
      </c>
      <c r="AD64" s="317">
        <f>VLOOKUP($C64,Контейнеры!$B$16:$AB$104,16,0)</f>
        <v>319</v>
      </c>
      <c r="AE64" s="318">
        <f>VLOOKUP($C64,Контейнеры!$B$16:$AB$104,8,0)</f>
        <v>319</v>
      </c>
      <c r="AF64" s="318">
        <f>VLOOKUP($C64,Контейнеры!$B$16:$AB$104,11,0)</f>
        <v>0</v>
      </c>
      <c r="AG64" s="321">
        <f>VLOOKUP($C64,Контейнеры!$B$16:$AB$104,17,0)</f>
        <v>0</v>
      </c>
      <c r="AH64" s="321"/>
      <c r="AI64" s="322">
        <f>VLOOKUP($C64,Контейнеры!$B$16:$AB$104,13,0)</f>
        <v>0.60506050605060513</v>
      </c>
      <c r="AJ64" s="323">
        <f>VLOOKUP($C64,Контейнеры!$B$16:$AB$104,18,0)</f>
        <v>0.22867383512544803</v>
      </c>
      <c r="AK64" s="324"/>
      <c r="AL64" s="315"/>
      <c r="AM64" s="315"/>
      <c r="AN64" s="325"/>
      <c r="AO64" s="326">
        <f>VLOOKUP($C64,Обработка!$B$16:$L$104,6,0)</f>
        <v>1</v>
      </c>
      <c r="AP64" s="327">
        <f t="shared" si="15"/>
        <v>0.45699999999999996</v>
      </c>
      <c r="AQ64" s="327">
        <f>VLOOKUP($C64,Обработка!$B$16:$L$104,7,0)</f>
        <v>1</v>
      </c>
      <c r="AR64" s="328">
        <f t="shared" si="16"/>
        <v>0.19299999999999995</v>
      </c>
      <c r="AS64" s="329">
        <f>VLOOKUP($C64,Утилизация!$B$16:$L$104,6,0)</f>
        <v>0.35</v>
      </c>
      <c r="AT64" s="327">
        <f t="shared" si="17"/>
        <v>0.21099999999999997</v>
      </c>
      <c r="AU64" s="327">
        <f>VLOOKUP($C64,Утилизация!$B$16:$L$104,7,0)</f>
        <v>0.5</v>
      </c>
      <c r="AV64" s="330">
        <f t="shared" si="18"/>
        <v>0.21400000000000002</v>
      </c>
      <c r="AW64" s="331" t="str">
        <f>VLOOKUP(C64,Захоронение!$B$16:$Q$104,16,0)</f>
        <v>свалки</v>
      </c>
      <c r="AX64" s="324"/>
      <c r="AY64" s="315"/>
      <c r="AZ64" s="315"/>
      <c r="BA64" s="316"/>
      <c r="BB64" s="332" t="str">
        <f>VLOOKUP(C64,'ДК ИП'!$B$16:$S$104,5,0)</f>
        <v>существенное</v>
      </c>
      <c r="BC64" s="333">
        <f>VLOOKUP(C64,Радар!$B$16:$G$104,6,0)</f>
        <v>4.9315276355221732E-2</v>
      </c>
      <c r="BD64" s="316"/>
      <c r="BE64" s="334"/>
      <c r="BF64" s="334">
        <f t="shared" si="19"/>
        <v>1.1666666666666667</v>
      </c>
      <c r="BG64" s="334"/>
      <c r="BH64" s="334"/>
      <c r="BI64" s="334">
        <f t="shared" si="20"/>
        <v>2</v>
      </c>
      <c r="BJ64" s="334">
        <f>VLOOKUP(C64,Штаб!$B$16:$C$104,2)</f>
        <v>0</v>
      </c>
      <c r="BK64" s="334">
        <f>VLOOKUP(C64,'РО - регионы'!$B$16:$C$104,2)</f>
        <v>1</v>
      </c>
      <c r="BL64" s="334">
        <f>VLOOKUP(C64,'РО - регионы'!$B$16:$L$104,11)</f>
        <v>2</v>
      </c>
      <c r="BM64" s="334">
        <f>VLOOKUP(C64,Спецтехника!$B$16:$C$104,2)</f>
        <v>2</v>
      </c>
      <c r="BN64" s="334">
        <f>VLOOKUP($C64,МНО!$B$16:$AB$104,6,0)</f>
        <v>2</v>
      </c>
      <c r="BO64" s="334">
        <f>VLOOKUP($C64,МНО!$B$16:$AB$104,4,0)</f>
        <v>2</v>
      </c>
      <c r="BP64" s="334">
        <f>VLOOKUP($C64,МНО!$B$16:$AB$104,5,0)</f>
        <v>2</v>
      </c>
      <c r="BQ64" s="334">
        <f>VLOOKUP($C64,Контейнеры!$B$16:$G$104,6,0)</f>
        <v>2</v>
      </c>
      <c r="BR64" s="334">
        <f>VLOOKUP($C64,Контейнеры!$B$16:$G$104,4,0)</f>
        <v>2</v>
      </c>
      <c r="BS64" s="334">
        <f>VLOOKUP($C64,Контейнеры!$B$16:$G$104,5,0)</f>
        <v>2</v>
      </c>
      <c r="BT64" s="334">
        <f>VLOOKUP($C64,'ДК МНО'!$B$16:$C$104,2,0)</f>
        <v>2</v>
      </c>
      <c r="BU64" s="334">
        <f>VLOOKUP($C64,Обработка!$B$16:$F$104,5,0)</f>
        <v>0</v>
      </c>
      <c r="BV64" s="334">
        <f>VLOOKUP($C64,Обработка!$B$16:$F$104,4,0)</f>
        <v>2</v>
      </c>
      <c r="BW64" s="334">
        <f>VLOOKUP($C64,Утилизация!$B$16:$F$104,5,0)</f>
        <v>0</v>
      </c>
      <c r="BX64" s="334">
        <f>VLOOKUP($C64,Утилизация!$B$16:$F$104,4,0)</f>
        <v>2</v>
      </c>
      <c r="BY64" s="334">
        <f>VLOOKUP($C64,Захоронение!$B$16:$C$104,2,0)</f>
        <v>2</v>
      </c>
      <c r="BZ64" s="334">
        <f>VLOOKUP($C64,'ДК ИП'!$B$16:$C$104,2,0)</f>
        <v>2</v>
      </c>
      <c r="CA64" s="334">
        <f>VLOOKUP(C64,Радар!$B$16:$G$104,2,0)</f>
        <v>0</v>
      </c>
      <c r="CB64" s="334">
        <f t="shared" si="21"/>
        <v>1.5999999999999999</v>
      </c>
    </row>
    <row r="65" spans="1:80" ht="15.6" thickBot="1">
      <c r="A65" s="9" t="s">
        <v>656</v>
      </c>
      <c r="B65" s="121">
        <f t="shared" si="14"/>
        <v>55</v>
      </c>
      <c r="C65" s="202" t="s">
        <v>57</v>
      </c>
      <c r="D65" s="277" t="str">
        <f>VLOOKUP($C65,Штаб!$B$16:$J$104,6,0)</f>
        <v/>
      </c>
      <c r="E65" s="285" t="str">
        <f>VLOOKUP($C65,Штаб!$B$16:$J$104,7,0)</f>
        <v/>
      </c>
      <c r="F65" s="285" t="str">
        <f>VLOOKUP($C65,Штаб!$B$16:$J$104,8,0)</f>
        <v>✔️</v>
      </c>
      <c r="G65" s="286" t="str">
        <f>VLOOKUP($C65,Штаб!$B$16:$J$104,9,0)</f>
        <v/>
      </c>
      <c r="H65" s="278" t="str">
        <f>VLOOKUP(C65,'РО - регионы'!$B$16:$I$104,8,0)</f>
        <v>0 / 1 / 0 из 1</v>
      </c>
      <c r="I65" s="237"/>
      <c r="J65" s="122"/>
      <c r="K65" s="94"/>
      <c r="L65" s="94"/>
      <c r="M65" s="98"/>
      <c r="N65" s="163">
        <f>VLOOKUP(C65,Спецтехника!$B$16:$J$104,4,0)</f>
        <v>66</v>
      </c>
      <c r="O65" s="166">
        <f>VLOOKUP(C65,Спецтехника!$B$16:$J$104,5,0)</f>
        <v>66</v>
      </c>
      <c r="P65" s="166">
        <f>VLOOKUP(C65,Спецтехника!$B$16:$J$104,6,0)</f>
        <v>0</v>
      </c>
      <c r="Q65" s="169">
        <f>VLOOKUP(C65,Спецтехника!$B$16:$J$104,7,0)</f>
        <v>0</v>
      </c>
      <c r="R65" s="242"/>
      <c r="S65" s="122"/>
      <c r="T65" s="94"/>
      <c r="U65" s="94"/>
      <c r="V65" s="98"/>
      <c r="W65" s="164">
        <f>VLOOKUP($C65,МНО!$B$16:$AB$104,16,0)</f>
        <v>1333</v>
      </c>
      <c r="X65" s="167">
        <f>VLOOKUP($C65,МНО!$B$16:$AB$104,8,0)</f>
        <v>1047</v>
      </c>
      <c r="Y65" s="167">
        <f>VLOOKUP($C65,МНО!$B$16:$AB$104,11,0)</f>
        <v>286</v>
      </c>
      <c r="Z65" s="172">
        <f>VLOOKUP($C65,МНО!$B$16:$AB$104,17,0)</f>
        <v>0.2145536384096024</v>
      </c>
      <c r="AA65" s="245"/>
      <c r="AB65" s="95">
        <f>VLOOKUP($C65,МНО!$B$16:$AB$104,13,0)</f>
        <v>3.9097349776961425</v>
      </c>
      <c r="AC65" s="154">
        <f>VLOOKUP($C65,МНО!$B$16:$AB$104,18,0)</f>
        <v>1</v>
      </c>
      <c r="AD65" s="164">
        <f>VLOOKUP($C65,Контейнеры!$B$16:$AB$104,16,0)</f>
        <v>3194</v>
      </c>
      <c r="AE65" s="167">
        <f>VLOOKUP($C65,Контейнеры!$B$16:$AB$104,8,0)</f>
        <v>2375</v>
      </c>
      <c r="AF65" s="167">
        <f>VLOOKUP($C65,Контейнеры!$B$16:$AB$104,11,0)</f>
        <v>819</v>
      </c>
      <c r="AG65" s="172">
        <f>VLOOKUP($C65,Контейнеры!$B$16:$AB$104,17,0)</f>
        <v>0.25641828428303071</v>
      </c>
      <c r="AH65" s="245"/>
      <c r="AI65" s="95">
        <f>VLOOKUP($C65,Контейнеры!$B$16:$AB$104,13,0)</f>
        <v>8.9028001649360888</v>
      </c>
      <c r="AJ65" s="154">
        <f>VLOOKUP($C65,Контейнеры!$B$16:$AB$104,18,0)</f>
        <v>1</v>
      </c>
      <c r="AK65" s="135"/>
      <c r="AL65" s="94"/>
      <c r="AM65" s="94"/>
      <c r="AN65" s="116"/>
      <c r="AO65" s="79">
        <f>VLOOKUP($C65,Обработка!$B$16:$L$104,6,0)</f>
        <v>0.92799999999999994</v>
      </c>
      <c r="AP65" s="76">
        <f t="shared" si="15"/>
        <v>0.3849999999999999</v>
      </c>
      <c r="AQ65" s="75">
        <f>VLOOKUP($C65,Обработка!$B$16:$L$104,7,0)</f>
        <v>1</v>
      </c>
      <c r="AR65" s="178">
        <f t="shared" si="16"/>
        <v>0.19299999999999995</v>
      </c>
      <c r="AS65" s="180">
        <f>VLOOKUP($C65,Утилизация!$B$16:$L$104,6,0)</f>
        <v>0</v>
      </c>
      <c r="AT65" s="76">
        <f t="shared" si="17"/>
        <v>-0.13900000000000001</v>
      </c>
      <c r="AU65" s="74">
        <f>VLOOKUP($C65,Утилизация!$B$16:$L$104,7,0)</f>
        <v>0.25</v>
      </c>
      <c r="AV65" s="186">
        <f t="shared" si="18"/>
        <v>-3.5999999999999976E-2</v>
      </c>
      <c r="AW65" s="161" t="str">
        <f>VLOOKUP(C65,Захоронение!$B$16:$Q$104,16,0)</f>
        <v/>
      </c>
      <c r="AX65" s="135"/>
      <c r="AY65" s="94"/>
      <c r="AZ65" s="94"/>
      <c r="BA65" s="98"/>
      <c r="BB65" s="127" t="str">
        <f>VLOOKUP(C65,'ДК ИП'!$B$16:$S$104,5,0)</f>
        <v>среднее</v>
      </c>
      <c r="BC65" s="288">
        <f>VLOOKUP(C65,Радар!$B$16:$G$104,6,0)</f>
        <v>0.29613524759155824</v>
      </c>
      <c r="BD65" s="98"/>
      <c r="BF65" s="294">
        <f t="shared" si="19"/>
        <v>0.5</v>
      </c>
      <c r="BI65" s="8">
        <f t="shared" si="20"/>
        <v>1</v>
      </c>
      <c r="BJ65" s="8">
        <f>VLOOKUP(C65,Штаб!$B$16:$C$104,2)</f>
        <v>1</v>
      </c>
      <c r="BK65" s="8">
        <f>VLOOKUP(C65,'РО - регионы'!$B$16:$C$104,2)</f>
        <v>1</v>
      </c>
      <c r="BL65" s="8">
        <f>VLOOKUP(C65,'РО - регионы'!$B$16:$L$104,11)</f>
        <v>2</v>
      </c>
      <c r="BM65" s="8">
        <f>VLOOKUP(C65,Спецтехника!$B$16:$C$104,2)</f>
        <v>0</v>
      </c>
      <c r="BN65" s="8">
        <f>VLOOKUP($C65,МНО!$B$16:$AB$104,6,0)</f>
        <v>1</v>
      </c>
      <c r="BO65" s="8">
        <f>VLOOKUP($C65,МНО!$B$16:$AB$104,4,0)</f>
        <v>1</v>
      </c>
      <c r="BP65" s="8">
        <f>VLOOKUP($C65,МНО!$B$16:$AB$104,5,0)</f>
        <v>0</v>
      </c>
      <c r="BQ65" s="8">
        <f>VLOOKUP($C65,Контейнеры!$B$16:$G$104,6,0)</f>
        <v>1</v>
      </c>
      <c r="BR65" s="8">
        <f>VLOOKUP($C65,Контейнеры!$B$16:$G$104,4,0)</f>
        <v>2</v>
      </c>
      <c r="BS65" s="8">
        <f>VLOOKUP($C65,Контейнеры!$B$16:$G$104,5,0)</f>
        <v>0</v>
      </c>
      <c r="BT65" s="8">
        <f>VLOOKUP($C65,'ДК МНО'!$B$16:$C$104,2,0)</f>
        <v>2</v>
      </c>
      <c r="BU65" s="8">
        <f>VLOOKUP($C65,Обработка!$B$16:$F$104,5,0)</f>
        <v>0</v>
      </c>
      <c r="BV65" s="8">
        <f>VLOOKUP($C65,Обработка!$B$16:$F$104,4,0)</f>
        <v>2</v>
      </c>
      <c r="BW65" s="8">
        <f>VLOOKUP($C65,Утилизация!$B$16:$F$104,5,0)</f>
        <v>1</v>
      </c>
      <c r="BX65" s="8">
        <f>VLOOKUP($C65,Утилизация!$B$16:$F$104,4,0)</f>
        <v>2</v>
      </c>
      <c r="BY65" s="8">
        <f>VLOOKUP($C65,Захоронение!$B$16:$C$104,2,0)</f>
        <v>0</v>
      </c>
      <c r="BZ65" s="8">
        <f>VLOOKUP($C65,'ДК ИП'!$B$16:$C$104,2,0)</f>
        <v>1</v>
      </c>
      <c r="CA65" s="8">
        <f>VLOOKUP(C65,Радар!$B$16:$G$104,2,0)</f>
        <v>2</v>
      </c>
      <c r="CB65" s="8">
        <f t="shared" si="21"/>
        <v>0.79999999999999993</v>
      </c>
    </row>
    <row r="66" spans="1:80" ht="15.6" thickBot="1">
      <c r="A66" s="9" t="s">
        <v>655</v>
      </c>
      <c r="B66" s="122">
        <f t="shared" si="14"/>
        <v>56</v>
      </c>
      <c r="C66" s="202" t="s">
        <v>58</v>
      </c>
      <c r="D66" s="277" t="str">
        <f>VLOOKUP($C66,Штаб!$B$16:$J$104,6,0)</f>
        <v>✔️</v>
      </c>
      <c r="E66" s="285" t="str">
        <f>VLOOKUP($C66,Штаб!$B$16:$J$104,7,0)</f>
        <v/>
      </c>
      <c r="F66" s="285" t="str">
        <f>VLOOKUP($C66,Штаб!$B$16:$J$104,8,0)</f>
        <v/>
      </c>
      <c r="G66" s="286" t="str">
        <f>VLOOKUP($C66,Штаб!$B$16:$J$104,9,0)</f>
        <v/>
      </c>
      <c r="H66" s="279" t="str">
        <f>VLOOKUP(C66,'РО - регионы'!$B$16:$I$104,8,0)</f>
        <v>0 / 0 / 1 из 1</v>
      </c>
      <c r="I66" s="237"/>
      <c r="J66" s="122"/>
      <c r="K66" s="94"/>
      <c r="L66" s="94"/>
      <c r="M66" s="98"/>
      <c r="N66" s="163">
        <f>VLOOKUP(C66,Спецтехника!$B$16:$J$104,4,0)</f>
        <v>149</v>
      </c>
      <c r="O66" s="166">
        <f>VLOOKUP(C66,Спецтехника!$B$16:$J$104,5,0)</f>
        <v>149</v>
      </c>
      <c r="P66" s="166">
        <f>VLOOKUP(C66,Спецтехника!$B$16:$J$104,6,0)</f>
        <v>0</v>
      </c>
      <c r="Q66" s="169">
        <f>VLOOKUP(C66,Спецтехника!$B$16:$J$104,7,0)</f>
        <v>0</v>
      </c>
      <c r="R66" s="242"/>
      <c r="S66" s="122"/>
      <c r="T66" s="94"/>
      <c r="U66" s="94"/>
      <c r="V66" s="98"/>
      <c r="W66" s="165">
        <f>VLOOKUP($C66,МНО!$B$16:$AB$104,16,0)</f>
        <v>3580</v>
      </c>
      <c r="X66" s="168">
        <f>VLOOKUP($C66,МНО!$B$16:$AB$104,8,0)</f>
        <v>3580</v>
      </c>
      <c r="Y66" s="168">
        <f>VLOOKUP($C66,МНО!$B$16:$AB$104,11,0)</f>
        <v>0</v>
      </c>
      <c r="Z66" s="174">
        <f>VLOOKUP($C66,МНО!$B$16:$AB$104,17,0)</f>
        <v>0</v>
      </c>
      <c r="AA66" s="245"/>
      <c r="AB66" s="95">
        <f>VLOOKUP($C66,МНО!$B$16:$AB$104,13,0)</f>
        <v>5.6179560795333066</v>
      </c>
      <c r="AC66" s="154">
        <f>VLOOKUP($C66,МНО!$B$16:$AB$104,18,0)</f>
        <v>0.94583883751651254</v>
      </c>
      <c r="AD66" s="165">
        <f>VLOOKUP($C66,Контейнеры!$B$16:$AB$104,16,0)</f>
        <v>8628</v>
      </c>
      <c r="AE66" s="168">
        <f>VLOOKUP($C66,Контейнеры!$B$16:$AB$104,8,0)</f>
        <v>8628</v>
      </c>
      <c r="AF66" s="168">
        <f>VLOOKUP($C66,Контейнеры!$B$16:$AB$104,11,0)</f>
        <v>0</v>
      </c>
      <c r="AG66" s="174">
        <f>VLOOKUP($C66,Контейнеры!$B$16:$AB$104,17,0)</f>
        <v>0</v>
      </c>
      <c r="AH66" s="245"/>
      <c r="AI66" s="95">
        <f>VLOOKUP($C66,Контейнеры!$B$16:$AB$104,13,0)</f>
        <v>16.470175009926393</v>
      </c>
      <c r="AJ66" s="154">
        <f>VLOOKUP($C66,Контейнеры!$B$16:$AB$104,18,0)</f>
        <v>0.71305785123966947</v>
      </c>
      <c r="AK66" s="135"/>
      <c r="AL66" s="94"/>
      <c r="AM66" s="94"/>
      <c r="AN66" s="116"/>
      <c r="AO66" s="79">
        <f>VLOOKUP($C66,Обработка!$B$16:$L$104,6,0)</f>
        <v>1.8000000000000002E-2</v>
      </c>
      <c r="AP66" s="75">
        <f t="shared" si="15"/>
        <v>-0.52500000000000002</v>
      </c>
      <c r="AQ66" s="76">
        <f>VLOOKUP($C66,Обработка!$B$16:$L$104,7,0)</f>
        <v>0.22</v>
      </c>
      <c r="AR66" s="177">
        <f t="shared" si="16"/>
        <v>-0.58700000000000008</v>
      </c>
      <c r="AS66" s="180">
        <f>VLOOKUP($C66,Утилизация!$B$16:$L$104,6,0)</f>
        <v>8.0000000000000002E-3</v>
      </c>
      <c r="AT66" s="76">
        <f t="shared" si="17"/>
        <v>-0.13100000000000001</v>
      </c>
      <c r="AU66" s="76">
        <f>VLOOKUP($C66,Утилизация!$B$16:$L$104,7,0)</f>
        <v>6.3E-2</v>
      </c>
      <c r="AV66" s="184">
        <f t="shared" si="18"/>
        <v>-0.22299999999999998</v>
      </c>
      <c r="AW66" s="161" t="str">
        <f>VLOOKUP(C66,Захоронение!$B$16:$Q$104,16,0)</f>
        <v/>
      </c>
      <c r="AX66" s="135"/>
      <c r="AY66" s="94"/>
      <c r="AZ66" s="94"/>
      <c r="BA66" s="98"/>
      <c r="BB66" s="127" t="str">
        <f>VLOOKUP(C66,'ДК ИП'!$B$16:$S$104,5,0)</f>
        <v>небольшое</v>
      </c>
      <c r="BC66" s="288">
        <f>VLOOKUP(C66,Радар!$B$16:$G$104,6,0)</f>
        <v>8.3992547570324677E-2</v>
      </c>
      <c r="BD66" s="98"/>
      <c r="BF66" s="294">
        <f t="shared" si="19"/>
        <v>0.66666666666666663</v>
      </c>
      <c r="BI66" s="8">
        <f t="shared" si="20"/>
        <v>0</v>
      </c>
      <c r="BJ66" s="8">
        <f>VLOOKUP(C66,Штаб!$B$16:$C$104,2)</f>
        <v>0</v>
      </c>
      <c r="BK66" s="8">
        <f>VLOOKUP(C66,'РО - регионы'!$B$16:$C$104,2)</f>
        <v>0</v>
      </c>
      <c r="BL66" s="8">
        <f>VLOOKUP(C66,'РО - регионы'!$B$16:$L$104,11)</f>
        <v>0</v>
      </c>
      <c r="BM66" s="8">
        <f>VLOOKUP(C66,Спецтехника!$B$16:$C$104,2)</f>
        <v>0</v>
      </c>
      <c r="BN66" s="8">
        <f>VLOOKUP($C66,МНО!$B$16:$AB$104,6,0)</f>
        <v>2</v>
      </c>
      <c r="BO66" s="8">
        <f>VLOOKUP($C66,МНО!$B$16:$AB$104,4,0)</f>
        <v>1</v>
      </c>
      <c r="BP66" s="8">
        <f>VLOOKUP($C66,МНО!$B$16:$AB$104,5,0)</f>
        <v>0</v>
      </c>
      <c r="BQ66" s="8">
        <f>VLOOKUP($C66,Контейнеры!$B$16:$G$104,6,0)</f>
        <v>2</v>
      </c>
      <c r="BR66" s="8">
        <f>VLOOKUP($C66,Контейнеры!$B$16:$G$104,4,0)</f>
        <v>0</v>
      </c>
      <c r="BS66" s="8">
        <f>VLOOKUP($C66,Контейнеры!$B$16:$G$104,5,0)</f>
        <v>2</v>
      </c>
      <c r="BT66" s="8">
        <f>VLOOKUP($C66,'ДК МНО'!$B$16:$C$104,2,0)</f>
        <v>2</v>
      </c>
      <c r="BU66" s="8">
        <f>VLOOKUP($C66,Обработка!$B$16:$F$104,5,0)</f>
        <v>2</v>
      </c>
      <c r="BV66" s="8">
        <f>VLOOKUP($C66,Обработка!$B$16:$F$104,4,0)</f>
        <v>2</v>
      </c>
      <c r="BW66" s="8">
        <f>VLOOKUP($C66,Утилизация!$B$16:$F$104,5,0)</f>
        <v>2</v>
      </c>
      <c r="BX66" s="8">
        <f>VLOOKUP($C66,Утилизация!$B$16:$F$104,4,0)</f>
        <v>2</v>
      </c>
      <c r="BY66" s="8">
        <f>VLOOKUP($C66,Захоронение!$B$16:$C$104,2,0)</f>
        <v>0</v>
      </c>
      <c r="BZ66" s="8">
        <f>VLOOKUP($C66,'ДК ИП'!$B$16:$C$104,2,0)</f>
        <v>0</v>
      </c>
      <c r="CA66" s="8">
        <f>VLOOKUP(C66,Радар!$B$16:$G$104,2,0)</f>
        <v>2</v>
      </c>
      <c r="CB66" s="8">
        <f t="shared" si="21"/>
        <v>0.64999999999999991</v>
      </c>
    </row>
    <row r="67" spans="1:80" ht="15.6" thickBot="1">
      <c r="A67" s="9" t="s">
        <v>655</v>
      </c>
      <c r="B67" s="121">
        <f t="shared" si="14"/>
        <v>57</v>
      </c>
      <c r="C67" s="202" t="s">
        <v>59</v>
      </c>
      <c r="D67" s="277" t="str">
        <f>VLOOKUP($C67,Штаб!$B$16:$J$104,6,0)</f>
        <v/>
      </c>
      <c r="E67" s="285" t="str">
        <f>VLOOKUP($C67,Штаб!$B$16:$J$104,7,0)</f>
        <v>✔️</v>
      </c>
      <c r="F67" s="285" t="str">
        <f>VLOOKUP($C67,Штаб!$B$16:$J$104,8,0)</f>
        <v/>
      </c>
      <c r="G67" s="286" t="str">
        <f>VLOOKUP($C67,Штаб!$B$16:$J$104,9,0)</f>
        <v/>
      </c>
      <c r="H67" s="279" t="str">
        <f>VLOOKUP(C67,'РО - регионы'!$B$16:$I$104,8,0)</f>
        <v>0 / 0 / 1 из 1</v>
      </c>
      <c r="I67" s="237"/>
      <c r="J67" s="122"/>
      <c r="K67" s="94"/>
      <c r="L67" s="94"/>
      <c r="M67" s="98"/>
      <c r="N67" s="163">
        <f>VLOOKUP(C67,Спецтехника!$B$16:$J$104,4,0)</f>
        <v>179</v>
      </c>
      <c r="O67" s="166">
        <f>VLOOKUP(C67,Спецтехника!$B$16:$J$104,5,0)</f>
        <v>179</v>
      </c>
      <c r="P67" s="166">
        <f>VLOOKUP(C67,Спецтехника!$B$16:$J$104,6,0)</f>
        <v>0</v>
      </c>
      <c r="Q67" s="169">
        <f>VLOOKUP(C67,Спецтехника!$B$16:$J$104,7,0)</f>
        <v>0</v>
      </c>
      <c r="R67" s="242"/>
      <c r="S67" s="122"/>
      <c r="T67" s="94"/>
      <c r="U67" s="94"/>
      <c r="V67" s="98"/>
      <c r="W67" s="163">
        <f>VLOOKUP($C67,МНО!$B$16:$AB$104,16,0)</f>
        <v>7629</v>
      </c>
      <c r="X67" s="166">
        <f>VLOOKUP($C67,МНО!$B$16:$AB$104,8,0)</f>
        <v>7233</v>
      </c>
      <c r="Y67" s="166">
        <f>VLOOKUP($C67,МНО!$B$16:$AB$104,11,0)</f>
        <v>396</v>
      </c>
      <c r="Z67" s="173">
        <f>VLOOKUP($C67,МНО!$B$16:$AB$104,17,0)</f>
        <v>5.1907196224931181E-2</v>
      </c>
      <c r="AA67" s="245"/>
      <c r="AB67" s="95">
        <f>VLOOKUP($C67,МНО!$B$16:$AB$104,13,0)</f>
        <v>9.1811104480925891</v>
      </c>
      <c r="AC67" s="154">
        <f>VLOOKUP($C67,МНО!$B$16:$AB$104,18,0)</f>
        <v>1</v>
      </c>
      <c r="AD67" s="163">
        <f>VLOOKUP($C67,Контейнеры!$B$16:$AB$104,16,0)</f>
        <v>17705</v>
      </c>
      <c r="AE67" s="166">
        <f>VLOOKUP($C67,Контейнеры!$B$16:$AB$104,8,0)</f>
        <v>16588</v>
      </c>
      <c r="AF67" s="166">
        <f>VLOOKUP($C67,Контейнеры!$B$16:$AB$104,11,0)</f>
        <v>1117</v>
      </c>
      <c r="AG67" s="173">
        <f>VLOOKUP($C67,Контейнеры!$B$16:$AB$104,17,0)</f>
        <v>6.3089522733691047E-2</v>
      </c>
      <c r="AH67" s="245"/>
      <c r="AI67" s="95">
        <f>VLOOKUP($C67,Контейнеры!$B$16:$AB$104,13,0)</f>
        <v>23.019386353228516</v>
      </c>
      <c r="AJ67" s="154">
        <f>VLOOKUP($C67,Контейнеры!$B$16:$AB$104,18,0)</f>
        <v>1</v>
      </c>
      <c r="AK67" s="135"/>
      <c r="AL67" s="94"/>
      <c r="AM67" s="94"/>
      <c r="AN67" s="116"/>
      <c r="AO67" s="79">
        <f>VLOOKUP($C67,Обработка!$B$16:$L$104,6,0)</f>
        <v>6.9999999999999993E-3</v>
      </c>
      <c r="AP67" s="75">
        <f t="shared" si="15"/>
        <v>-0.53600000000000003</v>
      </c>
      <c r="AQ67" s="74">
        <f>VLOOKUP($C67,Обработка!$B$16:$L$104,7,0)</f>
        <v>0.68859999999999999</v>
      </c>
      <c r="AR67" s="179">
        <f t="shared" si="16"/>
        <v>-0.11840000000000006</v>
      </c>
      <c r="AS67" s="180">
        <f>VLOOKUP($C67,Утилизация!$B$16:$L$104,6,0)</f>
        <v>0</v>
      </c>
      <c r="AT67" s="76">
        <f t="shared" si="17"/>
        <v>-0.13900000000000001</v>
      </c>
      <c r="AU67" s="76">
        <f>VLOOKUP($C67,Утилизация!$B$16:$L$104,7,0)</f>
        <v>0.1</v>
      </c>
      <c r="AV67" s="184">
        <f t="shared" si="18"/>
        <v>-0.18599999999999997</v>
      </c>
      <c r="AW67" s="161" t="str">
        <f>VLOOKUP(C67,Захоронение!$B$16:$Q$104,16,0)</f>
        <v/>
      </c>
      <c r="AX67" s="135"/>
      <c r="AY67" s="94"/>
      <c r="AZ67" s="94"/>
      <c r="BA67" s="98"/>
      <c r="BB67" s="127" t="str">
        <f>VLOOKUP(C67,'ДК ИП'!$B$16:$S$104,5,0)</f>
        <v>среднее</v>
      </c>
      <c r="BC67" s="288">
        <f>VLOOKUP(C67,Радар!$B$16:$G$104,6,0)</f>
        <v>6.522251980960575E-2</v>
      </c>
      <c r="BD67" s="98"/>
      <c r="BF67" s="294">
        <f t="shared" si="19"/>
        <v>0.66666666666666663</v>
      </c>
      <c r="BI67" s="8">
        <f t="shared" si="20"/>
        <v>0</v>
      </c>
      <c r="BJ67" s="8">
        <f>VLOOKUP(C67,Штаб!$B$16:$C$104,2)</f>
        <v>1</v>
      </c>
      <c r="BK67" s="8">
        <f>VLOOKUP(C67,'РО - регионы'!$B$16:$C$104,2)</f>
        <v>0</v>
      </c>
      <c r="BL67" s="8">
        <f>VLOOKUP(C67,'РО - регионы'!$B$16:$L$104,11)</f>
        <v>0</v>
      </c>
      <c r="BM67" s="8">
        <f>VLOOKUP(C67,Спецтехника!$B$16:$C$104,2)</f>
        <v>0</v>
      </c>
      <c r="BN67" s="8">
        <f>VLOOKUP($C67,МНО!$B$16:$AB$104,6,0)</f>
        <v>0</v>
      </c>
      <c r="BO67" s="8">
        <f>VLOOKUP($C67,МНО!$B$16:$AB$104,4,0)</f>
        <v>0</v>
      </c>
      <c r="BP67" s="8">
        <f>VLOOKUP($C67,МНО!$B$16:$AB$104,5,0)</f>
        <v>0</v>
      </c>
      <c r="BQ67" s="8">
        <f>VLOOKUP($C67,Контейнеры!$B$16:$G$104,6,0)</f>
        <v>0</v>
      </c>
      <c r="BR67" s="8">
        <f>VLOOKUP($C67,Контейнеры!$B$16:$G$104,4,0)</f>
        <v>0</v>
      </c>
      <c r="BS67" s="8">
        <f>VLOOKUP($C67,Контейнеры!$B$16:$G$104,5,0)</f>
        <v>0</v>
      </c>
      <c r="BT67" s="8">
        <f>VLOOKUP($C67,'ДК МНО'!$B$16:$C$104,2,0)</f>
        <v>2</v>
      </c>
      <c r="BU67" s="8">
        <f>VLOOKUP($C67,Обработка!$B$16:$F$104,5,0)</f>
        <v>1</v>
      </c>
      <c r="BV67" s="8">
        <f>VLOOKUP($C67,Обработка!$B$16:$F$104,4,0)</f>
        <v>2</v>
      </c>
      <c r="BW67" s="8">
        <f>VLOOKUP($C67,Утилизация!$B$16:$F$104,5,0)</f>
        <v>2</v>
      </c>
      <c r="BX67" s="8">
        <f>VLOOKUP($C67,Утилизация!$B$16:$F$104,4,0)</f>
        <v>2</v>
      </c>
      <c r="BY67" s="8">
        <f>VLOOKUP($C67,Захоронение!$B$16:$C$104,2,0)</f>
        <v>0</v>
      </c>
      <c r="BZ67" s="8">
        <f>VLOOKUP($C67,'ДК ИП'!$B$16:$C$104,2,0)</f>
        <v>1</v>
      </c>
      <c r="CA67" s="8">
        <f>VLOOKUP(C67,Радар!$B$16:$G$104,2,0)</f>
        <v>2</v>
      </c>
      <c r="CB67" s="8">
        <f t="shared" si="21"/>
        <v>0.44999999999999996</v>
      </c>
    </row>
    <row r="68" spans="1:80" ht="15.6" thickBot="1">
      <c r="A68" s="9" t="s">
        <v>656</v>
      </c>
      <c r="B68" s="122">
        <f t="shared" si="14"/>
        <v>58</v>
      </c>
      <c r="C68" s="202" t="s">
        <v>60</v>
      </c>
      <c r="D68" s="277" t="str">
        <f>VLOOKUP($C68,Штаб!$B$16:$J$104,6,0)</f>
        <v>✔️</v>
      </c>
      <c r="E68" s="285" t="str">
        <f>VLOOKUP($C68,Штаб!$B$16:$J$104,7,0)</f>
        <v/>
      </c>
      <c r="F68" s="285" t="str">
        <f>VLOOKUP($C68,Штаб!$B$16:$J$104,8,0)</f>
        <v/>
      </c>
      <c r="G68" s="286" t="str">
        <f>VLOOKUP($C68,Штаб!$B$16:$J$104,9,0)</f>
        <v/>
      </c>
      <c r="H68" s="279" t="str">
        <f>VLOOKUP(C68,'РО - регионы'!$B$16:$I$104,8,0)</f>
        <v>0 / 0 / 6 из 6</v>
      </c>
      <c r="I68" s="237"/>
      <c r="J68" s="122"/>
      <c r="K68" s="94"/>
      <c r="L68" s="94"/>
      <c r="M68" s="98"/>
      <c r="N68" s="164">
        <f>VLOOKUP(C68,Спецтехника!$B$16:$J$104,4,0)</f>
        <v>507</v>
      </c>
      <c r="O68" s="167">
        <f>VLOOKUP(C68,Спецтехника!$B$16:$J$104,5,0)</f>
        <v>445</v>
      </c>
      <c r="P68" s="167">
        <f>VLOOKUP(C68,Спецтехника!$B$16:$J$104,6,0)</f>
        <v>62</v>
      </c>
      <c r="Q68" s="170">
        <f>VLOOKUP(C68,Спецтехника!$B$16:$J$104,7,0)</f>
        <v>0.1222879684418146</v>
      </c>
      <c r="R68" s="242"/>
      <c r="S68" s="122"/>
      <c r="T68" s="94"/>
      <c r="U68" s="94"/>
      <c r="V68" s="98"/>
      <c r="W68" s="163">
        <f>VLOOKUP($C68,МНО!$B$16:$AB$104,16,0)</f>
        <v>10024</v>
      </c>
      <c r="X68" s="166">
        <f>VLOOKUP($C68,МНО!$B$16:$AB$104,8,0)</f>
        <v>9558</v>
      </c>
      <c r="Y68" s="166">
        <f>VLOOKUP($C68,МНО!$B$16:$AB$104,11,0)</f>
        <v>466</v>
      </c>
      <c r="Z68" s="173">
        <f>VLOOKUP($C68,МНО!$B$16:$AB$104,17,0)</f>
        <v>4.6488427773343971E-2</v>
      </c>
      <c r="AA68" s="245"/>
      <c r="AB68" s="95">
        <f>VLOOKUP($C68,МНО!$B$16:$AB$104,13,0)</f>
        <v>4.3079362701944328</v>
      </c>
      <c r="AC68" s="154">
        <f>VLOOKUP($C68,МНО!$B$16:$AB$104,18,0)</f>
        <v>1</v>
      </c>
      <c r="AD68" s="163">
        <f>VLOOKUP($C68,Контейнеры!$B$16:$AB$104,16,0)</f>
        <v>26191</v>
      </c>
      <c r="AE68" s="166">
        <f>VLOOKUP($C68,Контейнеры!$B$16:$AB$104,8,0)</f>
        <v>25528</v>
      </c>
      <c r="AF68" s="166">
        <f>VLOOKUP($C68,Контейнеры!$B$16:$AB$104,11,0)</f>
        <v>663</v>
      </c>
      <c r="AG68" s="173">
        <f>VLOOKUP($C68,Контейнеры!$B$16:$AB$104,17,0)</f>
        <v>2.531403917376198E-2</v>
      </c>
      <c r="AH68" s="245"/>
      <c r="AI68" s="95">
        <f>VLOOKUP($C68,Контейнеры!$B$16:$AB$104,13,0)</f>
        <v>13.368951751218512</v>
      </c>
      <c r="AJ68" s="154">
        <f>VLOOKUP($C68,Контейнеры!$B$16:$AB$104,18,0)</f>
        <v>1</v>
      </c>
      <c r="AK68" s="135"/>
      <c r="AL68" s="94"/>
      <c r="AM68" s="94"/>
      <c r="AN68" s="116"/>
      <c r="AO68" s="80">
        <f>VLOOKUP($C68,Обработка!$B$16:$L$104,6,0)</f>
        <v>0.33799999999999997</v>
      </c>
      <c r="AP68" s="75">
        <f t="shared" si="15"/>
        <v>-0.20500000000000007</v>
      </c>
      <c r="AQ68" s="75">
        <f>VLOOKUP($C68,Обработка!$B$16:$L$104,7,0)</f>
        <v>1</v>
      </c>
      <c r="AR68" s="178">
        <f t="shared" si="16"/>
        <v>0.19299999999999995</v>
      </c>
      <c r="AS68" s="180">
        <f>VLOOKUP($C68,Утилизация!$B$16:$L$104,6,0)</f>
        <v>1.8000000000000002E-2</v>
      </c>
      <c r="AT68" s="76">
        <f t="shared" si="17"/>
        <v>-0.12100000000000001</v>
      </c>
      <c r="AU68" s="75">
        <f>VLOOKUP($C68,Утилизация!$B$16:$L$104,7,0)</f>
        <v>0.5</v>
      </c>
      <c r="AV68" s="185">
        <f t="shared" si="18"/>
        <v>0.21400000000000002</v>
      </c>
      <c r="AW68" s="160" t="str">
        <f>VLOOKUP(C68,Захоронение!$B$16:$Q$104,16,0)</f>
        <v>перегруз</v>
      </c>
      <c r="AX68" s="135"/>
      <c r="AY68" s="94"/>
      <c r="AZ68" s="94"/>
      <c r="BA68" s="98"/>
      <c r="BB68" s="127" t="str">
        <f>VLOOKUP(C68,'ДК ИП'!$B$16:$S$104,5,0)</f>
        <v>небольшое</v>
      </c>
      <c r="BC68" s="290">
        <f>VLOOKUP(C68,Радар!$B$16:$G$104,6,0)</f>
        <v>3.2992947364727604E-2</v>
      </c>
      <c r="BD68" s="98"/>
      <c r="BF68" s="294">
        <f t="shared" si="19"/>
        <v>0.58333333333333337</v>
      </c>
      <c r="BI68" s="8">
        <f t="shared" si="20"/>
        <v>0</v>
      </c>
      <c r="BJ68" s="8">
        <f>VLOOKUP(C68,Штаб!$B$16:$C$104,2)</f>
        <v>0</v>
      </c>
      <c r="BK68" s="8">
        <f>VLOOKUP(C68,'РО - регионы'!$B$16:$C$104,2)</f>
        <v>0</v>
      </c>
      <c r="BL68" s="8">
        <f>VLOOKUP(C68,'РО - регионы'!$B$16:$L$104,11)</f>
        <v>0</v>
      </c>
      <c r="BM68" s="8">
        <f>VLOOKUP(C68,Спецтехника!$B$16:$C$104,2)</f>
        <v>1</v>
      </c>
      <c r="BN68" s="8">
        <f>VLOOKUP($C68,МНО!$B$16:$AB$104,6,0)</f>
        <v>0</v>
      </c>
      <c r="BO68" s="8">
        <f>VLOOKUP($C68,МНО!$B$16:$AB$104,4,0)</f>
        <v>1</v>
      </c>
      <c r="BP68" s="8">
        <f>VLOOKUP($C68,МНО!$B$16:$AB$104,5,0)</f>
        <v>0</v>
      </c>
      <c r="BQ68" s="8">
        <f>VLOOKUP($C68,Контейнеры!$B$16:$G$104,6,0)</f>
        <v>0</v>
      </c>
      <c r="BR68" s="8">
        <f>VLOOKUP($C68,Контейнеры!$B$16:$G$104,4,0)</f>
        <v>0</v>
      </c>
      <c r="BS68" s="8">
        <f>VLOOKUP($C68,Контейнеры!$B$16:$G$104,5,0)</f>
        <v>0</v>
      </c>
      <c r="BT68" s="8">
        <f>VLOOKUP($C68,'ДК МНО'!$B$16:$C$104,2,0)</f>
        <v>2</v>
      </c>
      <c r="BU68" s="8">
        <f>VLOOKUP($C68,Обработка!$B$16:$F$104,5,0)</f>
        <v>0</v>
      </c>
      <c r="BV68" s="8">
        <f>VLOOKUP($C68,Обработка!$B$16:$F$104,4,0)</f>
        <v>1</v>
      </c>
      <c r="BW68" s="8">
        <f>VLOOKUP($C68,Утилизация!$B$16:$F$104,5,0)</f>
        <v>0</v>
      </c>
      <c r="BX68" s="8">
        <f>VLOOKUP($C68,Утилизация!$B$16:$F$104,4,0)</f>
        <v>2</v>
      </c>
      <c r="BY68" s="8">
        <f>VLOOKUP($C68,Захоронение!$B$16:$C$104,2,0)</f>
        <v>1</v>
      </c>
      <c r="BZ68" s="8">
        <f>VLOOKUP($C68,'ДК ИП'!$B$16:$C$104,2,0)</f>
        <v>0</v>
      </c>
      <c r="CA68" s="8">
        <f>VLOOKUP(C68,Радар!$B$16:$G$104,2,0)</f>
        <v>1</v>
      </c>
      <c r="CB68" s="8">
        <f t="shared" si="21"/>
        <v>0.5</v>
      </c>
    </row>
    <row r="69" spans="1:80" ht="15.6" thickBot="1">
      <c r="A69" s="9" t="s">
        <v>659</v>
      </c>
      <c r="B69" s="121">
        <f t="shared" si="14"/>
        <v>59</v>
      </c>
      <c r="C69" s="202" t="s">
        <v>61</v>
      </c>
      <c r="D69" s="277" t="str">
        <f>VLOOKUP($C69,Штаб!$B$16:$J$104,6,0)</f>
        <v>✔️</v>
      </c>
      <c r="E69" s="285" t="str">
        <f>VLOOKUP($C69,Штаб!$B$16:$J$104,7,0)</f>
        <v/>
      </c>
      <c r="F69" s="285" t="str">
        <f>VLOOKUP($C69,Штаб!$B$16:$J$104,8,0)</f>
        <v/>
      </c>
      <c r="G69" s="286" t="str">
        <f>VLOOKUP($C69,Штаб!$B$16:$J$104,9,0)</f>
        <v/>
      </c>
      <c r="H69" s="278" t="str">
        <f>VLOOKUP(C69,'РО - регионы'!$B$16:$I$104,8,0)</f>
        <v>0 / 2 / 0 из 2</v>
      </c>
      <c r="I69" s="237"/>
      <c r="J69" s="122"/>
      <c r="K69" s="94"/>
      <c r="L69" s="94"/>
      <c r="M69" s="98"/>
      <c r="N69" s="164">
        <f>VLOOKUP(C69,Спецтехника!$B$16:$J$104,4,0)</f>
        <v>102</v>
      </c>
      <c r="O69" s="167">
        <f>VLOOKUP(C69,Спецтехника!$B$16:$J$104,5,0)</f>
        <v>92</v>
      </c>
      <c r="P69" s="167">
        <f>VLOOKUP(C69,Спецтехника!$B$16:$J$104,6,0)</f>
        <v>10</v>
      </c>
      <c r="Q69" s="170">
        <f>VLOOKUP(C69,Спецтехника!$B$16:$J$104,7,0)</f>
        <v>9.8039215686274508E-2</v>
      </c>
      <c r="R69" s="242"/>
      <c r="S69" s="122"/>
      <c r="T69" s="94"/>
      <c r="U69" s="94"/>
      <c r="V69" s="98"/>
      <c r="W69" s="163">
        <f>VLOOKUP($C69,МНО!$B$16:$AB$104,16,0)</f>
        <v>5095</v>
      </c>
      <c r="X69" s="166">
        <f>VLOOKUP($C69,МНО!$B$16:$AB$104,8,0)</f>
        <v>4950</v>
      </c>
      <c r="Y69" s="166">
        <f>VLOOKUP($C69,МНО!$B$16:$AB$104,11,0)</f>
        <v>145</v>
      </c>
      <c r="Z69" s="173">
        <f>VLOOKUP($C69,МНО!$B$16:$AB$104,17,0)</f>
        <v>2.8459273797841019E-2</v>
      </c>
      <c r="AA69" s="245"/>
      <c r="AB69" s="95">
        <f>VLOOKUP($C69,МНО!$B$16:$AB$104,13,0)</f>
        <v>7.1060260892672131</v>
      </c>
      <c r="AC69" s="154">
        <f>VLOOKUP($C69,МНО!$B$16:$AB$104,18,0)</f>
        <v>1</v>
      </c>
      <c r="AD69" s="163">
        <f>VLOOKUP($C69,Контейнеры!$B$16:$AB$104,16,0)</f>
        <v>9384</v>
      </c>
      <c r="AE69" s="166">
        <f>VLOOKUP($C69,Контейнеры!$B$16:$AB$104,8,0)</f>
        <v>9210</v>
      </c>
      <c r="AF69" s="166">
        <f>VLOOKUP($C69,Контейнеры!$B$16:$AB$104,11,0)</f>
        <v>174</v>
      </c>
      <c r="AG69" s="173">
        <f>VLOOKUP($C69,Контейнеры!$B$16:$AB$104,17,0)</f>
        <v>1.8542199488491048E-2</v>
      </c>
      <c r="AH69" s="245"/>
      <c r="AI69" s="95">
        <f>VLOOKUP($C69,Контейнеры!$B$16:$AB$104,13,0)</f>
        <v>13.749264765157781</v>
      </c>
      <c r="AJ69" s="154">
        <f>VLOOKUP($C69,Контейнеры!$B$16:$AB$104,18,0)</f>
        <v>0.91405319571258437</v>
      </c>
      <c r="AK69" s="135"/>
      <c r="AL69" s="94"/>
      <c r="AM69" s="94"/>
      <c r="AN69" s="116"/>
      <c r="AO69" s="80">
        <f>VLOOKUP($C69,Обработка!$B$16:$L$104,6,0)</f>
        <v>0.33700000000000002</v>
      </c>
      <c r="AP69" s="75">
        <f t="shared" si="15"/>
        <v>-0.20600000000000002</v>
      </c>
      <c r="AQ69" s="75">
        <f>VLOOKUP($C69,Обработка!$B$16:$L$104,7,0)</f>
        <v>0.99900000000000011</v>
      </c>
      <c r="AR69" s="178">
        <f t="shared" si="16"/>
        <v>0.19200000000000006</v>
      </c>
      <c r="AS69" s="180">
        <f>VLOOKUP($C69,Утилизация!$B$16:$L$104,6,0)</f>
        <v>9.0000000000000011E-3</v>
      </c>
      <c r="AT69" s="76">
        <f t="shared" si="17"/>
        <v>-0.13</v>
      </c>
      <c r="AU69" s="76">
        <f>VLOOKUP($C69,Утилизация!$B$16:$L$104,7,0)</f>
        <v>0.08</v>
      </c>
      <c r="AV69" s="184">
        <f t="shared" si="18"/>
        <v>-0.20599999999999996</v>
      </c>
      <c r="AW69" s="161" t="str">
        <f>VLOOKUP(C69,Захоронение!$B$16:$Q$104,16,0)</f>
        <v/>
      </c>
      <c r="AX69" s="135"/>
      <c r="AY69" s="94"/>
      <c r="AZ69" s="94"/>
      <c r="BA69" s="98"/>
      <c r="BB69" s="127" t="str">
        <f>VLOOKUP(C69,'ДК ИП'!$B$16:$S$104,5,0)</f>
        <v>нет</v>
      </c>
      <c r="BC69" s="289">
        <f>VLOOKUP(C69,Радар!$B$16:$G$104,6,0)</f>
        <v>2.3885801980730127E-2</v>
      </c>
      <c r="BD69" s="98"/>
      <c r="BF69" s="296">
        <f t="shared" si="19"/>
        <v>0.41666666666666669</v>
      </c>
      <c r="BI69" s="8">
        <f t="shared" si="20"/>
        <v>0</v>
      </c>
      <c r="BJ69" s="8">
        <f>VLOOKUP(C69,Штаб!$B$16:$C$104,2)</f>
        <v>0</v>
      </c>
      <c r="BK69" s="8">
        <f>VLOOKUP(C69,'РО - регионы'!$B$16:$C$104,2)</f>
        <v>1</v>
      </c>
      <c r="BL69" s="8">
        <f>VLOOKUP(C69,'РО - регионы'!$B$16:$L$104,11)</f>
        <v>2</v>
      </c>
      <c r="BM69" s="8">
        <f>VLOOKUP(C69,Спецтехника!$B$16:$C$104,2)</f>
        <v>1</v>
      </c>
      <c r="BN69" s="8">
        <f>VLOOKUP($C69,МНО!$B$16:$AB$104,6,0)</f>
        <v>0</v>
      </c>
      <c r="BO69" s="8">
        <f>VLOOKUP($C69,МНО!$B$16:$AB$104,4,0)</f>
        <v>0</v>
      </c>
      <c r="BP69" s="8">
        <f>VLOOKUP($C69,МНО!$B$16:$AB$104,5,0)</f>
        <v>0</v>
      </c>
      <c r="BQ69" s="8">
        <f>VLOOKUP($C69,Контейнеры!$B$16:$G$104,6,0)</f>
        <v>0</v>
      </c>
      <c r="BR69" s="8">
        <f>VLOOKUP($C69,Контейнеры!$B$16:$G$104,4,0)</f>
        <v>0</v>
      </c>
      <c r="BS69" s="8">
        <f>VLOOKUP($C69,Контейнеры!$B$16:$G$104,5,0)</f>
        <v>0</v>
      </c>
      <c r="BT69" s="8">
        <f>VLOOKUP($C69,'ДК МНО'!$B$16:$C$104,2,0)</f>
        <v>2</v>
      </c>
      <c r="BU69" s="8">
        <f>VLOOKUP($C69,Обработка!$B$16:$F$104,5,0)</f>
        <v>0</v>
      </c>
      <c r="BV69" s="8">
        <f>VLOOKUP($C69,Обработка!$B$16:$F$104,4,0)</f>
        <v>1</v>
      </c>
      <c r="BW69" s="8">
        <f>VLOOKUP($C69,Утилизация!$B$16:$F$104,5,0)</f>
        <v>2</v>
      </c>
      <c r="BX69" s="8">
        <f>VLOOKUP($C69,Утилизация!$B$16:$F$104,4,0)</f>
        <v>2</v>
      </c>
      <c r="BY69" s="8">
        <f>VLOOKUP($C69,Захоронение!$B$16:$C$104,2,0)</f>
        <v>0</v>
      </c>
      <c r="BZ69" s="8">
        <f>VLOOKUP($C69,'ДК ИП'!$B$16:$C$104,2,0)</f>
        <v>0</v>
      </c>
      <c r="CA69" s="8">
        <f>VLOOKUP(C69,Радар!$B$16:$G$104,2,0)</f>
        <v>0</v>
      </c>
      <c r="CB69" s="8">
        <f t="shared" si="21"/>
        <v>0.5</v>
      </c>
    </row>
    <row r="70" spans="1:80" ht="15.6" thickBot="1">
      <c r="A70" s="9" t="s">
        <v>659</v>
      </c>
      <c r="B70" s="122">
        <f t="shared" si="14"/>
        <v>60</v>
      </c>
      <c r="C70" s="202" t="s">
        <v>62</v>
      </c>
      <c r="D70" s="277" t="str">
        <f>VLOOKUP($C70,Штаб!$B$16:$J$104,6,0)</f>
        <v/>
      </c>
      <c r="E70" s="285" t="str">
        <f>VLOOKUP($C70,Штаб!$B$16:$J$104,7,0)</f>
        <v>✔️</v>
      </c>
      <c r="F70" s="285" t="str">
        <f>VLOOKUP($C70,Штаб!$B$16:$J$104,8,0)</f>
        <v/>
      </c>
      <c r="G70" s="286" t="str">
        <f>VLOOKUP($C70,Штаб!$B$16:$J$104,9,0)</f>
        <v/>
      </c>
      <c r="H70" s="279" t="str">
        <f>VLOOKUP(C70,'РО - регионы'!$B$16:$I$104,8,0)</f>
        <v>0 / 0 / 1 из 1</v>
      </c>
      <c r="I70" s="237"/>
      <c r="J70" s="122"/>
      <c r="K70" s="94"/>
      <c r="L70" s="94"/>
      <c r="M70" s="98"/>
      <c r="N70" s="164">
        <f>VLOOKUP(C70,Спецтехника!$B$16:$J$104,4,0)</f>
        <v>104</v>
      </c>
      <c r="O70" s="167">
        <f>VLOOKUP(C70,Спецтехника!$B$16:$J$104,5,0)</f>
        <v>86</v>
      </c>
      <c r="P70" s="167">
        <f>VLOOKUP(C70,Спецтехника!$B$16:$J$104,6,0)</f>
        <v>18</v>
      </c>
      <c r="Q70" s="170">
        <f>VLOOKUP(C70,Спецтехника!$B$16:$J$104,7,0)</f>
        <v>0.17307692307692307</v>
      </c>
      <c r="R70" s="242"/>
      <c r="S70" s="122"/>
      <c r="T70" s="94"/>
      <c r="U70" s="94"/>
      <c r="V70" s="98"/>
      <c r="W70" s="165">
        <f>VLOOKUP($C70,МНО!$B$16:$AB$104,16,0)</f>
        <v>8691</v>
      </c>
      <c r="X70" s="168">
        <f>VLOOKUP($C70,МНО!$B$16:$AB$104,8,0)</f>
        <v>8691</v>
      </c>
      <c r="Y70" s="168">
        <f>VLOOKUP($C70,МНО!$B$16:$AB$104,11,0)</f>
        <v>0</v>
      </c>
      <c r="Z70" s="174">
        <f>VLOOKUP($C70,МНО!$B$16:$AB$104,17,0)</f>
        <v>0</v>
      </c>
      <c r="AA70" s="245"/>
      <c r="AB70" s="95">
        <f>VLOOKUP($C70,МНО!$B$16:$AB$104,13,0)</f>
        <v>10.522385039124366</v>
      </c>
      <c r="AC70" s="154">
        <f>VLOOKUP($C70,МНО!$B$16:$AB$104,18,0)</f>
        <v>0.73846546010706093</v>
      </c>
      <c r="AD70" s="165">
        <f>VLOOKUP($C70,Контейнеры!$B$16:$AB$104,16,0)</f>
        <v>14766</v>
      </c>
      <c r="AE70" s="168">
        <f>VLOOKUP($C70,Контейнеры!$B$16:$AB$104,8,0)</f>
        <v>14766</v>
      </c>
      <c r="AF70" s="168">
        <f>VLOOKUP($C70,Контейнеры!$B$16:$AB$104,11,0)</f>
        <v>0</v>
      </c>
      <c r="AG70" s="174">
        <f>VLOOKUP($C70,Контейнеры!$B$16:$AB$104,17,0)</f>
        <v>0</v>
      </c>
      <c r="AH70" s="245"/>
      <c r="AI70" s="95">
        <f>VLOOKUP($C70,Контейнеры!$B$16:$AB$104,13,0)</f>
        <v>19.279505830464128</v>
      </c>
      <c r="AJ70" s="154">
        <f>VLOOKUP($C70,Контейнеры!$B$16:$AB$104,18,0)</f>
        <v>0.87580071174377228</v>
      </c>
      <c r="AK70" s="135"/>
      <c r="AL70" s="94"/>
      <c r="AM70" s="94"/>
      <c r="AN70" s="116"/>
      <c r="AO70" s="79">
        <f>VLOOKUP($C70,Обработка!$B$16:$L$104,6,0)</f>
        <v>8.5000000000000006E-2</v>
      </c>
      <c r="AP70" s="75">
        <f t="shared" si="15"/>
        <v>-0.45800000000000002</v>
      </c>
      <c r="AQ70" s="75">
        <f>VLOOKUP($C70,Обработка!$B$16:$L$104,7,0)</f>
        <v>1</v>
      </c>
      <c r="AR70" s="178">
        <f t="shared" si="16"/>
        <v>0.19299999999999995</v>
      </c>
      <c r="AS70" s="180">
        <f>VLOOKUP($C70,Утилизация!$B$16:$L$104,6,0)</f>
        <v>6.9999999999999993E-3</v>
      </c>
      <c r="AT70" s="76">
        <f t="shared" si="17"/>
        <v>-0.13200000000000001</v>
      </c>
      <c r="AU70" s="75">
        <f>VLOOKUP($C70,Утилизация!$B$16:$L$104,7,0)</f>
        <v>0.5</v>
      </c>
      <c r="AV70" s="185">
        <f t="shared" si="18"/>
        <v>0.21400000000000002</v>
      </c>
      <c r="AW70" s="160" t="str">
        <f>VLOOKUP(C70,Захоронение!$B$16:$Q$104,16,0)</f>
        <v>перегруз</v>
      </c>
      <c r="AX70" s="135"/>
      <c r="AY70" s="94"/>
      <c r="AZ70" s="94"/>
      <c r="BA70" s="98"/>
      <c r="BB70" s="127" t="str">
        <f>VLOOKUP(C70,'ДК ИП'!$B$16:$S$104,5,0)</f>
        <v>небольшое</v>
      </c>
      <c r="BC70" s="288">
        <f>VLOOKUP(C70,Радар!$B$16:$G$104,6,0)</f>
        <v>2.0890701157214277E-2</v>
      </c>
      <c r="BD70" s="98"/>
      <c r="BF70" s="294">
        <f t="shared" si="19"/>
        <v>0.66666666666666663</v>
      </c>
      <c r="BI70" s="8">
        <f t="shared" si="20"/>
        <v>0</v>
      </c>
      <c r="BJ70" s="8">
        <f>VLOOKUP(C70,Штаб!$B$16:$C$104,2)</f>
        <v>1</v>
      </c>
      <c r="BK70" s="8">
        <f>VLOOKUP(C70,'РО - регионы'!$B$16:$C$104,2)</f>
        <v>0</v>
      </c>
      <c r="BL70" s="8">
        <f>VLOOKUP(C70,'РО - регионы'!$B$16:$L$104,11)</f>
        <v>0</v>
      </c>
      <c r="BM70" s="8">
        <f>VLOOKUP(C70,Спецтехника!$B$16:$C$104,2)</f>
        <v>1</v>
      </c>
      <c r="BN70" s="8">
        <f>VLOOKUP($C70,МНО!$B$16:$AB$104,6,0)</f>
        <v>2</v>
      </c>
      <c r="BO70" s="8">
        <f>VLOOKUP($C70,МНО!$B$16:$AB$104,4,0)</f>
        <v>0</v>
      </c>
      <c r="BP70" s="8">
        <f>VLOOKUP($C70,МНО!$B$16:$AB$104,5,0)</f>
        <v>1</v>
      </c>
      <c r="BQ70" s="8">
        <f>VLOOKUP($C70,Контейнеры!$B$16:$G$104,6,0)</f>
        <v>2</v>
      </c>
      <c r="BR70" s="8">
        <f>VLOOKUP($C70,Контейнеры!$B$16:$G$104,4,0)</f>
        <v>0</v>
      </c>
      <c r="BS70" s="8">
        <f>VLOOKUP($C70,Контейнеры!$B$16:$G$104,5,0)</f>
        <v>1</v>
      </c>
      <c r="BT70" s="8">
        <f>VLOOKUP($C70,'ДК МНО'!$B$16:$C$104,2,0)</f>
        <v>2</v>
      </c>
      <c r="BU70" s="8">
        <f>VLOOKUP($C70,Обработка!$B$16:$F$104,5,0)</f>
        <v>0</v>
      </c>
      <c r="BV70" s="8">
        <f>VLOOKUP($C70,Обработка!$B$16:$F$104,4,0)</f>
        <v>2</v>
      </c>
      <c r="BW70" s="8">
        <f>VLOOKUP($C70,Утилизация!$B$16:$F$104,5,0)</f>
        <v>0</v>
      </c>
      <c r="BX70" s="8">
        <f>VLOOKUP($C70,Утилизация!$B$16:$F$104,4,0)</f>
        <v>2</v>
      </c>
      <c r="BY70" s="8">
        <f>VLOOKUP($C70,Захоронение!$B$16:$C$104,2,0)</f>
        <v>1</v>
      </c>
      <c r="BZ70" s="8">
        <f>VLOOKUP($C70,'ДК ИП'!$B$16:$C$104,2,0)</f>
        <v>0</v>
      </c>
      <c r="CA70" s="8">
        <f>VLOOKUP(C70,Радар!$B$16:$G$104,2,0)</f>
        <v>2</v>
      </c>
      <c r="CB70" s="8">
        <f t="shared" si="21"/>
        <v>0.7</v>
      </c>
    </row>
    <row r="71" spans="1:80" ht="15.6" thickBot="1">
      <c r="A71" s="9" t="s">
        <v>654</v>
      </c>
      <c r="B71" s="121">
        <f t="shared" si="14"/>
        <v>61</v>
      </c>
      <c r="C71" s="202" t="s">
        <v>63</v>
      </c>
      <c r="D71" s="277" t="str">
        <f>VLOOKUP($C71,Штаб!$B$16:$J$104,6,0)</f>
        <v/>
      </c>
      <c r="E71" s="285" t="str">
        <f>VLOOKUP($C71,Штаб!$B$16:$J$104,7,0)</f>
        <v>✔️</v>
      </c>
      <c r="F71" s="285" t="str">
        <f>VLOOKUP($C71,Штаб!$B$16:$J$104,8,0)</f>
        <v/>
      </c>
      <c r="G71" s="286" t="str">
        <f>VLOOKUP($C71,Штаб!$B$16:$J$104,9,0)</f>
        <v/>
      </c>
      <c r="H71" s="278" t="str">
        <f>VLOOKUP(C71,'РО - регионы'!$B$16:$I$104,8,0)</f>
        <v>0 / 6 / 6 из 12</v>
      </c>
      <c r="I71" s="237"/>
      <c r="J71" s="122"/>
      <c r="K71" s="94"/>
      <c r="L71" s="94"/>
      <c r="M71" s="98"/>
      <c r="N71" s="164">
        <f>VLOOKUP(C71,Спецтехника!$B$16:$J$104,4,0)</f>
        <v>153</v>
      </c>
      <c r="O71" s="167">
        <f>VLOOKUP(C71,Спецтехника!$B$16:$J$104,5,0)</f>
        <v>138</v>
      </c>
      <c r="P71" s="167">
        <f>VLOOKUP(C71,Спецтехника!$B$16:$J$104,6,0)</f>
        <v>15</v>
      </c>
      <c r="Q71" s="170">
        <f>VLOOKUP(C71,Спецтехника!$B$16:$J$104,7,0)</f>
        <v>9.8039215686274508E-2</v>
      </c>
      <c r="R71" s="242"/>
      <c r="S71" s="122"/>
      <c r="T71" s="94"/>
      <c r="U71" s="94"/>
      <c r="V71" s="98"/>
      <c r="W71" s="165">
        <f>VLOOKUP($C71,МНО!$B$16:$AB$104,16,0)</f>
        <v>9911</v>
      </c>
      <c r="X71" s="168">
        <f>VLOOKUP($C71,МНО!$B$16:$AB$104,8,0)</f>
        <v>4707</v>
      </c>
      <c r="Y71" s="168">
        <f>VLOOKUP($C71,МНО!$B$16:$AB$104,11,0)</f>
        <v>5204</v>
      </c>
      <c r="Z71" s="174">
        <f>VLOOKUP($C71,МНО!$B$16:$AB$104,17,0)</f>
        <v>0.5250731510442942</v>
      </c>
      <c r="AA71" s="245"/>
      <c r="AB71" s="95">
        <f>VLOOKUP($C71,МНО!$B$16:$AB$104,13,0)</f>
        <v>3.6569148936170213</v>
      </c>
      <c r="AC71" s="154">
        <f>VLOOKUP($C71,МНО!$B$16:$AB$104,18,0)</f>
        <v>0.74595879556259903</v>
      </c>
      <c r="AD71" s="165">
        <f>VLOOKUP($C71,Контейнеры!$B$16:$AB$104,16,0)</f>
        <v>10461</v>
      </c>
      <c r="AE71" s="168">
        <f>VLOOKUP($C71,Контейнеры!$B$16:$AB$104,8,0)</f>
        <v>10461</v>
      </c>
      <c r="AF71" s="168">
        <f>VLOOKUP($C71,Контейнеры!$B$16:$AB$104,11,0)</f>
        <v>0</v>
      </c>
      <c r="AG71" s="174">
        <f>VLOOKUP($C71,Контейнеры!$B$16:$AB$104,17,0)</f>
        <v>0</v>
      </c>
      <c r="AH71" s="245"/>
      <c r="AI71" s="95">
        <f>VLOOKUP($C71,Контейнеры!$B$16:$AB$104,13,0)</f>
        <v>10.443621813302665</v>
      </c>
      <c r="AJ71" s="154">
        <f>VLOOKUP($C71,Контейнеры!$B$16:$AB$104,18,0)</f>
        <v>0.73225535489290217</v>
      </c>
      <c r="AK71" s="135"/>
      <c r="AL71" s="94"/>
      <c r="AM71" s="94"/>
      <c r="AN71" s="116"/>
      <c r="AO71" s="79">
        <f>VLOOKUP($C71,Обработка!$B$16:$L$104,6,0)</f>
        <v>0</v>
      </c>
      <c r="AP71" s="75">
        <f t="shared" si="15"/>
        <v>-0.54300000000000004</v>
      </c>
      <c r="AQ71" s="74">
        <f>VLOOKUP($C71,Обработка!$B$16:$L$104,7,0)</f>
        <v>0.49</v>
      </c>
      <c r="AR71" s="179">
        <f t="shared" si="16"/>
        <v>-0.31700000000000006</v>
      </c>
      <c r="AS71" s="180">
        <f>VLOOKUP($C71,Утилизация!$B$16:$L$104,6,0)</f>
        <v>6.9999999999999993E-3</v>
      </c>
      <c r="AT71" s="76">
        <f t="shared" si="17"/>
        <v>-0.13200000000000001</v>
      </c>
      <c r="AU71" s="76">
        <f>VLOOKUP($C71,Утилизация!$B$16:$L$104,7,0)</f>
        <v>0.1</v>
      </c>
      <c r="AV71" s="184">
        <f t="shared" si="18"/>
        <v>-0.18599999999999997</v>
      </c>
      <c r="AW71" s="162" t="str">
        <f>VLOOKUP(C71,Захоронение!$B$16:$Q$104,16,0)</f>
        <v>белые пятна</v>
      </c>
      <c r="AX71" s="135"/>
      <c r="AY71" s="94"/>
      <c r="AZ71" s="94"/>
      <c r="BA71" s="98"/>
      <c r="BB71" s="127" t="str">
        <f>VLOOKUP(C71,'ДК ИП'!$B$16:$S$104,5,0)</f>
        <v>среднее</v>
      </c>
      <c r="BC71" s="289">
        <f>VLOOKUP(C71,Радар!$B$16:$G$104,6,0)</f>
        <v>9.9833876429621122E-3</v>
      </c>
      <c r="BD71" s="98"/>
      <c r="BF71" s="293">
        <f t="shared" si="19"/>
        <v>1.3333333333333333</v>
      </c>
      <c r="BI71" s="8">
        <f t="shared" si="20"/>
        <v>2</v>
      </c>
      <c r="BJ71" s="8">
        <f>VLOOKUP(C71,Штаб!$B$16:$C$104,2)</f>
        <v>1</v>
      </c>
      <c r="BK71" s="8">
        <f>VLOOKUP(C71,'РО - регионы'!$B$16:$C$104,2)</f>
        <v>1</v>
      </c>
      <c r="BL71" s="8">
        <f>VLOOKUP(C71,'РО - регионы'!$B$16:$L$104,11)</f>
        <v>2</v>
      </c>
      <c r="BM71" s="8">
        <f>VLOOKUP(C71,Спецтехника!$B$16:$C$104,2)</f>
        <v>1</v>
      </c>
      <c r="BN71" s="8">
        <f>VLOOKUP($C71,МНО!$B$16:$AB$104,6,0)</f>
        <v>2</v>
      </c>
      <c r="BO71" s="8">
        <f>VLOOKUP($C71,МНО!$B$16:$AB$104,4,0)</f>
        <v>1</v>
      </c>
      <c r="BP71" s="8">
        <f>VLOOKUP($C71,МНО!$B$16:$AB$104,5,0)</f>
        <v>1</v>
      </c>
      <c r="BQ71" s="8">
        <f>VLOOKUP($C71,Контейнеры!$B$16:$G$104,6,0)</f>
        <v>2</v>
      </c>
      <c r="BR71" s="8">
        <f>VLOOKUP($C71,Контейнеры!$B$16:$G$104,4,0)</f>
        <v>0</v>
      </c>
      <c r="BS71" s="8">
        <f>VLOOKUP($C71,Контейнеры!$B$16:$G$104,5,0)</f>
        <v>2</v>
      </c>
      <c r="BT71" s="8">
        <f>VLOOKUP($C71,'ДК МНО'!$B$16:$C$104,2,0)</f>
        <v>2</v>
      </c>
      <c r="BU71" s="8">
        <f>VLOOKUP($C71,Обработка!$B$16:$F$104,5,0)</f>
        <v>1</v>
      </c>
      <c r="BV71" s="8">
        <f>VLOOKUP($C71,Обработка!$B$16:$F$104,4,0)</f>
        <v>2</v>
      </c>
      <c r="BW71" s="8">
        <f>VLOOKUP($C71,Утилизация!$B$16:$F$104,5,0)</f>
        <v>2</v>
      </c>
      <c r="BX71" s="8">
        <f>VLOOKUP($C71,Утилизация!$B$16:$F$104,4,0)</f>
        <v>2</v>
      </c>
      <c r="BY71" s="8">
        <f>VLOOKUP($C71,Захоронение!$B$16:$C$104,2,0)</f>
        <v>2</v>
      </c>
      <c r="BZ71" s="8">
        <f>VLOOKUP($C71,'ДК ИП'!$B$16:$C$104,2,0)</f>
        <v>1</v>
      </c>
      <c r="CA71" s="8">
        <f>VLOOKUP(C71,Радар!$B$16:$G$104,2,0)</f>
        <v>0</v>
      </c>
      <c r="CB71" s="8">
        <f t="shared" si="21"/>
        <v>1.4500000000000002</v>
      </c>
    </row>
    <row r="72" spans="1:80" ht="15.6" thickBot="1">
      <c r="A72" s="9" t="s">
        <v>658</v>
      </c>
      <c r="B72" s="122">
        <f t="shared" si="14"/>
        <v>62</v>
      </c>
      <c r="C72" s="202" t="s">
        <v>64</v>
      </c>
      <c r="D72" s="277" t="str">
        <f>VLOOKUP($C72,Штаб!$B$16:$J$104,6,0)</f>
        <v/>
      </c>
      <c r="E72" s="285" t="str">
        <f>VLOOKUP($C72,Штаб!$B$16:$J$104,7,0)</f>
        <v/>
      </c>
      <c r="F72" s="285" t="str">
        <f>VLOOKUP($C72,Штаб!$B$16:$J$104,8,0)</f>
        <v/>
      </c>
      <c r="G72" s="286" t="str">
        <f>VLOOKUP($C72,Штаб!$B$16:$J$104,9,0)</f>
        <v>✔️</v>
      </c>
      <c r="H72" s="278" t="str">
        <f>VLOOKUP(C72,'РО - регионы'!$B$16:$I$104,8,0)</f>
        <v>0 / 1 / 1 из 2</v>
      </c>
      <c r="I72" s="237"/>
      <c r="J72" s="122"/>
      <c r="K72" s="94"/>
      <c r="L72" s="94"/>
      <c r="M72" s="98"/>
      <c r="N72" s="163">
        <f>VLOOKUP(C72,Спецтехника!$B$16:$J$104,4,0)</f>
        <v>67</v>
      </c>
      <c r="O72" s="166">
        <f>VLOOKUP(C72,Спецтехника!$B$16:$J$104,5,0)</f>
        <v>67</v>
      </c>
      <c r="P72" s="166">
        <f>VLOOKUP(C72,Спецтехника!$B$16:$J$104,6,0)</f>
        <v>0</v>
      </c>
      <c r="Q72" s="169">
        <f>VLOOKUP(C72,Спецтехника!$B$16:$J$104,7,0)</f>
        <v>0</v>
      </c>
      <c r="R72" s="242"/>
      <c r="S72" s="122"/>
      <c r="T72" s="94"/>
      <c r="U72" s="94"/>
      <c r="V72" s="98"/>
      <c r="W72" s="163">
        <f>VLOOKUP($C72,МНО!$B$16:$AB$104,16,0)</f>
        <v>3589</v>
      </c>
      <c r="X72" s="166">
        <f>VLOOKUP($C72,МНО!$B$16:$AB$104,8,0)</f>
        <v>2989</v>
      </c>
      <c r="Y72" s="166">
        <f>VLOOKUP($C72,МНО!$B$16:$AB$104,11,0)</f>
        <v>600</v>
      </c>
      <c r="Z72" s="173">
        <f>VLOOKUP($C72,МНО!$B$16:$AB$104,17,0)</f>
        <v>0.16717748676511562</v>
      </c>
      <c r="AA72" s="245"/>
      <c r="AB72" s="95">
        <f>VLOOKUP($C72,МНО!$B$16:$AB$104,13,0)</f>
        <v>3.927062112688712</v>
      </c>
      <c r="AC72" s="154">
        <f>VLOOKUP($C72,МНО!$B$16:$AB$104,18,0)</f>
        <v>1</v>
      </c>
      <c r="AD72" s="163">
        <f>VLOOKUP($C72,Контейнеры!$B$16:$AB$104,16,0)</f>
        <v>7292</v>
      </c>
      <c r="AE72" s="166">
        <f>VLOOKUP($C72,Контейнеры!$B$16:$AB$104,8,0)</f>
        <v>6272</v>
      </c>
      <c r="AF72" s="166">
        <f>VLOOKUP($C72,Контейнеры!$B$16:$AB$104,11,0)</f>
        <v>1020</v>
      </c>
      <c r="AG72" s="173">
        <f>VLOOKUP($C72,Контейнеры!$B$16:$AB$104,17,0)</f>
        <v>0.1398793198025233</v>
      </c>
      <c r="AH72" s="245"/>
      <c r="AI72" s="95">
        <f>VLOOKUP($C72,Контейнеры!$B$16:$AB$104,13,0)</f>
        <v>9.2387597789885962</v>
      </c>
      <c r="AJ72" s="154">
        <f>VLOOKUP($C72,Контейнеры!$B$16:$AB$104,18,0)</f>
        <v>1</v>
      </c>
      <c r="AK72" s="135"/>
      <c r="AL72" s="94"/>
      <c r="AM72" s="94"/>
      <c r="AN72" s="116"/>
      <c r="AO72" s="79">
        <f>VLOOKUP($C72,Обработка!$B$16:$L$104,6,0)</f>
        <v>4.2999999999999997E-2</v>
      </c>
      <c r="AP72" s="75">
        <f t="shared" si="15"/>
        <v>-0.5</v>
      </c>
      <c r="AQ72" s="74">
        <f>VLOOKUP($C72,Обработка!$B$16:$L$104,7,0)</f>
        <v>0.7</v>
      </c>
      <c r="AR72" s="179">
        <f t="shared" si="16"/>
        <v>-0.1070000000000001</v>
      </c>
      <c r="AS72" s="180">
        <f>VLOOKUP($C72,Утилизация!$B$16:$L$104,6,0)</f>
        <v>1E-3</v>
      </c>
      <c r="AT72" s="76">
        <f t="shared" si="17"/>
        <v>-0.13800000000000001</v>
      </c>
      <c r="AU72" s="76">
        <f>VLOOKUP($C72,Утилизация!$B$16:$L$104,7,0)</f>
        <v>0.09</v>
      </c>
      <c r="AV72" s="184">
        <f t="shared" si="18"/>
        <v>-0.19599999999999998</v>
      </c>
      <c r="AW72" s="162" t="str">
        <f>VLOOKUP(C72,Захоронение!$B$16:$Q$104,16,0)</f>
        <v>белые пятна</v>
      </c>
      <c r="AX72" s="135"/>
      <c r="AY72" s="94"/>
      <c r="AZ72" s="94"/>
      <c r="BA72" s="98"/>
      <c r="BB72" s="127" t="str">
        <f>VLOOKUP(C72,'ДК ИП'!$B$16:$S$104,5,0)</f>
        <v>среднее</v>
      </c>
      <c r="BC72" s="288">
        <f>VLOOKUP(C72,Радар!$B$16:$G$104,6,0)</f>
        <v>0.68200666098082274</v>
      </c>
      <c r="BD72" s="98"/>
      <c r="BF72" s="293">
        <f t="shared" si="19"/>
        <v>1.3333333333333333</v>
      </c>
      <c r="BI72" s="8">
        <f t="shared" si="20"/>
        <v>1</v>
      </c>
      <c r="BJ72" s="8">
        <f>VLOOKUP(C72,Штаб!$B$16:$C$104,2)</f>
        <v>2</v>
      </c>
      <c r="BK72" s="8">
        <f>VLOOKUP(C72,'РО - регионы'!$B$16:$C$104,2)</f>
        <v>1</v>
      </c>
      <c r="BL72" s="8">
        <f>VLOOKUP(C72,'РО - регионы'!$B$16:$L$104,11)</f>
        <v>2</v>
      </c>
      <c r="BM72" s="8">
        <f>VLOOKUP(C72,Спецтехника!$B$16:$C$104,2)</f>
        <v>0</v>
      </c>
      <c r="BN72" s="8">
        <f>VLOOKUP($C72,МНО!$B$16:$AB$104,6,0)</f>
        <v>0</v>
      </c>
      <c r="BO72" s="8">
        <f>VLOOKUP($C72,МНО!$B$16:$AB$104,4,0)</f>
        <v>1</v>
      </c>
      <c r="BP72" s="8">
        <f>VLOOKUP($C72,МНО!$B$16:$AB$104,5,0)</f>
        <v>0</v>
      </c>
      <c r="BQ72" s="8">
        <f>VLOOKUP($C72,Контейнеры!$B$16:$G$104,6,0)</f>
        <v>0</v>
      </c>
      <c r="BR72" s="8">
        <f>VLOOKUP($C72,Контейнеры!$B$16:$G$104,4,0)</f>
        <v>0</v>
      </c>
      <c r="BS72" s="8">
        <f>VLOOKUP($C72,Контейнеры!$B$16:$G$104,5,0)</f>
        <v>0</v>
      </c>
      <c r="BT72" s="8">
        <f>VLOOKUP($C72,'ДК МНО'!$B$16:$C$104,2,0)</f>
        <v>2</v>
      </c>
      <c r="BU72" s="8">
        <f>VLOOKUP($C72,Обработка!$B$16:$F$104,5,0)</f>
        <v>1</v>
      </c>
      <c r="BV72" s="8">
        <f>VLOOKUP($C72,Обработка!$B$16:$F$104,4,0)</f>
        <v>2</v>
      </c>
      <c r="BW72" s="8">
        <f>VLOOKUP($C72,Утилизация!$B$16:$F$104,5,0)</f>
        <v>2</v>
      </c>
      <c r="BX72" s="8">
        <f>VLOOKUP($C72,Утилизация!$B$16:$F$104,4,0)</f>
        <v>2</v>
      </c>
      <c r="BY72" s="8">
        <f>VLOOKUP($C72,Захоронение!$B$16:$C$104,2,0)</f>
        <v>2</v>
      </c>
      <c r="BZ72" s="8">
        <f>VLOOKUP($C72,'ДК ИП'!$B$16:$C$104,2,0)</f>
        <v>1</v>
      </c>
      <c r="CA72" s="8">
        <f>VLOOKUP(C72,Радар!$B$16:$G$104,2,0)</f>
        <v>2</v>
      </c>
      <c r="CB72" s="8">
        <f t="shared" si="21"/>
        <v>1.2000000000000002</v>
      </c>
    </row>
    <row r="73" spans="1:80" ht="15.6" thickBot="1">
      <c r="A73" s="9" t="s">
        <v>659</v>
      </c>
      <c r="B73" s="121">
        <f t="shared" si="14"/>
        <v>63</v>
      </c>
      <c r="C73" s="202" t="s">
        <v>65</v>
      </c>
      <c r="D73" s="277" t="str">
        <f>VLOOKUP($C73,Штаб!$B$16:$J$104,6,0)</f>
        <v/>
      </c>
      <c r="E73" s="285" t="str">
        <f>VLOOKUP($C73,Штаб!$B$16:$J$104,7,0)</f>
        <v>✔️</v>
      </c>
      <c r="F73" s="285" t="str">
        <f>VLOOKUP($C73,Штаб!$B$16:$J$104,8,0)</f>
        <v/>
      </c>
      <c r="G73" s="286" t="str">
        <f>VLOOKUP($C73,Штаб!$B$16:$J$104,9,0)</f>
        <v/>
      </c>
      <c r="H73" s="279" t="str">
        <f>VLOOKUP(C73,'РО - регионы'!$B$16:$I$104,8,0)</f>
        <v>0 / 0 / 2 из 2</v>
      </c>
      <c r="I73" s="237"/>
      <c r="J73" s="122"/>
      <c r="K73" s="94"/>
      <c r="L73" s="94"/>
      <c r="M73" s="98"/>
      <c r="N73" s="163">
        <f>VLOOKUP(C73,Спецтехника!$B$16:$J$104,4,0)</f>
        <v>334</v>
      </c>
      <c r="O73" s="166">
        <f>VLOOKUP(C73,Спецтехника!$B$16:$J$104,5,0)</f>
        <v>320</v>
      </c>
      <c r="P73" s="166">
        <f>VLOOKUP(C73,Спецтехника!$B$16:$J$104,6,0)</f>
        <v>14</v>
      </c>
      <c r="Q73" s="169">
        <f>VLOOKUP(C73,Спецтехника!$B$16:$J$104,7,0)</f>
        <v>4.1916167664670656E-2</v>
      </c>
      <c r="R73" s="242"/>
      <c r="S73" s="122"/>
      <c r="T73" s="94"/>
      <c r="U73" s="94"/>
      <c r="V73" s="98"/>
      <c r="W73" s="164">
        <f>VLOOKUP($C73,МНО!$B$16:$AB$104,16,0)</f>
        <v>19326</v>
      </c>
      <c r="X73" s="167">
        <f>VLOOKUP($C73,МНО!$B$16:$AB$104,8,0)</f>
        <v>15259</v>
      </c>
      <c r="Y73" s="167">
        <f>VLOOKUP($C73,МНО!$B$16:$AB$104,11,0)</f>
        <v>4067</v>
      </c>
      <c r="Z73" s="172">
        <f>VLOOKUP($C73,МНО!$B$16:$AB$104,17,0)</f>
        <v>0.21044189175204389</v>
      </c>
      <c r="AA73" s="245"/>
      <c r="AB73" s="95">
        <f>VLOOKUP($C73,МНО!$B$16:$AB$104,13,0)</f>
        <v>3.1173994807914833</v>
      </c>
      <c r="AC73" s="154">
        <f>VLOOKUP($C73,МНО!$B$16:$AB$104,18,0)</f>
        <v>1</v>
      </c>
      <c r="AD73" s="164">
        <f>VLOOKUP($C73,Контейнеры!$B$16:$AB$104,16,0)</f>
        <v>44672</v>
      </c>
      <c r="AE73" s="167">
        <f>VLOOKUP($C73,Контейнеры!$B$16:$AB$104,8,0)</f>
        <v>32765</v>
      </c>
      <c r="AF73" s="167">
        <f>VLOOKUP($C73,Контейнеры!$B$16:$AB$104,11,0)</f>
        <v>11907</v>
      </c>
      <c r="AG73" s="172">
        <f>VLOOKUP($C73,Контейнеры!$B$16:$AB$104,17,0)</f>
        <v>0.26654280085959886</v>
      </c>
      <c r="AH73" s="245"/>
      <c r="AI73" s="95">
        <f>VLOOKUP($C73,Контейнеры!$B$16:$AB$104,13,0)</f>
        <v>8.1850784508480601</v>
      </c>
      <c r="AJ73" s="154">
        <f>VLOOKUP($C73,Контейнеры!$B$16:$AB$104,18,0)</f>
        <v>0.9368655820204157</v>
      </c>
      <c r="AK73" s="135"/>
      <c r="AL73" s="94"/>
      <c r="AM73" s="94"/>
      <c r="AN73" s="116"/>
      <c r="AO73" s="79">
        <f>VLOOKUP($C73,Обработка!$B$16:$L$104,6,0)</f>
        <v>0.27100000000000002</v>
      </c>
      <c r="AP73" s="75">
        <f t="shared" si="15"/>
        <v>-0.27200000000000002</v>
      </c>
      <c r="AQ73" s="75">
        <f>VLOOKUP($C73,Обработка!$B$16:$L$104,7,0)</f>
        <v>1</v>
      </c>
      <c r="AR73" s="178">
        <f t="shared" si="16"/>
        <v>0.19299999999999995</v>
      </c>
      <c r="AS73" s="181">
        <f>VLOOKUP($C73,Утилизация!$B$16:$L$104,6,0)</f>
        <v>0.11800000000000001</v>
      </c>
      <c r="AT73" s="74">
        <f t="shared" si="17"/>
        <v>-2.1000000000000005E-2</v>
      </c>
      <c r="AU73" s="75">
        <f>VLOOKUP($C73,Утилизация!$B$16:$L$104,7,0)</f>
        <v>0.32719799999999999</v>
      </c>
      <c r="AV73" s="185">
        <f t="shared" si="18"/>
        <v>4.1198000000000012E-2</v>
      </c>
      <c r="AW73" s="161" t="str">
        <f>VLOOKUP(C73,Захоронение!$B$16:$Q$104,16,0)</f>
        <v/>
      </c>
      <c r="AX73" s="135"/>
      <c r="AY73" s="94"/>
      <c r="AZ73" s="94"/>
      <c r="BA73" s="98"/>
      <c r="BB73" s="127" t="str">
        <f>VLOOKUP(C73,'ДК ИП'!$B$16:$S$104,5,0)</f>
        <v>небольшое</v>
      </c>
      <c r="BC73" s="289">
        <f>VLOOKUP(C73,Радар!$B$16:$G$104,6,0)</f>
        <v>1.9984931361753237E-3</v>
      </c>
      <c r="BD73" s="98"/>
      <c r="BF73" s="296">
        <f t="shared" si="19"/>
        <v>0.25</v>
      </c>
      <c r="BI73" s="8">
        <f t="shared" si="20"/>
        <v>0</v>
      </c>
      <c r="BJ73" s="8">
        <f>VLOOKUP(C73,Штаб!$B$16:$C$104,2)</f>
        <v>1</v>
      </c>
      <c r="BK73" s="8">
        <f>VLOOKUP(C73,'РО - регионы'!$B$16:$C$104,2)</f>
        <v>0</v>
      </c>
      <c r="BL73" s="8">
        <f>VLOOKUP(C73,'РО - регионы'!$B$16:$L$104,11)</f>
        <v>0</v>
      </c>
      <c r="BM73" s="8">
        <f>VLOOKUP(C73,Спецтехника!$B$16:$C$104,2)</f>
        <v>0</v>
      </c>
      <c r="BN73" s="8">
        <f>VLOOKUP($C73,МНО!$B$16:$AB$104,6,0)</f>
        <v>1</v>
      </c>
      <c r="BO73" s="8">
        <f>VLOOKUP($C73,МНО!$B$16:$AB$104,4,0)</f>
        <v>1</v>
      </c>
      <c r="BP73" s="8">
        <f>VLOOKUP($C73,МНО!$B$16:$AB$104,5,0)</f>
        <v>0</v>
      </c>
      <c r="BQ73" s="8">
        <f>VLOOKUP($C73,Контейнеры!$B$16:$G$104,6,0)</f>
        <v>1</v>
      </c>
      <c r="BR73" s="8">
        <f>VLOOKUP($C73,Контейнеры!$B$16:$G$104,4,0)</f>
        <v>0</v>
      </c>
      <c r="BS73" s="8">
        <f>VLOOKUP($C73,Контейнеры!$B$16:$G$104,5,0)</f>
        <v>0</v>
      </c>
      <c r="BT73" s="8">
        <f>VLOOKUP($C73,'ДК МНО'!$B$16:$C$104,2,0)</f>
        <v>2</v>
      </c>
      <c r="BU73" s="8">
        <f>VLOOKUP($C73,Обработка!$B$16:$F$104,5,0)</f>
        <v>0</v>
      </c>
      <c r="BV73" s="8">
        <f>VLOOKUP($C73,Обработка!$B$16:$F$104,4,0)</f>
        <v>2</v>
      </c>
      <c r="BW73" s="8">
        <f>VLOOKUP($C73,Утилизация!$B$16:$F$104,5,0)</f>
        <v>0</v>
      </c>
      <c r="BX73" s="8">
        <f>VLOOKUP($C73,Утилизация!$B$16:$F$104,4,0)</f>
        <v>1</v>
      </c>
      <c r="BY73" s="8">
        <f>VLOOKUP($C73,Захоронение!$B$16:$C$104,2,0)</f>
        <v>0</v>
      </c>
      <c r="BZ73" s="8">
        <f>VLOOKUP($C73,'ДК ИП'!$B$16:$C$104,2,0)</f>
        <v>0</v>
      </c>
      <c r="CA73" s="8">
        <f>VLOOKUP(C73,Радар!$B$16:$G$104,2,0)</f>
        <v>0</v>
      </c>
      <c r="CB73" s="8">
        <f t="shared" si="21"/>
        <v>0.3</v>
      </c>
    </row>
    <row r="74" spans="1:80" ht="15.6" thickBot="1">
      <c r="A74" s="9" t="s">
        <v>653</v>
      </c>
      <c r="B74" s="122">
        <f t="shared" si="14"/>
        <v>64</v>
      </c>
      <c r="C74" s="202" t="s">
        <v>66</v>
      </c>
      <c r="D74" s="277" t="str">
        <f>VLOOKUP($C74,Штаб!$B$16:$J$104,6,0)</f>
        <v/>
      </c>
      <c r="E74" s="285" t="str">
        <f>VLOOKUP($C74,Штаб!$B$16:$J$104,7,0)</f>
        <v/>
      </c>
      <c r="F74" s="285" t="str">
        <f>VLOOKUP($C74,Штаб!$B$16:$J$104,8,0)</f>
        <v/>
      </c>
      <c r="G74" s="286" t="str">
        <f>VLOOKUP($C74,Штаб!$B$16:$J$104,9,0)</f>
        <v>✔️</v>
      </c>
      <c r="H74" s="278" t="str">
        <f>VLOOKUP(C74,'РО - регионы'!$B$16:$I$104,8,0)</f>
        <v>0 / 2 / 0 из 2</v>
      </c>
      <c r="I74" s="237"/>
      <c r="J74" s="122"/>
      <c r="K74" s="94"/>
      <c r="L74" s="94"/>
      <c r="M74" s="98"/>
      <c r="N74" s="165">
        <f>VLOOKUP(C74,Спецтехника!$B$16:$J$104,4,0)</f>
        <v>66</v>
      </c>
      <c r="O74" s="168">
        <f>VLOOKUP(C74,Спецтехника!$B$16:$J$104,5,0)</f>
        <v>46</v>
      </c>
      <c r="P74" s="168">
        <f>VLOOKUP(C74,Спецтехника!$B$16:$J$104,6,0)</f>
        <v>20</v>
      </c>
      <c r="Q74" s="171">
        <f>VLOOKUP(C74,Спецтехника!$B$16:$J$104,7,0)</f>
        <v>0.30303030303030304</v>
      </c>
      <c r="R74" s="242"/>
      <c r="S74" s="122"/>
      <c r="T74" s="94"/>
      <c r="U74" s="94"/>
      <c r="V74" s="98"/>
      <c r="W74" s="165">
        <f>VLOOKUP($C74,МНО!$B$16:$AB$104,16,0)</f>
        <v>1747</v>
      </c>
      <c r="X74" s="168">
        <f>VLOOKUP($C74,МНО!$B$16:$AB$104,8,0)</f>
        <v>637</v>
      </c>
      <c r="Y74" s="168">
        <f>VLOOKUP($C74,МНО!$B$16:$AB$104,11,0)</f>
        <v>1110</v>
      </c>
      <c r="Z74" s="174">
        <f>VLOOKUP($C74,МНО!$B$16:$AB$104,17,0)</f>
        <v>0.6353749284487693</v>
      </c>
      <c r="AA74" s="245"/>
      <c r="AB74" s="95">
        <f>VLOOKUP($C74,МНО!$B$16:$AB$104,13,0)</f>
        <v>1.7360699642120732</v>
      </c>
      <c r="AC74" s="154">
        <f>VLOOKUP($C74,МНО!$B$16:$AB$104,18,0)</f>
        <v>0.45338078291814948</v>
      </c>
      <c r="AD74" s="165">
        <f>VLOOKUP($C74,Контейнеры!$B$16:$AB$104,16,0)</f>
        <v>967</v>
      </c>
      <c r="AE74" s="168">
        <f>VLOOKUP($C74,Контейнеры!$B$16:$AB$104,8,0)</f>
        <v>967</v>
      </c>
      <c r="AF74" s="168">
        <f>VLOOKUP($C74,Контейнеры!$B$16:$AB$104,11,0)</f>
        <v>0</v>
      </c>
      <c r="AG74" s="174">
        <f>VLOOKUP($C74,Контейнеры!$B$16:$AB$104,17,0)</f>
        <v>0</v>
      </c>
      <c r="AH74" s="245"/>
      <c r="AI74" s="95">
        <f>VLOOKUP($C74,Контейнеры!$B$16:$AB$104,13,0)</f>
        <v>2.8648116986229941</v>
      </c>
      <c r="AJ74" s="154">
        <f>VLOOKUP($C74,Контейнеры!$B$16:$AB$104,18,0)</f>
        <v>0.38679999999999998</v>
      </c>
      <c r="AK74" s="135"/>
      <c r="AL74" s="94"/>
      <c r="AM74" s="94"/>
      <c r="AN74" s="116"/>
      <c r="AO74" s="79">
        <f>VLOOKUP($C74,Обработка!$B$16:$L$104,6,0)</f>
        <v>0</v>
      </c>
      <c r="AP74" s="76">
        <f t="shared" si="15"/>
        <v>-0.54300000000000004</v>
      </c>
      <c r="AQ74" s="75">
        <f>VLOOKUP($C74,Обработка!$B$16:$L$104,7,0)</f>
        <v>0.875</v>
      </c>
      <c r="AR74" s="178">
        <f t="shared" si="16"/>
        <v>6.7999999999999949E-2</v>
      </c>
      <c r="AS74" s="180">
        <f>VLOOKUP($C74,Утилизация!$B$16:$L$104,6,0)</f>
        <v>0</v>
      </c>
      <c r="AT74" s="76">
        <f t="shared" si="17"/>
        <v>-0.13900000000000001</v>
      </c>
      <c r="AU74" s="75">
        <f>VLOOKUP($C74,Утилизация!$B$16:$L$104,7,0)</f>
        <v>0.3</v>
      </c>
      <c r="AV74" s="185">
        <f t="shared" si="18"/>
        <v>1.4000000000000012E-2</v>
      </c>
      <c r="AW74" s="162" t="str">
        <f>VLOOKUP(C74,Захоронение!$B$16:$Q$104,16,0)</f>
        <v>белые пятна</v>
      </c>
      <c r="AX74" s="135"/>
      <c r="AY74" s="94"/>
      <c r="AZ74" s="94"/>
      <c r="BA74" s="98"/>
      <c r="BB74" s="127" t="str">
        <f>VLOOKUP(C74,'ДК ИП'!$B$16:$S$104,5,0)</f>
        <v>небольшое</v>
      </c>
      <c r="BC74" s="288">
        <f>VLOOKUP(C74,Радар!$B$16:$G$104,6,0)</f>
        <v>0.55400184864787994</v>
      </c>
      <c r="BD74" s="98"/>
      <c r="BF74" s="293">
        <f t="shared" si="19"/>
        <v>1</v>
      </c>
      <c r="BI74" s="8">
        <f t="shared" si="20"/>
        <v>2</v>
      </c>
      <c r="BJ74" s="8">
        <f>VLOOKUP(C74,Штаб!$B$16:$C$104,2)</f>
        <v>2</v>
      </c>
      <c r="BK74" s="8">
        <f>VLOOKUP(C74,'РО - регионы'!$B$16:$C$104,2)</f>
        <v>1</v>
      </c>
      <c r="BL74" s="8">
        <f>VLOOKUP(C74,'РО - регионы'!$B$16:$L$104,11)</f>
        <v>2</v>
      </c>
      <c r="BM74" s="8">
        <f>VLOOKUP(C74,Спецтехника!$B$16:$C$104,2)</f>
        <v>2</v>
      </c>
      <c r="BN74" s="8">
        <f>VLOOKUP($C74,МНО!$B$16:$AB$104,6,0)</f>
        <v>2</v>
      </c>
      <c r="BO74" s="8">
        <f>VLOOKUP($C74,МНО!$B$16:$AB$104,4,0)</f>
        <v>2</v>
      </c>
      <c r="BP74" s="8">
        <f>VLOOKUP($C74,МНО!$B$16:$AB$104,5,0)</f>
        <v>2</v>
      </c>
      <c r="BQ74" s="8">
        <f>VLOOKUP($C74,Контейнеры!$B$16:$G$104,6,0)</f>
        <v>2</v>
      </c>
      <c r="BR74" s="8">
        <f>VLOOKUP($C74,Контейнеры!$B$16:$G$104,4,0)</f>
        <v>2</v>
      </c>
      <c r="BS74" s="8">
        <f>VLOOKUP($C74,Контейнеры!$B$16:$G$104,5,0)</f>
        <v>2</v>
      </c>
      <c r="BT74" s="8">
        <f>VLOOKUP($C74,'ДК МНО'!$B$16:$C$104,2,0)</f>
        <v>2</v>
      </c>
      <c r="BU74" s="8">
        <f>VLOOKUP($C74,Обработка!$B$16:$F$104,5,0)</f>
        <v>0</v>
      </c>
      <c r="BV74" s="8">
        <f>VLOOKUP($C74,Обработка!$B$16:$F$104,4,0)</f>
        <v>2</v>
      </c>
      <c r="BW74" s="8">
        <f>VLOOKUP($C74,Утилизация!$B$16:$F$104,5,0)</f>
        <v>0</v>
      </c>
      <c r="BX74" s="8">
        <f>VLOOKUP($C74,Утилизация!$B$16:$F$104,4,0)</f>
        <v>2</v>
      </c>
      <c r="BY74" s="8">
        <f>VLOOKUP($C74,Захоронение!$B$16:$C$104,2,0)</f>
        <v>2</v>
      </c>
      <c r="BZ74" s="8">
        <f>VLOOKUP($C74,'ДК ИП'!$B$16:$C$104,2,0)</f>
        <v>0</v>
      </c>
      <c r="CA74" s="8">
        <f>VLOOKUP(C74,Радар!$B$16:$G$104,2,0)</f>
        <v>2</v>
      </c>
      <c r="CB74" s="8">
        <f t="shared" si="21"/>
        <v>1.4</v>
      </c>
    </row>
    <row r="75" spans="1:80" ht="15.6" thickBot="1">
      <c r="A75" s="9" t="s">
        <v>653</v>
      </c>
      <c r="B75" s="121">
        <f t="shared" ref="B75:B99" si="22">B74+1</f>
        <v>65</v>
      </c>
      <c r="C75" s="202" t="s">
        <v>67</v>
      </c>
      <c r="D75" s="277" t="str">
        <f>VLOOKUP($C75,Штаб!$B$16:$J$104,6,0)</f>
        <v>✔️</v>
      </c>
      <c r="E75" s="285" t="str">
        <f>VLOOKUP($C75,Штаб!$B$16:$J$104,7,0)</f>
        <v/>
      </c>
      <c r="F75" s="285" t="str">
        <f>VLOOKUP($C75,Штаб!$B$16:$J$104,8,0)</f>
        <v/>
      </c>
      <c r="G75" s="286" t="str">
        <f>VLOOKUP($C75,Штаб!$B$16:$J$104,9,0)</f>
        <v/>
      </c>
      <c r="H75" s="280" t="str">
        <f>VLOOKUP(C75,'РО - регионы'!$B$16:$I$104,8,0)</f>
        <v>1 / 3 / 1 из 5</v>
      </c>
      <c r="I75" s="237"/>
      <c r="J75" s="122"/>
      <c r="K75" s="94"/>
      <c r="L75" s="94"/>
      <c r="M75" s="98"/>
      <c r="N75" s="163">
        <f>VLOOKUP(C75,Спецтехника!$B$16:$J$104,4,0)</f>
        <v>41</v>
      </c>
      <c r="O75" s="166">
        <f>VLOOKUP(C75,Спецтехника!$B$16:$J$104,5,0)</f>
        <v>41</v>
      </c>
      <c r="P75" s="166">
        <f>VLOOKUP(C75,Спецтехника!$B$16:$J$104,6,0)</f>
        <v>0</v>
      </c>
      <c r="Q75" s="169">
        <f>VLOOKUP(C75,Спецтехника!$B$16:$J$104,7,0)</f>
        <v>0</v>
      </c>
      <c r="R75" s="242"/>
      <c r="S75" s="122"/>
      <c r="T75" s="94"/>
      <c r="U75" s="94"/>
      <c r="V75" s="98"/>
      <c r="W75" s="165">
        <f>VLOOKUP($C75,МНО!$B$16:$AB$104,16,0)</f>
        <v>8171</v>
      </c>
      <c r="X75" s="168">
        <f>VLOOKUP($C75,МНО!$B$16:$AB$104,8,0)</f>
        <v>2585</v>
      </c>
      <c r="Y75" s="168">
        <f>VLOOKUP($C75,МНО!$B$16:$AB$104,11,0)</f>
        <v>5586</v>
      </c>
      <c r="Z75" s="174">
        <f>VLOOKUP($C75,МНО!$B$16:$AB$104,17,0)</f>
        <v>0.68363725370211725</v>
      </c>
      <c r="AA75" s="245"/>
      <c r="AB75" s="95">
        <f>VLOOKUP($C75,МНО!$B$16:$AB$104,13,0)</f>
        <v>3.7033180290623373</v>
      </c>
      <c r="AC75" s="154">
        <f>VLOOKUP($C75,МНО!$B$16:$AB$104,18,0)</f>
        <v>0.45833333333333331</v>
      </c>
      <c r="AD75" s="165">
        <f>VLOOKUP($C75,Контейнеры!$B$16:$AB$104,16,0)</f>
        <v>10611</v>
      </c>
      <c r="AE75" s="168">
        <f>VLOOKUP($C75,Контейнеры!$B$16:$AB$104,8,0)</f>
        <v>4867</v>
      </c>
      <c r="AF75" s="168">
        <f>VLOOKUP($C75,Контейнеры!$B$16:$AB$104,11,0)</f>
        <v>5744</v>
      </c>
      <c r="AG75" s="174">
        <f>VLOOKUP($C75,Контейнеры!$B$16:$AB$104,17,0)</f>
        <v>0.54132504005277537</v>
      </c>
      <c r="AH75" s="245"/>
      <c r="AI75" s="95">
        <f>VLOOKUP($C75,Контейнеры!$B$16:$AB$104,13,0)</f>
        <v>9.2147488995124718</v>
      </c>
      <c r="AJ75" s="154">
        <f>VLOOKUP($C75,Контейнеры!$B$16:$AB$104,18,0)</f>
        <v>0.47725044126299276</v>
      </c>
      <c r="AK75" s="135"/>
      <c r="AL75" s="94"/>
      <c r="AM75" s="94"/>
      <c r="AN75" s="116"/>
      <c r="AO75" s="79">
        <f>VLOOKUP($C75,Обработка!$B$16:$L$104,6,0)</f>
        <v>0</v>
      </c>
      <c r="AP75" s="75">
        <f t="shared" ref="AP75:AP99" si="23">AO75-$AO$10</f>
        <v>-0.54300000000000004</v>
      </c>
      <c r="AQ75" s="74">
        <f>VLOOKUP($C75,Обработка!$B$16:$L$104,7,0)</f>
        <v>0.6</v>
      </c>
      <c r="AR75" s="179">
        <f t="shared" ref="AR75:AR99" si="24">AQ75-$AQ$10</f>
        <v>-0.20700000000000007</v>
      </c>
      <c r="AS75" s="180">
        <f>VLOOKUP($C75,Утилизация!$B$16:$L$104,6,0)</f>
        <v>0</v>
      </c>
      <c r="AT75" s="76">
        <f t="shared" ref="AT75:AT99" si="25">AS75-$AS$10</f>
        <v>-0.13900000000000001</v>
      </c>
      <c r="AU75" s="75">
        <f>VLOOKUP($C75,Утилизация!$B$16:$L$104,7,0)</f>
        <v>0.35</v>
      </c>
      <c r="AV75" s="185">
        <f t="shared" ref="AV75:AV99" si="26">AU75-$AU$10</f>
        <v>6.4000000000000001E-2</v>
      </c>
      <c r="AW75" s="162" t="str">
        <f>VLOOKUP(C75,Захоронение!$B$16:$Q$104,16,0)</f>
        <v>765 приказ</v>
      </c>
      <c r="AX75" s="135"/>
      <c r="AY75" s="94"/>
      <c r="AZ75" s="94"/>
      <c r="BA75" s="98"/>
      <c r="BB75" s="127" t="str">
        <f>VLOOKUP(C75,'ДК ИП'!$B$16:$S$104,5,0)</f>
        <v>среднее</v>
      </c>
      <c r="BC75" s="288">
        <f>VLOOKUP(C75,Радар!$B$16:$G$104,6,0)</f>
        <v>0.73271169593411278</v>
      </c>
      <c r="BD75" s="98"/>
      <c r="BF75" s="293">
        <f t="shared" ref="BF75:BF99" si="27">(BU75+BV75+BW75+BX75+BY75*4+BZ75)/12</f>
        <v>1.1666666666666667</v>
      </c>
      <c r="BI75" s="8">
        <f t="shared" ref="BI75:BI99" si="28">IF(CB75&gt;=1.3,2,IF(CB75&gt;=0.8,1,0))</f>
        <v>2</v>
      </c>
      <c r="BJ75" s="8">
        <f>VLOOKUP(C75,Штаб!$B$16:$C$104,2)</f>
        <v>0</v>
      </c>
      <c r="BK75" s="8">
        <f>VLOOKUP(C75,'РО - регионы'!$B$16:$C$104,2)</f>
        <v>2</v>
      </c>
      <c r="BL75" s="8">
        <f>VLOOKUP(C75,'РО - регионы'!$B$16:$L$104,11)</f>
        <v>2</v>
      </c>
      <c r="BM75" s="8">
        <f>VLOOKUP(C75,Спецтехника!$B$16:$C$104,2)</f>
        <v>0</v>
      </c>
      <c r="BN75" s="8">
        <f>VLOOKUP($C75,МНО!$B$16:$AB$104,6,0)</f>
        <v>2</v>
      </c>
      <c r="BO75" s="8">
        <f>VLOOKUP($C75,МНО!$B$16:$AB$104,4,0)</f>
        <v>1</v>
      </c>
      <c r="BP75" s="8">
        <f>VLOOKUP($C75,МНО!$B$16:$AB$104,5,0)</f>
        <v>2</v>
      </c>
      <c r="BQ75" s="8">
        <f>VLOOKUP($C75,Контейнеры!$B$16:$G$104,6,0)</f>
        <v>2</v>
      </c>
      <c r="BR75" s="8">
        <f>VLOOKUP($C75,Контейнеры!$B$16:$G$104,4,0)</f>
        <v>0</v>
      </c>
      <c r="BS75" s="8">
        <f>VLOOKUP($C75,Контейнеры!$B$16:$G$104,5,0)</f>
        <v>2</v>
      </c>
      <c r="BT75" s="8">
        <f>VLOOKUP($C75,'ДК МНО'!$B$16:$C$104,2,0)</f>
        <v>2</v>
      </c>
      <c r="BU75" s="8">
        <f>VLOOKUP($C75,Обработка!$B$16:$F$104,5,0)</f>
        <v>1</v>
      </c>
      <c r="BV75" s="8">
        <f>VLOOKUP($C75,Обработка!$B$16:$F$104,4,0)</f>
        <v>2</v>
      </c>
      <c r="BW75" s="8">
        <f>VLOOKUP($C75,Утилизация!$B$16:$F$104,5,0)</f>
        <v>0</v>
      </c>
      <c r="BX75" s="8">
        <f>VLOOKUP($C75,Утилизация!$B$16:$F$104,4,0)</f>
        <v>2</v>
      </c>
      <c r="BY75" s="8">
        <f>VLOOKUP($C75,Захоронение!$B$16:$C$104,2,0)</f>
        <v>2</v>
      </c>
      <c r="BZ75" s="8">
        <f>VLOOKUP($C75,'ДК ИП'!$B$16:$C$104,2,0)</f>
        <v>1</v>
      </c>
      <c r="CA75" s="8">
        <f>VLOOKUP(C75,Радар!$B$16:$G$104,2,0)</f>
        <v>2</v>
      </c>
      <c r="CB75" s="8">
        <f t="shared" ref="CB75:CB99" si="29">SUMPRODUCT(BJ75:BZ75,$BJ$5:$BZ$5)</f>
        <v>1.5</v>
      </c>
    </row>
    <row r="76" spans="1:80" ht="15.6" thickBot="1">
      <c r="A76" s="9" t="s">
        <v>656</v>
      </c>
      <c r="B76" s="122">
        <f t="shared" si="22"/>
        <v>66</v>
      </c>
      <c r="C76" s="202" t="s">
        <v>68</v>
      </c>
      <c r="D76" s="277" t="str">
        <f>VLOOKUP($C76,Штаб!$B$16:$J$104,6,0)</f>
        <v>✔️</v>
      </c>
      <c r="E76" s="285" t="str">
        <f>VLOOKUP($C76,Штаб!$B$16:$J$104,7,0)</f>
        <v/>
      </c>
      <c r="F76" s="285" t="str">
        <f>VLOOKUP($C76,Штаб!$B$16:$J$104,8,0)</f>
        <v/>
      </c>
      <c r="G76" s="286" t="str">
        <f>VLOOKUP($C76,Штаб!$B$16:$J$104,9,0)</f>
        <v/>
      </c>
      <c r="H76" s="278" t="str">
        <f>VLOOKUP(C76,'РО - регионы'!$B$16:$I$104,8,0)</f>
        <v>0 / 2 / 6 из 8</v>
      </c>
      <c r="I76" s="237"/>
      <c r="J76" s="122"/>
      <c r="K76" s="94"/>
      <c r="L76" s="94"/>
      <c r="M76" s="98"/>
      <c r="N76" s="164">
        <f>VLOOKUP(C76,Спецтехника!$B$16:$J$104,4,0)</f>
        <v>761</v>
      </c>
      <c r="O76" s="167">
        <f>VLOOKUP(C76,Спецтехника!$B$16:$J$104,5,0)</f>
        <v>689</v>
      </c>
      <c r="P76" s="167">
        <f>VLOOKUP(C76,Спецтехника!$B$16:$J$104,6,0)</f>
        <v>72</v>
      </c>
      <c r="Q76" s="170">
        <f>VLOOKUP(C76,Спецтехника!$B$16:$J$104,7,0)</f>
        <v>9.4612352168199743E-2</v>
      </c>
      <c r="R76" s="242"/>
      <c r="S76" s="122"/>
      <c r="T76" s="94"/>
      <c r="U76" s="94"/>
      <c r="V76" s="98"/>
      <c r="W76" s="163">
        <f>VLOOKUP($C76,МНО!$B$16:$AB$104,16,0)</f>
        <v>24128</v>
      </c>
      <c r="X76" s="166">
        <f>VLOOKUP($C76,МНО!$B$16:$AB$104,8,0)</f>
        <v>21719</v>
      </c>
      <c r="Y76" s="166">
        <f>VLOOKUP($C76,МНО!$B$16:$AB$104,11,0)</f>
        <v>2409</v>
      </c>
      <c r="Z76" s="173">
        <f>VLOOKUP($C76,МНО!$B$16:$AB$104,17,0)</f>
        <v>9.9842506631299732E-2</v>
      </c>
      <c r="AA76" s="245"/>
      <c r="AB76" s="95">
        <f>VLOOKUP($C76,МНО!$B$16:$AB$104,13,0)</f>
        <v>4.9078655408597864</v>
      </c>
      <c r="AC76" s="154">
        <f>VLOOKUP($C76,МНО!$B$16:$AB$104,18,0)</f>
        <v>0.87806751566606023</v>
      </c>
      <c r="AD76" s="163">
        <f>VLOOKUP($C76,Контейнеры!$B$16:$AB$104,16,0)</f>
        <v>48471</v>
      </c>
      <c r="AE76" s="166">
        <f>VLOOKUP($C76,Контейнеры!$B$16:$AB$104,8,0)</f>
        <v>44330</v>
      </c>
      <c r="AF76" s="166">
        <f>VLOOKUP($C76,Контейнеры!$B$16:$AB$104,11,0)</f>
        <v>4141</v>
      </c>
      <c r="AG76" s="173">
        <f>VLOOKUP($C76,Контейнеры!$B$16:$AB$104,17,0)</f>
        <v>8.5432526665428818E-2</v>
      </c>
      <c r="AH76" s="245"/>
      <c r="AI76" s="95">
        <f>VLOOKUP($C76,Контейнеры!$B$16:$AB$104,13,0)</f>
        <v>10.675450413459977</v>
      </c>
      <c r="AJ76" s="154">
        <f>VLOOKUP($C76,Контейнеры!$B$16:$AB$104,18,0)</f>
        <v>0.85655215055841094</v>
      </c>
      <c r="AK76" s="135"/>
      <c r="AL76" s="94"/>
      <c r="AM76" s="94"/>
      <c r="AN76" s="116"/>
      <c r="AO76" s="78">
        <f>VLOOKUP($C76,Обработка!$B$16:$L$104,6,0)</f>
        <v>0.63</v>
      </c>
      <c r="AP76" s="75">
        <f t="shared" si="23"/>
        <v>8.6999999999999966E-2</v>
      </c>
      <c r="AQ76" s="74">
        <f>VLOOKUP($C76,Обработка!$B$16:$L$104,7,0)</f>
        <v>0.76500000000000001</v>
      </c>
      <c r="AR76" s="179">
        <f t="shared" si="24"/>
        <v>-4.2000000000000037E-2</v>
      </c>
      <c r="AS76" s="181">
        <f>VLOOKUP($C76,Утилизация!$B$16:$L$104,6,0)</f>
        <v>0.1</v>
      </c>
      <c r="AT76" s="74">
        <f t="shared" si="25"/>
        <v>-3.9000000000000007E-2</v>
      </c>
      <c r="AU76" s="74">
        <f>VLOOKUP($C76,Утилизация!$B$16:$L$104,7,0)</f>
        <v>0.17800000000000002</v>
      </c>
      <c r="AV76" s="186">
        <f t="shared" si="26"/>
        <v>-0.10799999999999996</v>
      </c>
      <c r="AW76" s="162" t="str">
        <f>VLOOKUP(C76,Захоронение!$B$16:$Q$104,16,0)</f>
        <v>765 приказ</v>
      </c>
      <c r="AX76" s="135"/>
      <c r="AY76" s="94"/>
      <c r="AZ76" s="94"/>
      <c r="BA76" s="98"/>
      <c r="BB76" s="127" t="str">
        <f>VLOOKUP(C76,'ДК ИП'!$B$16:$S$104,5,0)</f>
        <v>среднее</v>
      </c>
      <c r="BC76" s="290">
        <f>VLOOKUP(C76,Радар!$B$16:$G$104,6,0)</f>
        <v>2.5767498178213794E-2</v>
      </c>
      <c r="BD76" s="98"/>
      <c r="BF76" s="293">
        <f t="shared" si="27"/>
        <v>1</v>
      </c>
      <c r="BI76" s="8">
        <f t="shared" si="28"/>
        <v>1</v>
      </c>
      <c r="BJ76" s="8">
        <f>VLOOKUP(C76,Штаб!$B$16:$C$104,2)</f>
        <v>0</v>
      </c>
      <c r="BK76" s="8">
        <f>VLOOKUP(C76,'РО - регионы'!$B$16:$C$104,2)</f>
        <v>1</v>
      </c>
      <c r="BL76" s="8">
        <f>VLOOKUP(C76,'РО - регионы'!$B$16:$L$104,11)</f>
        <v>2</v>
      </c>
      <c r="BM76" s="8">
        <f>VLOOKUP(C76,Спецтехника!$B$16:$C$104,2)</f>
        <v>1</v>
      </c>
      <c r="BN76" s="8">
        <f>VLOOKUP($C76,МНО!$B$16:$AB$104,6,0)</f>
        <v>0</v>
      </c>
      <c r="BO76" s="8">
        <f>VLOOKUP($C76,МНО!$B$16:$AB$104,4,0)</f>
        <v>1</v>
      </c>
      <c r="BP76" s="8">
        <f>VLOOKUP($C76,МНО!$B$16:$AB$104,5,0)</f>
        <v>0</v>
      </c>
      <c r="BQ76" s="8">
        <f>VLOOKUP($C76,Контейнеры!$B$16:$G$104,6,0)</f>
        <v>0</v>
      </c>
      <c r="BR76" s="8">
        <f>VLOOKUP($C76,Контейнеры!$B$16:$G$104,4,0)</f>
        <v>0</v>
      </c>
      <c r="BS76" s="8">
        <f>VLOOKUP($C76,Контейнеры!$B$16:$G$104,5,0)</f>
        <v>1</v>
      </c>
      <c r="BT76" s="8">
        <f>VLOOKUP($C76,'ДК МНО'!$B$16:$C$104,2,0)</f>
        <v>2</v>
      </c>
      <c r="BU76" s="8">
        <f>VLOOKUP($C76,Обработка!$B$16:$F$104,5,0)</f>
        <v>1</v>
      </c>
      <c r="BV76" s="8">
        <f>VLOOKUP($C76,Обработка!$B$16:$F$104,4,0)</f>
        <v>0</v>
      </c>
      <c r="BW76" s="8">
        <f>VLOOKUP($C76,Утилизация!$B$16:$F$104,5,0)</f>
        <v>1</v>
      </c>
      <c r="BX76" s="8">
        <f>VLOOKUP($C76,Утилизация!$B$16:$F$104,4,0)</f>
        <v>1</v>
      </c>
      <c r="BY76" s="8">
        <f>VLOOKUP($C76,Захоронение!$B$16:$C$104,2,0)</f>
        <v>2</v>
      </c>
      <c r="BZ76" s="8">
        <f>VLOOKUP($C76,'ДК ИП'!$B$16:$C$104,2,0)</f>
        <v>1</v>
      </c>
      <c r="CA76" s="8">
        <f>VLOOKUP(C76,Радар!$B$16:$G$104,2,0)</f>
        <v>1</v>
      </c>
      <c r="CB76" s="8">
        <f t="shared" si="29"/>
        <v>1.05</v>
      </c>
    </row>
    <row r="77" spans="1:80" ht="15.6" thickBot="1">
      <c r="A77" s="9" t="s">
        <v>657</v>
      </c>
      <c r="B77" s="121">
        <f t="shared" si="22"/>
        <v>67</v>
      </c>
      <c r="C77" s="202" t="s">
        <v>69</v>
      </c>
      <c r="D77" s="277" t="str">
        <f>VLOOKUP($C77,Штаб!$B$16:$J$104,6,0)</f>
        <v/>
      </c>
      <c r="E77" s="285" t="str">
        <f>VLOOKUP($C77,Штаб!$B$16:$J$104,7,0)</f>
        <v/>
      </c>
      <c r="F77" s="285" t="str">
        <f>VLOOKUP($C77,Штаб!$B$16:$J$104,8,0)</f>
        <v/>
      </c>
      <c r="G77" s="286" t="str">
        <f>VLOOKUP($C77,Штаб!$B$16:$J$104,9,0)</f>
        <v>✔️</v>
      </c>
      <c r="H77" s="278" t="str">
        <f>VLOOKUP(C77,'РО - регионы'!$B$16:$I$104,8,0)</f>
        <v>0 / 1 / 0 из 1</v>
      </c>
      <c r="I77" s="237"/>
      <c r="J77" s="122"/>
      <c r="K77" s="94"/>
      <c r="L77" s="94"/>
      <c r="M77" s="98"/>
      <c r="N77" s="164">
        <f>VLOOKUP(C77,Спецтехника!$B$16:$J$104,4,0)</f>
        <v>222</v>
      </c>
      <c r="O77" s="167">
        <f>VLOOKUP(C77,Спецтехника!$B$16:$J$104,5,0)</f>
        <v>186</v>
      </c>
      <c r="P77" s="167">
        <f>VLOOKUP(C77,Спецтехника!$B$16:$J$104,6,0)</f>
        <v>36</v>
      </c>
      <c r="Q77" s="170">
        <f>VLOOKUP(C77,Спецтехника!$B$16:$J$104,7,0)</f>
        <v>0.16216216216216217</v>
      </c>
      <c r="R77" s="242"/>
      <c r="S77" s="122"/>
      <c r="T77" s="94"/>
      <c r="U77" s="94"/>
      <c r="V77" s="98"/>
      <c r="W77" s="163">
        <f>VLOOKUP($C77,МНО!$B$16:$AB$104,16,0)</f>
        <v>15887</v>
      </c>
      <c r="X77" s="166">
        <f>VLOOKUP($C77,МНО!$B$16:$AB$104,8,0)</f>
        <v>13511</v>
      </c>
      <c r="Y77" s="166">
        <f>VLOOKUP($C77,МНО!$B$16:$AB$104,11,0)</f>
        <v>2376</v>
      </c>
      <c r="Z77" s="173">
        <f>VLOOKUP($C77,МНО!$B$16:$AB$104,17,0)</f>
        <v>0.14955624095172154</v>
      </c>
      <c r="AA77" s="245"/>
      <c r="AB77" s="95">
        <f>VLOOKUP($C77,МНО!$B$16:$AB$104,13,0)</f>
        <v>12.053803670380907</v>
      </c>
      <c r="AC77" s="154">
        <f>VLOOKUP($C77,МНО!$B$16:$AB$104,18,0)</f>
        <v>1</v>
      </c>
      <c r="AD77" s="164">
        <f>VLOOKUP($C77,Контейнеры!$B$16:$AB$104,16,0)</f>
        <v>32730</v>
      </c>
      <c r="AE77" s="167">
        <f>VLOOKUP($C77,Контейнеры!$B$16:$AB$104,8,0)</f>
        <v>25841</v>
      </c>
      <c r="AF77" s="167">
        <f>VLOOKUP($C77,Контейнеры!$B$16:$AB$104,11,0)</f>
        <v>6889</v>
      </c>
      <c r="AG77" s="172">
        <f>VLOOKUP($C77,Контейнеры!$B$16:$AB$104,17,0)</f>
        <v>0.21047968224870151</v>
      </c>
      <c r="AH77" s="245"/>
      <c r="AI77" s="95">
        <f>VLOOKUP($C77,Контейнеры!$B$16:$AB$104,13,0)</f>
        <v>23.877527071392336</v>
      </c>
      <c r="AJ77" s="154">
        <f>VLOOKUP($C77,Контейнеры!$B$16:$AB$104,18,0)</f>
        <v>1</v>
      </c>
      <c r="AK77" s="135"/>
      <c r="AL77" s="94"/>
      <c r="AM77" s="94"/>
      <c r="AN77" s="116"/>
      <c r="AO77" s="78">
        <f>VLOOKUP($C77,Обработка!$B$16:$L$104,6,0)</f>
        <v>0.82299999999999995</v>
      </c>
      <c r="AP77" s="75">
        <f t="shared" si="23"/>
        <v>0.27999999999999992</v>
      </c>
      <c r="AQ77" s="75">
        <f>VLOOKUP($C77,Обработка!$B$16:$L$104,7,0)</f>
        <v>1</v>
      </c>
      <c r="AR77" s="178">
        <f t="shared" si="24"/>
        <v>0.19299999999999995</v>
      </c>
      <c r="AS77" s="180">
        <f>VLOOKUP($C77,Утилизация!$B$16:$L$104,6,0)</f>
        <v>6.2E-2</v>
      </c>
      <c r="AT77" s="76">
        <f t="shared" si="25"/>
        <v>-7.7000000000000013E-2</v>
      </c>
      <c r="AU77" s="76">
        <f>VLOOKUP($C77,Утилизация!$B$16:$L$104,7,0)</f>
        <v>0.10300000000000001</v>
      </c>
      <c r="AV77" s="184">
        <f t="shared" si="26"/>
        <v>-0.18299999999999997</v>
      </c>
      <c r="AW77" s="162" t="str">
        <f>VLOOKUP(C77,Захоронение!$B$16:$Q$104,16,0)</f>
        <v>свалки</v>
      </c>
      <c r="AX77" s="135"/>
      <c r="AY77" s="94"/>
      <c r="AZ77" s="94"/>
      <c r="BA77" s="98"/>
      <c r="BB77" s="127" t="str">
        <f>VLOOKUP(C77,'ДК ИП'!$B$16:$S$104,5,0)</f>
        <v>небольшое</v>
      </c>
      <c r="BC77" s="288">
        <f>VLOOKUP(C77,Радар!$B$16:$G$104,6,0)</f>
        <v>0.51744960179481092</v>
      </c>
      <c r="BD77" s="98"/>
      <c r="BF77" s="293">
        <f t="shared" si="27"/>
        <v>1</v>
      </c>
      <c r="BI77" s="8">
        <f t="shared" si="28"/>
        <v>1</v>
      </c>
      <c r="BJ77" s="8">
        <f>VLOOKUP(C77,Штаб!$B$16:$C$104,2)</f>
        <v>2</v>
      </c>
      <c r="BK77" s="8">
        <f>VLOOKUP(C77,'РО - регионы'!$B$16:$C$104,2)</f>
        <v>1</v>
      </c>
      <c r="BL77" s="8">
        <f>VLOOKUP(C77,'РО - регионы'!$B$16:$L$104,11)</f>
        <v>2</v>
      </c>
      <c r="BM77" s="8">
        <f>VLOOKUP(C77,Спецтехника!$B$16:$C$104,2)</f>
        <v>1</v>
      </c>
      <c r="BN77" s="8">
        <f>VLOOKUP($C77,МНО!$B$16:$AB$104,6,0)</f>
        <v>0</v>
      </c>
      <c r="BO77" s="8">
        <f>VLOOKUP($C77,МНО!$B$16:$AB$104,4,0)</f>
        <v>0</v>
      </c>
      <c r="BP77" s="8">
        <f>VLOOKUP($C77,МНО!$B$16:$AB$104,5,0)</f>
        <v>0</v>
      </c>
      <c r="BQ77" s="8">
        <f>VLOOKUP($C77,Контейнеры!$B$16:$G$104,6,0)</f>
        <v>1</v>
      </c>
      <c r="BR77" s="8">
        <f>VLOOKUP($C77,Контейнеры!$B$16:$G$104,4,0)</f>
        <v>0</v>
      </c>
      <c r="BS77" s="8">
        <f>VLOOKUP($C77,Контейнеры!$B$16:$G$104,5,0)</f>
        <v>0</v>
      </c>
      <c r="BT77" s="8">
        <f>VLOOKUP($C77,'ДК МНО'!$B$16:$C$104,2,0)</f>
        <v>2</v>
      </c>
      <c r="BU77" s="8">
        <f>VLOOKUP($C77,Обработка!$B$16:$F$104,5,0)</f>
        <v>0</v>
      </c>
      <c r="BV77" s="8">
        <f>VLOOKUP($C77,Обработка!$B$16:$F$104,4,0)</f>
        <v>0</v>
      </c>
      <c r="BW77" s="8">
        <f>VLOOKUP($C77,Утилизация!$B$16:$F$104,5,0)</f>
        <v>2</v>
      </c>
      <c r="BX77" s="8">
        <f>VLOOKUP($C77,Утилизация!$B$16:$F$104,4,0)</f>
        <v>2</v>
      </c>
      <c r="BY77" s="8">
        <f>VLOOKUP($C77,Захоронение!$B$16:$C$104,2,0)</f>
        <v>2</v>
      </c>
      <c r="BZ77" s="8">
        <f>VLOOKUP($C77,'ДК ИП'!$B$16:$C$104,2,0)</f>
        <v>0</v>
      </c>
      <c r="CA77" s="8">
        <f>VLOOKUP(C77,Радар!$B$16:$G$104,2,0)</f>
        <v>2</v>
      </c>
      <c r="CB77" s="8">
        <f t="shared" si="29"/>
        <v>1</v>
      </c>
    </row>
    <row r="78" spans="1:80" ht="15.6" thickBot="1">
      <c r="A78" s="9" t="s">
        <v>659</v>
      </c>
      <c r="B78" s="122">
        <f t="shared" si="22"/>
        <v>68</v>
      </c>
      <c r="C78" s="202" t="s">
        <v>70</v>
      </c>
      <c r="D78" s="277" t="str">
        <f>VLOOKUP($C78,Штаб!$B$16:$J$104,6,0)</f>
        <v/>
      </c>
      <c r="E78" s="285" t="str">
        <f>VLOOKUP($C78,Штаб!$B$16:$J$104,7,0)</f>
        <v>✔️</v>
      </c>
      <c r="F78" s="285" t="str">
        <f>VLOOKUP($C78,Штаб!$B$16:$J$104,8,0)</f>
        <v/>
      </c>
      <c r="G78" s="286" t="str">
        <f>VLOOKUP($C78,Штаб!$B$16:$J$104,9,0)</f>
        <v/>
      </c>
      <c r="H78" s="279" t="str">
        <f>VLOOKUP(C78,'РО - регионы'!$B$16:$I$104,8,0)</f>
        <v>0 / 0 / 1 из 1</v>
      </c>
      <c r="I78" s="237"/>
      <c r="J78" s="122"/>
      <c r="K78" s="94"/>
      <c r="L78" s="94"/>
      <c r="M78" s="98"/>
      <c r="N78" s="163">
        <f>VLOOKUP(C78,Спецтехника!$B$16:$J$104,4,0)</f>
        <v>756</v>
      </c>
      <c r="O78" s="166">
        <f>VLOOKUP(C78,Спецтехника!$B$16:$J$104,5,0)</f>
        <v>739</v>
      </c>
      <c r="P78" s="166">
        <f>VLOOKUP(C78,Спецтехника!$B$16:$J$104,6,0)</f>
        <v>17</v>
      </c>
      <c r="Q78" s="169">
        <f>VLOOKUP(C78,Спецтехника!$B$16:$J$104,7,0)</f>
        <v>2.2486772486772486E-2</v>
      </c>
      <c r="R78" s="242"/>
      <c r="S78" s="122"/>
      <c r="T78" s="94"/>
      <c r="U78" s="94"/>
      <c r="V78" s="98"/>
      <c r="W78" s="163">
        <f>VLOOKUP($C78,МНО!$B$16:$AB$104,16,0)</f>
        <v>22131</v>
      </c>
      <c r="X78" s="166">
        <f>VLOOKUP($C78,МНО!$B$16:$AB$104,8,0)</f>
        <v>18901</v>
      </c>
      <c r="Y78" s="166">
        <f>VLOOKUP($C78,МНО!$B$16:$AB$104,11,0)</f>
        <v>3230</v>
      </c>
      <c r="Z78" s="173">
        <f>VLOOKUP($C78,МНО!$B$16:$AB$104,17,0)</f>
        <v>0.14594912114228908</v>
      </c>
      <c r="AA78" s="245"/>
      <c r="AB78" s="95">
        <f>VLOOKUP($C78,МНО!$B$16:$AB$104,13,0)</f>
        <v>5.8695420037201362</v>
      </c>
      <c r="AC78" s="154">
        <f>VLOOKUP($C78,МНО!$B$16:$AB$104,18,0)</f>
        <v>0.87125472480870292</v>
      </c>
      <c r="AD78" s="165">
        <f>VLOOKUP($C78,Контейнеры!$B$16:$AB$104,16,0)</f>
        <v>43181</v>
      </c>
      <c r="AE78" s="168">
        <f>VLOOKUP($C78,Контейнеры!$B$16:$AB$104,8,0)</f>
        <v>43181</v>
      </c>
      <c r="AF78" s="168">
        <f>VLOOKUP($C78,Контейнеры!$B$16:$AB$104,11,0)</f>
        <v>0</v>
      </c>
      <c r="AG78" s="174">
        <f>VLOOKUP($C78,Контейнеры!$B$16:$AB$104,17,0)</f>
        <v>0</v>
      </c>
      <c r="AH78" s="245"/>
      <c r="AI78" s="95">
        <f>VLOOKUP($C78,Контейнеры!$B$16:$AB$104,13,0)</f>
        <v>13.805364848991733</v>
      </c>
      <c r="AJ78" s="154">
        <f>VLOOKUP($C78,Контейнеры!$B$16:$AB$104,18,0)</f>
        <v>0.78192452556859338</v>
      </c>
      <c r="AK78" s="135"/>
      <c r="AL78" s="94"/>
      <c r="AM78" s="94"/>
      <c r="AN78" s="116"/>
      <c r="AO78" s="80">
        <f>VLOOKUP($C78,Обработка!$B$16:$L$104,6,0)</f>
        <v>0.44400000000000001</v>
      </c>
      <c r="AP78" s="75">
        <f t="shared" si="23"/>
        <v>-9.9000000000000032E-2</v>
      </c>
      <c r="AQ78" s="75">
        <f>VLOOKUP($C78,Обработка!$B$16:$L$104,7,0)</f>
        <v>0.82099999999999995</v>
      </c>
      <c r="AR78" s="178">
        <f t="shared" si="24"/>
        <v>1.3999999999999901E-2</v>
      </c>
      <c r="AS78" s="180">
        <f>VLOOKUP($C78,Утилизация!$B$16:$L$104,6,0)</f>
        <v>3.3000000000000002E-2</v>
      </c>
      <c r="AT78" s="76">
        <f t="shared" si="25"/>
        <v>-0.10600000000000001</v>
      </c>
      <c r="AU78" s="74">
        <f>VLOOKUP($C78,Утилизация!$B$16:$L$104,7,0)</f>
        <v>0.161</v>
      </c>
      <c r="AV78" s="186">
        <f t="shared" si="26"/>
        <v>-0.12499999999999997</v>
      </c>
      <c r="AW78" s="161" t="str">
        <f>VLOOKUP(C78,Захоронение!$B$16:$Q$104,16,0)</f>
        <v/>
      </c>
      <c r="AX78" s="135"/>
      <c r="AY78" s="94"/>
      <c r="AZ78" s="94"/>
      <c r="BA78" s="98"/>
      <c r="BB78" s="127" t="str">
        <f>VLOOKUP(C78,'ДК ИП'!$B$16:$S$104,5,0)</f>
        <v>нет</v>
      </c>
      <c r="BC78" s="289">
        <f>VLOOKUP(C78,Радар!$B$16:$G$104,6,0)</f>
        <v>3.1970924362547727E-4</v>
      </c>
      <c r="BD78" s="98"/>
      <c r="BF78" s="296">
        <f t="shared" si="27"/>
        <v>0.33333333333333331</v>
      </c>
      <c r="BI78" s="8">
        <f t="shared" si="28"/>
        <v>0</v>
      </c>
      <c r="BJ78" s="8">
        <f>VLOOKUP(C78,Штаб!$B$16:$C$104,2)</f>
        <v>1</v>
      </c>
      <c r="BK78" s="8">
        <f>VLOOKUP(C78,'РО - регионы'!$B$16:$C$104,2)</f>
        <v>0</v>
      </c>
      <c r="BL78" s="8">
        <f>VLOOKUP(C78,'РО - регионы'!$B$16:$L$104,11)</f>
        <v>0</v>
      </c>
      <c r="BM78" s="8">
        <f>VLOOKUP(C78,Спецтехника!$B$16:$C$104,2)</f>
        <v>0</v>
      </c>
      <c r="BN78" s="8">
        <f>VLOOKUP($C78,МНО!$B$16:$AB$104,6,0)</f>
        <v>0</v>
      </c>
      <c r="BO78" s="8">
        <f>VLOOKUP($C78,МНО!$B$16:$AB$104,4,0)</f>
        <v>1</v>
      </c>
      <c r="BP78" s="8">
        <f>VLOOKUP($C78,МНО!$B$16:$AB$104,5,0)</f>
        <v>0</v>
      </c>
      <c r="BQ78" s="8">
        <f>VLOOKUP($C78,Контейнеры!$B$16:$G$104,6,0)</f>
        <v>2</v>
      </c>
      <c r="BR78" s="8">
        <f>VLOOKUP($C78,Контейнеры!$B$16:$G$104,4,0)</f>
        <v>0</v>
      </c>
      <c r="BS78" s="8">
        <f>VLOOKUP($C78,Контейнеры!$B$16:$G$104,5,0)</f>
        <v>2</v>
      </c>
      <c r="BT78" s="8">
        <f>VLOOKUP($C78,'ДК МНО'!$B$16:$C$104,2,0)</f>
        <v>2</v>
      </c>
      <c r="BU78" s="8">
        <f>VLOOKUP($C78,Обработка!$B$16:$F$104,5,0)</f>
        <v>0</v>
      </c>
      <c r="BV78" s="8">
        <f>VLOOKUP($C78,Обработка!$B$16:$F$104,4,0)</f>
        <v>1</v>
      </c>
      <c r="BW78" s="8">
        <f>VLOOKUP($C78,Утилизация!$B$16:$F$104,5,0)</f>
        <v>1</v>
      </c>
      <c r="BX78" s="8">
        <f>VLOOKUP($C78,Утилизация!$B$16:$F$104,4,0)</f>
        <v>2</v>
      </c>
      <c r="BY78" s="8">
        <f>VLOOKUP($C78,Захоронение!$B$16:$C$104,2,0)</f>
        <v>0</v>
      </c>
      <c r="BZ78" s="8">
        <f>VLOOKUP($C78,'ДК ИП'!$B$16:$C$104,2,0)</f>
        <v>0</v>
      </c>
      <c r="CA78" s="8">
        <f>VLOOKUP(C78,Радар!$B$16:$G$104,2,0)</f>
        <v>0</v>
      </c>
      <c r="CB78" s="8">
        <f t="shared" si="29"/>
        <v>0.35</v>
      </c>
    </row>
    <row r="79" spans="1:80" ht="15.6" thickBot="1">
      <c r="A79" s="9" t="s">
        <v>659</v>
      </c>
      <c r="B79" s="121">
        <f t="shared" si="22"/>
        <v>69</v>
      </c>
      <c r="C79" s="202" t="s">
        <v>71</v>
      </c>
      <c r="D79" s="277" t="str">
        <f>VLOOKUP($C79,Штаб!$B$16:$J$104,6,0)</f>
        <v/>
      </c>
      <c r="E79" s="285" t="str">
        <f>VLOOKUP($C79,Штаб!$B$16:$J$104,7,0)</f>
        <v/>
      </c>
      <c r="F79" s="285" t="str">
        <f>VLOOKUP($C79,Штаб!$B$16:$J$104,8,0)</f>
        <v/>
      </c>
      <c r="G79" s="286" t="str">
        <f>VLOOKUP($C79,Штаб!$B$16:$J$104,9,0)</f>
        <v>✔️</v>
      </c>
      <c r="H79" s="279" t="str">
        <f>VLOOKUP(C79,'РО - регионы'!$B$16:$I$104,8,0)</f>
        <v>0 / 0 / 2 из 2</v>
      </c>
      <c r="I79" s="237"/>
      <c r="J79" s="122"/>
      <c r="K79" s="94"/>
      <c r="L79" s="94"/>
      <c r="M79" s="98"/>
      <c r="N79" s="163">
        <f>VLOOKUP(C79,Спецтехника!$B$16:$J$104,4,0)</f>
        <v>313</v>
      </c>
      <c r="O79" s="166">
        <f>VLOOKUP(C79,Спецтехника!$B$16:$J$104,5,0)</f>
        <v>303</v>
      </c>
      <c r="P79" s="166">
        <f>VLOOKUP(C79,Спецтехника!$B$16:$J$104,6,0)</f>
        <v>10</v>
      </c>
      <c r="Q79" s="169">
        <f>VLOOKUP(C79,Спецтехника!$B$16:$J$104,7,0)</f>
        <v>3.1948881789137379E-2</v>
      </c>
      <c r="R79" s="242"/>
      <c r="S79" s="122"/>
      <c r="T79" s="94"/>
      <c r="U79" s="94"/>
      <c r="V79" s="98"/>
      <c r="W79" s="164">
        <f>VLOOKUP($C79,МНО!$B$16:$AB$104,16,0)</f>
        <v>15577</v>
      </c>
      <c r="X79" s="167">
        <f>VLOOKUP($C79,МНО!$B$16:$AB$104,8,0)</f>
        <v>12577</v>
      </c>
      <c r="Y79" s="167">
        <f>VLOOKUP($C79,МНО!$B$16:$AB$104,11,0)</f>
        <v>3000</v>
      </c>
      <c r="Z79" s="172">
        <f>VLOOKUP($C79,МНО!$B$16:$AB$104,17,0)</f>
        <v>0.1925916415227579</v>
      </c>
      <c r="AA79" s="245"/>
      <c r="AB79" s="95">
        <f>VLOOKUP($C79,МНО!$B$16:$AB$104,13,0)</f>
        <v>4.6898262299054609</v>
      </c>
      <c r="AC79" s="154">
        <f>VLOOKUP($C79,МНО!$B$16:$AB$104,18,0)</f>
        <v>0.64633331620329926</v>
      </c>
      <c r="AD79" s="164">
        <f>VLOOKUP($C79,Контейнеры!$B$16:$AB$104,16,0)</f>
        <v>32271</v>
      </c>
      <c r="AE79" s="167">
        <f>VLOOKUP($C79,Контейнеры!$B$16:$AB$104,8,0)</f>
        <v>25836</v>
      </c>
      <c r="AF79" s="167">
        <f>VLOOKUP($C79,Контейнеры!$B$16:$AB$104,11,0)</f>
        <v>6435</v>
      </c>
      <c r="AG79" s="172">
        <f>VLOOKUP($C79,Контейнеры!$B$16:$AB$104,17,0)</f>
        <v>0.1994050385795296</v>
      </c>
      <c r="AH79" s="245"/>
      <c r="AI79" s="95">
        <f>VLOOKUP($C79,Контейнеры!$B$16:$AB$104,13,0)</f>
        <v>10.831964104759297</v>
      </c>
      <c r="AJ79" s="154">
        <f>VLOOKUP($C79,Контейнеры!$B$16:$AB$104,18,0)</f>
        <v>0.81894256371243823</v>
      </c>
      <c r="AK79" s="135"/>
      <c r="AL79" s="94"/>
      <c r="AM79" s="94"/>
      <c r="AN79" s="116"/>
      <c r="AO79" s="78">
        <f>VLOOKUP($C79,Обработка!$B$16:$L$104,6,0)</f>
        <v>0.85199999999999998</v>
      </c>
      <c r="AP79" s="75">
        <f t="shared" si="23"/>
        <v>0.30899999999999994</v>
      </c>
      <c r="AQ79" s="75">
        <f>VLOOKUP($C79,Обработка!$B$16:$L$104,7,0)</f>
        <v>0.83099999999999996</v>
      </c>
      <c r="AR79" s="178">
        <f t="shared" si="24"/>
        <v>2.399999999999991E-2</v>
      </c>
      <c r="AS79" s="180">
        <f>VLOOKUP($C79,Утилизация!$B$16:$L$104,6,0)</f>
        <v>0.05</v>
      </c>
      <c r="AT79" s="76">
        <f t="shared" si="25"/>
        <v>-8.900000000000001E-2</v>
      </c>
      <c r="AU79" s="76">
        <f>VLOOKUP($C79,Утилизация!$B$16:$L$104,7,0)</f>
        <v>4.4999999999999998E-2</v>
      </c>
      <c r="AV79" s="184">
        <f t="shared" si="26"/>
        <v>-0.24099999999999999</v>
      </c>
      <c r="AW79" s="161" t="str">
        <f>VLOOKUP(C79,Захоронение!$B$16:$Q$104,16,0)</f>
        <v/>
      </c>
      <c r="AX79" s="135"/>
      <c r="AY79" s="94"/>
      <c r="AZ79" s="94"/>
      <c r="BA79" s="98"/>
      <c r="BB79" s="127" t="str">
        <f>VLOOKUP(C79,'ДК ИП'!$B$16:$S$104,5,0)</f>
        <v>существенное</v>
      </c>
      <c r="BC79" s="288">
        <f>VLOOKUP(C79,Радар!$B$16:$G$104,6,0)</f>
        <v>7.0854696303774625E-2</v>
      </c>
      <c r="BD79" s="98"/>
      <c r="BF79" s="294">
        <f t="shared" si="27"/>
        <v>0.5</v>
      </c>
      <c r="BI79" s="8">
        <f t="shared" si="28"/>
        <v>0</v>
      </c>
      <c r="BJ79" s="8">
        <f>VLOOKUP(C79,Штаб!$B$16:$C$104,2)</f>
        <v>2</v>
      </c>
      <c r="BK79" s="8">
        <f>VLOOKUP(C79,'РО - регионы'!$B$16:$C$104,2)</f>
        <v>0</v>
      </c>
      <c r="BL79" s="8">
        <f>VLOOKUP(C79,'РО - регионы'!$B$16:$L$104,11)</f>
        <v>0</v>
      </c>
      <c r="BM79" s="8">
        <f>VLOOKUP(C79,Спецтехника!$B$16:$C$104,2)</f>
        <v>0</v>
      </c>
      <c r="BN79" s="8">
        <f>VLOOKUP($C79,МНО!$B$16:$AB$104,6,0)</f>
        <v>1</v>
      </c>
      <c r="BO79" s="8">
        <f>VLOOKUP($C79,МНО!$B$16:$AB$104,4,0)</f>
        <v>1</v>
      </c>
      <c r="BP79" s="8">
        <f>VLOOKUP($C79,МНО!$B$16:$AB$104,5,0)</f>
        <v>2</v>
      </c>
      <c r="BQ79" s="8">
        <f>VLOOKUP($C79,Контейнеры!$B$16:$G$104,6,0)</f>
        <v>1</v>
      </c>
      <c r="BR79" s="8">
        <f>VLOOKUP($C79,Контейнеры!$B$16:$G$104,4,0)</f>
        <v>0</v>
      </c>
      <c r="BS79" s="8">
        <f>VLOOKUP($C79,Контейнеры!$B$16:$G$104,5,0)</f>
        <v>1</v>
      </c>
      <c r="BT79" s="8">
        <f>VLOOKUP($C79,'ДК МНО'!$B$16:$C$104,2,0)</f>
        <v>2</v>
      </c>
      <c r="BU79" s="8">
        <f>VLOOKUP($C79,Обработка!$B$16:$F$104,5,0)</f>
        <v>0</v>
      </c>
      <c r="BV79" s="8">
        <f>VLOOKUP($C79,Обработка!$B$16:$F$104,4,0)</f>
        <v>0</v>
      </c>
      <c r="BW79" s="8">
        <f>VLOOKUP($C79,Утилизация!$B$16:$F$104,5,0)</f>
        <v>2</v>
      </c>
      <c r="BX79" s="8">
        <f>VLOOKUP($C79,Утилизация!$B$16:$F$104,4,0)</f>
        <v>2</v>
      </c>
      <c r="BY79" s="8">
        <f>VLOOKUP($C79,Захоронение!$B$16:$C$104,2,0)</f>
        <v>0</v>
      </c>
      <c r="BZ79" s="8">
        <f>VLOOKUP($C79,'ДК ИП'!$B$16:$C$104,2,0)</f>
        <v>2</v>
      </c>
      <c r="CA79" s="8">
        <f>VLOOKUP(C79,Радар!$B$16:$G$104,2,0)</f>
        <v>2</v>
      </c>
      <c r="CB79" s="8">
        <f t="shared" si="29"/>
        <v>0.55000000000000004</v>
      </c>
    </row>
    <row r="80" spans="1:80" ht="15.6" thickBot="1">
      <c r="A80" s="9" t="s">
        <v>654</v>
      </c>
      <c r="B80" s="122">
        <f t="shared" si="22"/>
        <v>70</v>
      </c>
      <c r="C80" s="202" t="s">
        <v>72</v>
      </c>
      <c r="D80" s="277" t="str">
        <f>VLOOKUP($C80,Штаб!$B$16:$J$104,6,0)</f>
        <v>✔️</v>
      </c>
      <c r="E80" s="285" t="str">
        <f>VLOOKUP($C80,Штаб!$B$16:$J$104,7,0)</f>
        <v/>
      </c>
      <c r="F80" s="285" t="str">
        <f>VLOOKUP($C80,Штаб!$B$16:$J$104,8,0)</f>
        <v/>
      </c>
      <c r="G80" s="286" t="str">
        <f>VLOOKUP($C80,Штаб!$B$16:$J$104,9,0)</f>
        <v/>
      </c>
      <c r="H80" s="279" t="str">
        <f>VLOOKUP(C80,'РО - регионы'!$B$16:$I$104,8,0)</f>
        <v>0 / 0 / 1 из 1</v>
      </c>
      <c r="I80" s="237"/>
      <c r="J80" s="122"/>
      <c r="K80" s="94"/>
      <c r="L80" s="94"/>
      <c r="M80" s="98"/>
      <c r="N80" s="163">
        <f>VLOOKUP(C80,Спецтехника!$B$16:$J$104,4,0)</f>
        <v>164</v>
      </c>
      <c r="O80" s="166">
        <f>VLOOKUP(C80,Спецтехника!$B$16:$J$104,5,0)</f>
        <v>155</v>
      </c>
      <c r="P80" s="166">
        <f>VLOOKUP(C80,Спецтехника!$B$16:$J$104,6,0)</f>
        <v>9</v>
      </c>
      <c r="Q80" s="169">
        <f>VLOOKUP(C80,Спецтехника!$B$16:$J$104,7,0)</f>
        <v>5.4878048780487805E-2</v>
      </c>
      <c r="R80" s="242"/>
      <c r="S80" s="122"/>
      <c r="T80" s="94"/>
      <c r="U80" s="94"/>
      <c r="V80" s="98"/>
      <c r="W80" s="163">
        <f>VLOOKUP($C80,МНО!$B$16:$AB$104,16,0)</f>
        <v>4012</v>
      </c>
      <c r="X80" s="166">
        <f>VLOOKUP($C80,МНО!$B$16:$AB$104,8,0)</f>
        <v>3805</v>
      </c>
      <c r="Y80" s="166">
        <f>VLOOKUP($C80,МНО!$B$16:$AB$104,11,0)</f>
        <v>207</v>
      </c>
      <c r="Z80" s="173">
        <f>VLOOKUP($C80,МНО!$B$16:$AB$104,17,0)</f>
        <v>5.1595214356929216E-2</v>
      </c>
      <c r="AA80" s="245"/>
      <c r="AB80" s="95">
        <f>VLOOKUP($C80,МНО!$B$16:$AB$104,13,0)</f>
        <v>8.0115387136956677</v>
      </c>
      <c r="AC80" s="154">
        <f>VLOOKUP($C80,МНО!$B$16:$AB$104,18,0)</f>
        <v>1</v>
      </c>
      <c r="AD80" s="163">
        <f>VLOOKUP($C80,Контейнеры!$B$16:$AB$104,16,0)</f>
        <v>10545</v>
      </c>
      <c r="AE80" s="166">
        <f>VLOOKUP($C80,Контейнеры!$B$16:$AB$104,8,0)</f>
        <v>9937</v>
      </c>
      <c r="AF80" s="166">
        <f>VLOOKUP($C80,Контейнеры!$B$16:$AB$104,11,0)</f>
        <v>608</v>
      </c>
      <c r="AG80" s="173">
        <f>VLOOKUP($C80,Контейнеры!$B$16:$AB$104,17,0)</f>
        <v>5.7657657657657659E-2</v>
      </c>
      <c r="AH80" s="245"/>
      <c r="AI80" s="95">
        <f>VLOOKUP($C80,Контейнеры!$B$16:$AB$104,13,0)</f>
        <v>21.715946589741908</v>
      </c>
      <c r="AJ80" s="154">
        <f>VLOOKUP($C80,Контейнеры!$B$16:$AB$104,18,0)</f>
        <v>0.96889625585023398</v>
      </c>
      <c r="AK80" s="135"/>
      <c r="AL80" s="94"/>
      <c r="AM80" s="94"/>
      <c r="AN80" s="116"/>
      <c r="AO80" s="80">
        <f>VLOOKUP($C80,Обработка!$B$16:$L$104,6,0)</f>
        <v>0.41600000000000004</v>
      </c>
      <c r="AP80" s="75">
        <f t="shared" si="23"/>
        <v>-0.127</v>
      </c>
      <c r="AQ80" s="74">
        <f>VLOOKUP($C80,Обработка!$B$16:$L$104,7,0)</f>
        <v>0.47600000000000003</v>
      </c>
      <c r="AR80" s="179">
        <f t="shared" si="24"/>
        <v>-0.33100000000000002</v>
      </c>
      <c r="AS80" s="180">
        <f>VLOOKUP($C80,Утилизация!$B$16:$L$104,6,0)</f>
        <v>1.9E-2</v>
      </c>
      <c r="AT80" s="76">
        <f t="shared" si="25"/>
        <v>-0.12000000000000001</v>
      </c>
      <c r="AU80" s="76">
        <f>VLOOKUP($C80,Утилизация!$B$16:$L$104,7,0)</f>
        <v>0.13</v>
      </c>
      <c r="AV80" s="184">
        <f t="shared" si="26"/>
        <v>-0.15599999999999997</v>
      </c>
      <c r="AW80" s="162" t="str">
        <f>VLOOKUP(C80,Захоронение!$B$16:$Q$104,16,0)</f>
        <v>белые пятна</v>
      </c>
      <c r="AX80" s="135"/>
      <c r="AY80" s="94"/>
      <c r="AZ80" s="94"/>
      <c r="BA80" s="98"/>
      <c r="BB80" s="127" t="str">
        <f>VLOOKUP(C80,'ДК ИП'!$B$16:$S$104,5,0)</f>
        <v>среднее</v>
      </c>
      <c r="BC80" s="288">
        <f>VLOOKUP(C80,Радар!$B$16:$G$104,6,0)</f>
        <v>1.7482899538888527E-2</v>
      </c>
      <c r="BD80" s="98"/>
      <c r="BF80" s="293">
        <f t="shared" si="27"/>
        <v>1.25</v>
      </c>
      <c r="BI80" s="8">
        <f t="shared" si="28"/>
        <v>1</v>
      </c>
      <c r="BJ80" s="8">
        <f>VLOOKUP(C80,Штаб!$B$16:$C$104,2)</f>
        <v>0</v>
      </c>
      <c r="BK80" s="8">
        <f>VLOOKUP(C80,'РО - регионы'!$B$16:$C$104,2)</f>
        <v>0</v>
      </c>
      <c r="BL80" s="8">
        <f>VLOOKUP(C80,'РО - регионы'!$B$16:$L$104,11)</f>
        <v>0</v>
      </c>
      <c r="BM80" s="8">
        <f>VLOOKUP(C80,Спецтехника!$B$16:$C$104,2)</f>
        <v>0</v>
      </c>
      <c r="BN80" s="8">
        <f>VLOOKUP($C80,МНО!$B$16:$AB$104,6,0)</f>
        <v>0</v>
      </c>
      <c r="BO80" s="8">
        <f>VLOOKUP($C80,МНО!$B$16:$AB$104,4,0)</f>
        <v>0</v>
      </c>
      <c r="BP80" s="8">
        <f>VLOOKUP($C80,МНО!$B$16:$AB$104,5,0)</f>
        <v>0</v>
      </c>
      <c r="BQ80" s="8">
        <f>VLOOKUP($C80,Контейнеры!$B$16:$G$104,6,0)</f>
        <v>0</v>
      </c>
      <c r="BR80" s="8">
        <f>VLOOKUP($C80,Контейнеры!$B$16:$G$104,4,0)</f>
        <v>0</v>
      </c>
      <c r="BS80" s="8">
        <f>VLOOKUP($C80,Контейнеры!$B$16:$G$104,5,0)</f>
        <v>0</v>
      </c>
      <c r="BT80" s="8">
        <f>VLOOKUP($C80,'ДК МНО'!$B$16:$C$104,2,0)</f>
        <v>2</v>
      </c>
      <c r="BU80" s="8">
        <f>VLOOKUP($C80,Обработка!$B$16:$F$104,5,0)</f>
        <v>1</v>
      </c>
      <c r="BV80" s="8">
        <f>VLOOKUP($C80,Обработка!$B$16:$F$104,4,0)</f>
        <v>1</v>
      </c>
      <c r="BW80" s="8">
        <f>VLOOKUP($C80,Утилизация!$B$16:$F$104,5,0)</f>
        <v>2</v>
      </c>
      <c r="BX80" s="8">
        <f>VLOOKUP($C80,Утилизация!$B$16:$F$104,4,0)</f>
        <v>2</v>
      </c>
      <c r="BY80" s="8">
        <f>VLOOKUP($C80,Захоронение!$B$16:$C$104,2,0)</f>
        <v>2</v>
      </c>
      <c r="BZ80" s="8">
        <f>VLOOKUP($C80,'ДК ИП'!$B$16:$C$104,2,0)</f>
        <v>1</v>
      </c>
      <c r="CA80" s="8">
        <f>VLOOKUP(C80,Радар!$B$16:$G$104,2,0)</f>
        <v>2</v>
      </c>
      <c r="CB80" s="8">
        <f t="shared" si="29"/>
        <v>0.9</v>
      </c>
    </row>
    <row r="81" spans="1:80" ht="15.6" thickBot="1">
      <c r="A81" s="9" t="s">
        <v>660</v>
      </c>
      <c r="B81" s="121">
        <f t="shared" si="22"/>
        <v>71</v>
      </c>
      <c r="C81" s="202" t="s">
        <v>73</v>
      </c>
      <c r="D81" s="277" t="str">
        <f>VLOOKUP($C81,Штаб!$B$16:$J$104,6,0)</f>
        <v/>
      </c>
      <c r="E81" s="285" t="str">
        <f>VLOOKUP($C81,Штаб!$B$16:$J$104,7,0)</f>
        <v>✔️</v>
      </c>
      <c r="F81" s="285" t="str">
        <f>VLOOKUP($C81,Штаб!$B$16:$J$104,8,0)</f>
        <v/>
      </c>
      <c r="G81" s="286" t="str">
        <f>VLOOKUP($C81,Штаб!$B$16:$J$104,9,0)</f>
        <v/>
      </c>
      <c r="H81" s="278" t="str">
        <f>VLOOKUP(C81,'РО - регионы'!$B$16:$I$104,8,0)</f>
        <v>0 / 1 / 2 из 3</v>
      </c>
      <c r="I81" s="237"/>
      <c r="J81" s="122"/>
      <c r="K81" s="94"/>
      <c r="L81" s="94"/>
      <c r="M81" s="98"/>
      <c r="N81" s="163">
        <f>VLOOKUP(C81,Спецтехника!$B$16:$J$104,4,0)</f>
        <v>682</v>
      </c>
      <c r="O81" s="166">
        <f>VLOOKUP(C81,Спецтехника!$B$16:$J$104,5,0)</f>
        <v>664</v>
      </c>
      <c r="P81" s="166">
        <f>VLOOKUP(C81,Спецтехника!$B$16:$J$104,6,0)</f>
        <v>18</v>
      </c>
      <c r="Q81" s="169">
        <f>VLOOKUP(C81,Спецтехника!$B$16:$J$104,7,0)</f>
        <v>2.6392961876832845E-2</v>
      </c>
      <c r="R81" s="242"/>
      <c r="S81" s="122"/>
      <c r="T81" s="94"/>
      <c r="U81" s="94"/>
      <c r="V81" s="98"/>
      <c r="W81" s="163">
        <f>VLOOKUP($C81,МНО!$B$16:$AB$104,16,0)</f>
        <v>41954</v>
      </c>
      <c r="X81" s="166">
        <f>VLOOKUP($C81,МНО!$B$16:$AB$104,8,0)</f>
        <v>37469</v>
      </c>
      <c r="Y81" s="166">
        <f>VLOOKUP($C81,МНО!$B$16:$AB$104,11,0)</f>
        <v>4485</v>
      </c>
      <c r="Z81" s="173">
        <f>VLOOKUP($C81,МНО!$B$16:$AB$104,17,0)</f>
        <v>0.10690279830290318</v>
      </c>
      <c r="AA81" s="245"/>
      <c r="AB81" s="95">
        <f>VLOOKUP($C81,МНО!$B$16:$AB$104,13,0)</f>
        <v>8.4000857272429101</v>
      </c>
      <c r="AC81" s="154">
        <f>VLOOKUP($C81,МНО!$B$16:$AB$104,18,0)</f>
        <v>0.98631182710784704</v>
      </c>
      <c r="AD81" s="163">
        <f>VLOOKUP($C81,Контейнеры!$B$16:$AB$104,16,0)</f>
        <v>98886</v>
      </c>
      <c r="AE81" s="166">
        <f>VLOOKUP($C81,Контейнеры!$B$16:$AB$104,8,0)</f>
        <v>90015</v>
      </c>
      <c r="AF81" s="166">
        <f>VLOOKUP($C81,Контейнеры!$B$16:$AB$104,11,0)</f>
        <v>8871</v>
      </c>
      <c r="AG81" s="173">
        <f>VLOOKUP($C81,Контейнеры!$B$16:$AB$104,17,0)</f>
        <v>8.9709362295977188E-2</v>
      </c>
      <c r="AH81" s="245"/>
      <c r="AI81" s="95">
        <f>VLOOKUP($C81,Контейнеры!$B$16:$AB$104,13,0)</f>
        <v>21.316955167256928</v>
      </c>
      <c r="AJ81" s="154">
        <f>VLOOKUP($C81,Контейнеры!$B$16:$AB$104,18,0)</f>
        <v>0.76473136915077988</v>
      </c>
      <c r="AK81" s="135"/>
      <c r="AL81" s="94"/>
      <c r="AM81" s="94"/>
      <c r="AN81" s="116"/>
      <c r="AO81" s="79">
        <f>VLOOKUP($C81,Обработка!$B$16:$L$104,6,0)</f>
        <v>0.17399999999999999</v>
      </c>
      <c r="AP81" s="75">
        <f t="shared" si="23"/>
        <v>-0.36900000000000005</v>
      </c>
      <c r="AQ81" s="74">
        <f>VLOOKUP($C81,Обработка!$B$16:$L$104,7,0)</f>
        <v>0.41</v>
      </c>
      <c r="AR81" s="179">
        <f t="shared" si="24"/>
        <v>-0.39700000000000008</v>
      </c>
      <c r="AS81" s="180">
        <f>VLOOKUP($C81,Утилизация!$B$16:$L$104,6,0)</f>
        <v>1.1000000000000001E-2</v>
      </c>
      <c r="AT81" s="76">
        <f t="shared" si="25"/>
        <v>-0.128</v>
      </c>
      <c r="AU81" s="74">
        <f>VLOOKUP($C81,Утилизация!$B$16:$L$104,7,0)</f>
        <v>0.2</v>
      </c>
      <c r="AV81" s="186">
        <f t="shared" si="26"/>
        <v>-8.5999999999999965E-2</v>
      </c>
      <c r="AW81" s="160" t="str">
        <f>VLOOKUP(C81,Захоронение!$B$16:$Q$104,16,0)</f>
        <v>765 приказ</v>
      </c>
      <c r="AX81" s="135"/>
      <c r="AY81" s="94"/>
      <c r="AZ81" s="94"/>
      <c r="BA81" s="98"/>
      <c r="BB81" s="127" t="str">
        <f>VLOOKUP(C81,'ДК ИП'!$B$16:$S$104,5,0)</f>
        <v>существенное</v>
      </c>
      <c r="BC81" s="289">
        <f>VLOOKUP(C81,Радар!$B$16:$G$104,6,0)</f>
        <v>2.3681558814927432E-3</v>
      </c>
      <c r="BD81" s="98"/>
      <c r="BF81" s="293">
        <f t="shared" si="27"/>
        <v>1</v>
      </c>
      <c r="BI81" s="8">
        <f t="shared" si="28"/>
        <v>1</v>
      </c>
      <c r="BJ81" s="8">
        <f>VLOOKUP(C81,Штаб!$B$16:$C$104,2)</f>
        <v>1</v>
      </c>
      <c r="BK81" s="8">
        <f>VLOOKUP(C81,'РО - регионы'!$B$16:$C$104,2)</f>
        <v>1</v>
      </c>
      <c r="BL81" s="8">
        <f>VLOOKUP(C81,'РО - регионы'!$B$16:$L$104,11)</f>
        <v>2</v>
      </c>
      <c r="BM81" s="8">
        <f>VLOOKUP(C81,Спецтехника!$B$16:$C$104,2)</f>
        <v>0</v>
      </c>
      <c r="BN81" s="8">
        <f>VLOOKUP($C81,МНО!$B$16:$AB$104,6,0)</f>
        <v>0</v>
      </c>
      <c r="BO81" s="8">
        <f>VLOOKUP($C81,МНО!$B$16:$AB$104,4,0)</f>
        <v>0</v>
      </c>
      <c r="BP81" s="8">
        <f>VLOOKUP($C81,МНО!$B$16:$AB$104,5,0)</f>
        <v>0</v>
      </c>
      <c r="BQ81" s="8">
        <f>VLOOKUP($C81,Контейнеры!$B$16:$G$104,6,0)</f>
        <v>0</v>
      </c>
      <c r="BR81" s="8">
        <f>VLOOKUP($C81,Контейнеры!$B$16:$G$104,4,0)</f>
        <v>0</v>
      </c>
      <c r="BS81" s="8">
        <f>VLOOKUP($C81,Контейнеры!$B$16:$G$104,5,0)</f>
        <v>2</v>
      </c>
      <c r="BT81" s="8">
        <f>VLOOKUP($C81,'ДК МНО'!$B$16:$C$104,2,0)</f>
        <v>2</v>
      </c>
      <c r="BU81" s="8">
        <f>VLOOKUP($C81,Обработка!$B$16:$F$104,5,0)</f>
        <v>1</v>
      </c>
      <c r="BV81" s="8">
        <f>VLOOKUP($C81,Обработка!$B$16:$F$104,4,0)</f>
        <v>2</v>
      </c>
      <c r="BW81" s="8">
        <f>VLOOKUP($C81,Утилизация!$B$16:$F$104,5,0)</f>
        <v>1</v>
      </c>
      <c r="BX81" s="8">
        <f>VLOOKUP($C81,Утилизация!$B$16:$F$104,4,0)</f>
        <v>2</v>
      </c>
      <c r="BY81" s="8">
        <f>VLOOKUP($C81,Захоронение!$B$16:$C$104,2,0)</f>
        <v>1</v>
      </c>
      <c r="BZ81" s="8">
        <f>VLOOKUP($C81,'ДК ИП'!$B$16:$C$104,2,0)</f>
        <v>2</v>
      </c>
      <c r="CA81" s="8">
        <f>VLOOKUP(C81,Радар!$B$16:$G$104,2,0)</f>
        <v>0</v>
      </c>
      <c r="CB81" s="8">
        <f t="shared" si="29"/>
        <v>0.95</v>
      </c>
    </row>
    <row r="82" spans="1:80" ht="15.6" thickBot="1">
      <c r="A82" s="9" t="s">
        <v>657</v>
      </c>
      <c r="B82" s="122">
        <f t="shared" si="22"/>
        <v>72</v>
      </c>
      <c r="C82" s="202" t="s">
        <v>74</v>
      </c>
      <c r="D82" s="277" t="str">
        <f>VLOOKUP($C82,Штаб!$B$16:$J$104,6,0)</f>
        <v/>
      </c>
      <c r="E82" s="285" t="str">
        <f>VLOOKUP($C82,Штаб!$B$16:$J$104,7,0)</f>
        <v/>
      </c>
      <c r="F82" s="285" t="str">
        <f>VLOOKUP($C82,Штаб!$B$16:$J$104,8,0)</f>
        <v/>
      </c>
      <c r="G82" s="286" t="str">
        <f>VLOOKUP($C82,Штаб!$B$16:$J$104,9,0)</f>
        <v>✔️</v>
      </c>
      <c r="H82" s="279" t="str">
        <f>VLOOKUP(C82,'РО - регионы'!$B$16:$I$104,8,0)</f>
        <v>0 / 0 / 1 из 1</v>
      </c>
      <c r="I82" s="237"/>
      <c r="J82" s="122"/>
      <c r="K82" s="94"/>
      <c r="L82" s="94"/>
      <c r="M82" s="98"/>
      <c r="N82" s="163">
        <f>VLOOKUP(C82,Спецтехника!$B$16:$J$104,4,0)</f>
        <v>113</v>
      </c>
      <c r="O82" s="166">
        <f>VLOOKUP(C82,Спецтехника!$B$16:$J$104,5,0)</f>
        <v>107</v>
      </c>
      <c r="P82" s="166">
        <f>VLOOKUP(C82,Спецтехника!$B$16:$J$104,6,0)</f>
        <v>6</v>
      </c>
      <c r="Q82" s="169">
        <f>VLOOKUP(C82,Спецтехника!$B$16:$J$104,7,0)</f>
        <v>5.3097345132743362E-2</v>
      </c>
      <c r="R82" s="242"/>
      <c r="S82" s="122"/>
      <c r="T82" s="94"/>
      <c r="U82" s="94"/>
      <c r="V82" s="98"/>
      <c r="W82" s="163">
        <f>VLOOKUP($C82,МНО!$B$16:$AB$104,16,0)</f>
        <v>7409</v>
      </c>
      <c r="X82" s="166">
        <f>VLOOKUP($C82,МНО!$B$16:$AB$104,8,0)</f>
        <v>6089</v>
      </c>
      <c r="Y82" s="166">
        <f>VLOOKUP($C82,МНО!$B$16:$AB$104,11,0)</f>
        <v>1320</v>
      </c>
      <c r="Z82" s="173">
        <f>VLOOKUP($C82,МНО!$B$16:$AB$104,17,0)</f>
        <v>0.17816169523552436</v>
      </c>
      <c r="AA82" s="245"/>
      <c r="AB82" s="95">
        <f>VLOOKUP($C82,МНО!$B$16:$AB$104,13,0)</f>
        <v>6.3565771244243257</v>
      </c>
      <c r="AC82" s="154">
        <f>VLOOKUP($C82,МНО!$B$16:$AB$104,18,0)</f>
        <v>0.76370249592374262</v>
      </c>
      <c r="AD82" s="164">
        <f>VLOOKUP($C82,Контейнеры!$B$16:$AB$104,16,0)</f>
        <v>16732</v>
      </c>
      <c r="AE82" s="167">
        <f>VLOOKUP($C82,Контейнеры!$B$16:$AB$104,8,0)</f>
        <v>12460</v>
      </c>
      <c r="AF82" s="167">
        <f>VLOOKUP($C82,Контейнеры!$B$16:$AB$104,11,0)</f>
        <v>4272</v>
      </c>
      <c r="AG82" s="172">
        <f>VLOOKUP($C82,Контейнеры!$B$16:$AB$104,17,0)</f>
        <v>0.25531914893617019</v>
      </c>
      <c r="AH82" s="245"/>
      <c r="AI82" s="95">
        <f>VLOOKUP($C82,Контейнеры!$B$16:$AB$104,13,0)</f>
        <v>14.421513286658248</v>
      </c>
      <c r="AJ82" s="154">
        <f>VLOOKUP($C82,Контейнеры!$B$16:$AB$104,18,0)</f>
        <v>0.67314964883846573</v>
      </c>
      <c r="AK82" s="135"/>
      <c r="AL82" s="94"/>
      <c r="AM82" s="94"/>
      <c r="AN82" s="116"/>
      <c r="AO82" s="78">
        <f>VLOOKUP($C82,Обработка!$B$16:$L$104,6,0)</f>
        <v>0.59799999999999998</v>
      </c>
      <c r="AP82" s="75">
        <f t="shared" si="23"/>
        <v>5.4999999999999938E-2</v>
      </c>
      <c r="AQ82" s="74">
        <f>VLOOKUP($C82,Обработка!$B$16:$L$104,7,0)</f>
        <v>0.55000000000000004</v>
      </c>
      <c r="AR82" s="179">
        <f t="shared" si="24"/>
        <v>-0.25700000000000001</v>
      </c>
      <c r="AS82" s="180">
        <f>VLOOKUP($C82,Утилизация!$B$16:$L$104,6,0)</f>
        <v>1.3999999999999999E-2</v>
      </c>
      <c r="AT82" s="76">
        <f t="shared" si="25"/>
        <v>-0.125</v>
      </c>
      <c r="AU82" s="76">
        <f>VLOOKUP($C82,Утилизация!$B$16:$L$104,7,0)</f>
        <v>1.3999999999999999E-2</v>
      </c>
      <c r="AV82" s="184">
        <f t="shared" si="26"/>
        <v>-0.27199999999999996</v>
      </c>
      <c r="AW82" s="161" t="str">
        <f>VLOOKUP(C82,Захоронение!$B$16:$Q$104,16,0)</f>
        <v/>
      </c>
      <c r="AX82" s="135"/>
      <c r="AY82" s="94"/>
      <c r="AZ82" s="94"/>
      <c r="BA82" s="98"/>
      <c r="BB82" s="127" t="str">
        <f>VLOOKUP(C82,'ДК ИП'!$B$16:$S$104,5,0)</f>
        <v>существенное</v>
      </c>
      <c r="BC82" s="288">
        <f>VLOOKUP(C82,Радар!$B$16:$G$104,6,0)</f>
        <v>0.62616682889904596</v>
      </c>
      <c r="BD82" s="98"/>
      <c r="BF82" s="294">
        <f t="shared" si="27"/>
        <v>0.58333333333333337</v>
      </c>
      <c r="BI82" s="8">
        <f t="shared" si="28"/>
        <v>0</v>
      </c>
      <c r="BJ82" s="8">
        <f>VLOOKUP(C82,Штаб!$B$16:$C$104,2)</f>
        <v>2</v>
      </c>
      <c r="BK82" s="8">
        <f>VLOOKUP(C82,'РО - регионы'!$B$16:$C$104,2)</f>
        <v>0</v>
      </c>
      <c r="BL82" s="8">
        <f>VLOOKUP(C82,'РО - регионы'!$B$16:$L$104,11)</f>
        <v>0</v>
      </c>
      <c r="BM82" s="8">
        <f>VLOOKUP(C82,Спецтехника!$B$16:$C$104,2)</f>
        <v>0</v>
      </c>
      <c r="BN82" s="8">
        <f>VLOOKUP($C82,МНО!$B$16:$AB$104,6,0)</f>
        <v>0</v>
      </c>
      <c r="BO82" s="8">
        <f>VLOOKUP($C82,МНО!$B$16:$AB$104,4,0)</f>
        <v>0</v>
      </c>
      <c r="BP82" s="8">
        <f>VLOOKUP($C82,МНО!$B$16:$AB$104,5,0)</f>
        <v>1</v>
      </c>
      <c r="BQ82" s="8">
        <f>VLOOKUP($C82,Контейнеры!$B$16:$G$104,6,0)</f>
        <v>1</v>
      </c>
      <c r="BR82" s="8">
        <f>VLOOKUP($C82,Контейнеры!$B$16:$G$104,4,0)</f>
        <v>0</v>
      </c>
      <c r="BS82" s="8">
        <f>VLOOKUP($C82,Контейнеры!$B$16:$G$104,5,0)</f>
        <v>2</v>
      </c>
      <c r="BT82" s="8">
        <f>VLOOKUP($C82,'ДК МНО'!$B$16:$C$104,2,0)</f>
        <v>2</v>
      </c>
      <c r="BU82" s="8">
        <f>VLOOKUP($C82,Обработка!$B$16:$F$104,5,0)</f>
        <v>1</v>
      </c>
      <c r="BV82" s="8">
        <f>VLOOKUP($C82,Обработка!$B$16:$F$104,4,0)</f>
        <v>0</v>
      </c>
      <c r="BW82" s="8">
        <f>VLOOKUP($C82,Утилизация!$B$16:$F$104,5,0)</f>
        <v>2</v>
      </c>
      <c r="BX82" s="8">
        <f>VLOOKUP($C82,Утилизация!$B$16:$F$104,4,0)</f>
        <v>2</v>
      </c>
      <c r="BY82" s="8">
        <f>VLOOKUP($C82,Захоронение!$B$16:$C$104,2,0)</f>
        <v>0</v>
      </c>
      <c r="BZ82" s="8">
        <f>VLOOKUP($C82,'ДК ИП'!$B$16:$C$104,2,0)</f>
        <v>2</v>
      </c>
      <c r="CA82" s="8">
        <f>VLOOKUP(C82,Радар!$B$16:$G$104,2,0)</f>
        <v>2</v>
      </c>
      <c r="CB82" s="8">
        <f t="shared" si="29"/>
        <v>0.5</v>
      </c>
    </row>
    <row r="83" spans="1:80" ht="15.6" thickBot="1">
      <c r="A83" s="9" t="s">
        <v>658</v>
      </c>
      <c r="B83" s="121">
        <f t="shared" si="22"/>
        <v>73</v>
      </c>
      <c r="C83" s="202" t="s">
        <v>75</v>
      </c>
      <c r="D83" s="277" t="str">
        <f>VLOOKUP($C83,Штаб!$B$16:$J$104,6,0)</f>
        <v/>
      </c>
      <c r="E83" s="285" t="str">
        <f>VLOOKUP($C83,Штаб!$B$16:$J$104,7,0)</f>
        <v/>
      </c>
      <c r="F83" s="285" t="str">
        <f>VLOOKUP($C83,Штаб!$B$16:$J$104,8,0)</f>
        <v>✔️</v>
      </c>
      <c r="G83" s="286" t="str">
        <f>VLOOKUP($C83,Штаб!$B$16:$J$104,9,0)</f>
        <v/>
      </c>
      <c r="H83" s="278" t="str">
        <f>VLOOKUP(C83,'РО - регионы'!$B$16:$I$104,8,0)</f>
        <v>0 / 1 / 3 из 4</v>
      </c>
      <c r="I83" s="237"/>
      <c r="J83" s="122"/>
      <c r="K83" s="94"/>
      <c r="L83" s="94"/>
      <c r="M83" s="98"/>
      <c r="N83" s="164">
        <f>VLOOKUP(C83,Спецтехника!$B$16:$J$104,4,0)</f>
        <v>783</v>
      </c>
      <c r="O83" s="167">
        <f>VLOOKUP(C83,Спецтехника!$B$16:$J$104,5,0)</f>
        <v>679</v>
      </c>
      <c r="P83" s="167">
        <f>VLOOKUP(C83,Спецтехника!$B$16:$J$104,6,0)</f>
        <v>104</v>
      </c>
      <c r="Q83" s="170">
        <f>VLOOKUP(C83,Спецтехника!$B$16:$J$104,7,0)</f>
        <v>0.13282247765006386</v>
      </c>
      <c r="R83" s="242"/>
      <c r="S83" s="122"/>
      <c r="T83" s="94"/>
      <c r="U83" s="94"/>
      <c r="V83" s="98"/>
      <c r="W83" s="163">
        <f>VLOOKUP($C83,МНО!$B$16:$AB$104,16,0)</f>
        <v>12598</v>
      </c>
      <c r="X83" s="166">
        <f>VLOOKUP($C83,МНО!$B$16:$AB$104,8,0)</f>
        <v>10544</v>
      </c>
      <c r="Y83" s="166">
        <f>VLOOKUP($C83,МНО!$B$16:$AB$104,11,0)</f>
        <v>2054</v>
      </c>
      <c r="Z83" s="173">
        <f>VLOOKUP($C83,МНО!$B$16:$AB$104,17,0)</f>
        <v>0.16304175265915224</v>
      </c>
      <c r="AA83" s="245"/>
      <c r="AB83" s="95">
        <f>VLOOKUP($C83,МНО!$B$16:$AB$104,13,0)</f>
        <v>3.5279345055694384</v>
      </c>
      <c r="AC83" s="154">
        <f>VLOOKUP($C83,МНО!$B$16:$AB$104,18,0)</f>
        <v>0.72492265383293231</v>
      </c>
      <c r="AD83" s="164">
        <f>VLOOKUP($C83,Контейнеры!$B$16:$AB$104,16,0)</f>
        <v>23360</v>
      </c>
      <c r="AE83" s="167">
        <f>VLOOKUP($C83,Контейнеры!$B$16:$AB$104,8,0)</f>
        <v>19550</v>
      </c>
      <c r="AF83" s="167">
        <f>VLOOKUP($C83,Контейнеры!$B$16:$AB$104,11,0)</f>
        <v>3810</v>
      </c>
      <c r="AG83" s="172">
        <f>VLOOKUP($C83,Контейнеры!$B$16:$AB$104,17,0)</f>
        <v>0.16309931506849315</v>
      </c>
      <c r="AH83" s="245"/>
      <c r="AI83" s="95">
        <f>VLOOKUP($C83,Контейнеры!$B$16:$AB$104,13,0)</f>
        <v>6.7738282836262531</v>
      </c>
      <c r="AJ83" s="154">
        <f>VLOOKUP($C83,Контейнеры!$B$16:$AB$104,18,0)</f>
        <v>0.73226458910779835</v>
      </c>
      <c r="AK83" s="135"/>
      <c r="AL83" s="94"/>
      <c r="AM83" s="94"/>
      <c r="AN83" s="116"/>
      <c r="AO83" s="78">
        <f>VLOOKUP($C83,Обработка!$B$16:$L$104,6,0)</f>
        <v>0.94799999999999995</v>
      </c>
      <c r="AP83" s="75">
        <f t="shared" si="23"/>
        <v>0.40499999999999992</v>
      </c>
      <c r="AQ83" s="75">
        <f>VLOOKUP($C83,Обработка!$B$16:$L$104,7,0)</f>
        <v>0.9</v>
      </c>
      <c r="AR83" s="178">
        <f t="shared" si="24"/>
        <v>9.2999999999999972E-2</v>
      </c>
      <c r="AS83" s="182">
        <f>VLOOKUP($C83,Утилизация!$B$16:$L$104,6,0)</f>
        <v>0.38500000000000001</v>
      </c>
      <c r="AT83" s="75">
        <f t="shared" si="25"/>
        <v>0.246</v>
      </c>
      <c r="AU83" s="74">
        <f>VLOOKUP($C83,Утилизация!$B$16:$L$104,7,0)</f>
        <v>0.15</v>
      </c>
      <c r="AV83" s="186">
        <f t="shared" si="26"/>
        <v>-0.13599999999999998</v>
      </c>
      <c r="AW83" s="161" t="str">
        <f>VLOOKUP(C83,Захоронение!$B$16:$Q$104,16,0)</f>
        <v/>
      </c>
      <c r="AX83" s="135"/>
      <c r="AY83" s="94"/>
      <c r="AZ83" s="94"/>
      <c r="BA83" s="98"/>
      <c r="BB83" s="127" t="str">
        <f>VLOOKUP(C83,'ДК ИП'!$B$16:$S$104,5,0)</f>
        <v>не подписана</v>
      </c>
      <c r="BC83" s="289">
        <f>VLOOKUP(C83,Радар!$B$16:$G$104,6,0)</f>
        <v>1.7670856392068487E-2</v>
      </c>
      <c r="BD83" s="98"/>
      <c r="BF83" s="296">
        <f t="shared" si="27"/>
        <v>8.3333333333333329E-2</v>
      </c>
      <c r="BI83" s="8">
        <f t="shared" si="28"/>
        <v>0</v>
      </c>
      <c r="BJ83" s="8">
        <f>VLOOKUP(C83,Штаб!$B$16:$C$104,2)</f>
        <v>1</v>
      </c>
      <c r="BK83" s="8">
        <f>VLOOKUP(C83,'РО - регионы'!$B$16:$C$104,2)</f>
        <v>1</v>
      </c>
      <c r="BL83" s="8">
        <f>VLOOKUP(C83,'РО - регионы'!$B$16:$L$104,11)</f>
        <v>2</v>
      </c>
      <c r="BM83" s="8">
        <f>VLOOKUP(C83,Спецтехника!$B$16:$C$104,2)</f>
        <v>1</v>
      </c>
      <c r="BN83" s="8">
        <f>VLOOKUP($C83,МНО!$B$16:$AB$104,6,0)</f>
        <v>0</v>
      </c>
      <c r="BO83" s="8">
        <f>VLOOKUP($C83,МНО!$B$16:$AB$104,4,0)</f>
        <v>1</v>
      </c>
      <c r="BP83" s="8">
        <f>VLOOKUP($C83,МНО!$B$16:$AB$104,5,0)</f>
        <v>1</v>
      </c>
      <c r="BQ83" s="8">
        <f>VLOOKUP($C83,Контейнеры!$B$16:$G$104,6,0)</f>
        <v>1</v>
      </c>
      <c r="BR83" s="8">
        <f>VLOOKUP($C83,Контейнеры!$B$16:$G$104,4,0)</f>
        <v>0</v>
      </c>
      <c r="BS83" s="8">
        <f>VLOOKUP($C83,Контейнеры!$B$16:$G$104,5,0)</f>
        <v>2</v>
      </c>
      <c r="BT83" s="8">
        <f>VLOOKUP($C83,'ДК МНО'!$B$16:$C$104,2,0)</f>
        <v>2</v>
      </c>
      <c r="BU83" s="8">
        <f>VLOOKUP($C83,Обработка!$B$16:$F$104,5,0)</f>
        <v>0</v>
      </c>
      <c r="BV83" s="8">
        <f>VLOOKUP($C83,Обработка!$B$16:$F$104,4,0)</f>
        <v>0</v>
      </c>
      <c r="BW83" s="8">
        <f>VLOOKUP($C83,Утилизация!$B$16:$F$104,5,0)</f>
        <v>1</v>
      </c>
      <c r="BX83" s="8">
        <f>VLOOKUP($C83,Утилизация!$B$16:$F$104,4,0)</f>
        <v>0</v>
      </c>
      <c r="BY83" s="8">
        <f>VLOOKUP($C83,Захоронение!$B$16:$C$104,2,0)</f>
        <v>0</v>
      </c>
      <c r="BZ83" s="8">
        <f>VLOOKUP($C83,'ДК ИП'!$B$16:$C$104,2,0)</f>
        <v>0</v>
      </c>
      <c r="CA83" s="8">
        <f>VLOOKUP(C83,Радар!$B$16:$G$104,2,0)</f>
        <v>0</v>
      </c>
      <c r="CB83" s="8">
        <f t="shared" si="29"/>
        <v>0.39999999999999997</v>
      </c>
    </row>
    <row r="84" spans="1:80" ht="15.6" thickBot="1">
      <c r="A84" s="9" t="s">
        <v>657</v>
      </c>
      <c r="B84" s="122">
        <f t="shared" si="22"/>
        <v>74</v>
      </c>
      <c r="C84" s="202" t="s">
        <v>76</v>
      </c>
      <c r="D84" s="277" t="str">
        <f>VLOOKUP($C84,Штаб!$B$16:$J$104,6,0)</f>
        <v>✔️</v>
      </c>
      <c r="E84" s="285" t="str">
        <f>VLOOKUP($C84,Штаб!$B$16:$J$104,7,0)</f>
        <v/>
      </c>
      <c r="F84" s="285" t="str">
        <f>VLOOKUP($C84,Штаб!$B$16:$J$104,8,0)</f>
        <v/>
      </c>
      <c r="G84" s="286" t="str">
        <f>VLOOKUP($C84,Штаб!$B$16:$J$104,9,0)</f>
        <v/>
      </c>
      <c r="H84" s="279" t="str">
        <f>VLOOKUP(C84,'РО - регионы'!$B$16:$I$104,8,0)</f>
        <v>0 / 0 / 1 из 1</v>
      </c>
      <c r="I84" s="237"/>
      <c r="J84" s="122"/>
      <c r="K84" s="94"/>
      <c r="L84" s="94"/>
      <c r="M84" s="98"/>
      <c r="N84" s="163">
        <f>VLOOKUP(C84,Спецтехника!$B$16:$J$104,4,0)</f>
        <v>227</v>
      </c>
      <c r="O84" s="166">
        <f>VLOOKUP(C84,Спецтехника!$B$16:$J$104,5,0)</f>
        <v>215</v>
      </c>
      <c r="P84" s="166">
        <f>VLOOKUP(C84,Спецтехника!$B$16:$J$104,6,0)</f>
        <v>12</v>
      </c>
      <c r="Q84" s="169">
        <f>VLOOKUP(C84,Спецтехника!$B$16:$J$104,7,0)</f>
        <v>5.2863436123348019E-2</v>
      </c>
      <c r="R84" s="242"/>
      <c r="S84" s="122"/>
      <c r="T84" s="94"/>
      <c r="U84" s="94"/>
      <c r="V84" s="98"/>
      <c r="W84" s="165">
        <f>VLOOKUP($C84,МНО!$B$16:$AB$104,16,0)</f>
        <v>17308</v>
      </c>
      <c r="X84" s="168">
        <f>VLOOKUP($C84,МНО!$B$16:$AB$104,8,0)</f>
        <v>9197</v>
      </c>
      <c r="Y84" s="168">
        <f>VLOOKUP($C84,МНО!$B$16:$AB$104,11,0)</f>
        <v>8111</v>
      </c>
      <c r="Z84" s="174">
        <f>VLOOKUP($C84,МНО!$B$16:$AB$104,17,0)</f>
        <v>0.46862722440489946</v>
      </c>
      <c r="AA84" s="245"/>
      <c r="AB84" s="95">
        <f>VLOOKUP($C84,МНО!$B$16:$AB$104,13,0)</f>
        <v>5.8454948906819251</v>
      </c>
      <c r="AC84" s="154">
        <f>VLOOKUP($C84,МНО!$B$16:$AB$104,18,0)</f>
        <v>1</v>
      </c>
      <c r="AD84" s="165">
        <f>VLOOKUP($C84,Контейнеры!$B$16:$AB$104,16,0)</f>
        <v>24942</v>
      </c>
      <c r="AE84" s="168">
        <f>VLOOKUP($C84,Контейнеры!$B$16:$AB$104,8,0)</f>
        <v>10692</v>
      </c>
      <c r="AF84" s="168">
        <f>VLOOKUP($C84,Контейнеры!$B$16:$AB$104,11,0)</f>
        <v>14250</v>
      </c>
      <c r="AG84" s="174">
        <f>VLOOKUP($C84,Контейнеры!$B$16:$AB$104,17,0)</f>
        <v>0.57132547510223719</v>
      </c>
      <c r="AH84" s="245"/>
      <c r="AI84" s="95">
        <f>VLOOKUP($C84,Контейнеры!$B$16:$AB$104,13,0)</f>
        <v>11.180685397347252</v>
      </c>
      <c r="AJ84" s="154">
        <f>VLOOKUP($C84,Контейнеры!$B$16:$AB$104,18,0)</f>
        <v>0.76072572038420494</v>
      </c>
      <c r="AK84" s="135"/>
      <c r="AL84" s="94"/>
      <c r="AM84" s="94"/>
      <c r="AN84" s="116"/>
      <c r="AO84" s="78">
        <f>VLOOKUP($C84,Обработка!$B$16:$L$104,6,0)</f>
        <v>0.80900000000000005</v>
      </c>
      <c r="AP84" s="75">
        <f t="shared" si="23"/>
        <v>0.26600000000000001</v>
      </c>
      <c r="AQ84" s="75">
        <f>VLOOKUP($C84,Обработка!$B$16:$L$104,7,0)</f>
        <v>1</v>
      </c>
      <c r="AR84" s="178">
        <f t="shared" si="24"/>
        <v>0.19299999999999995</v>
      </c>
      <c r="AS84" s="180">
        <f>VLOOKUP($C84,Утилизация!$B$16:$L$104,6,0)</f>
        <v>2.3E-2</v>
      </c>
      <c r="AT84" s="76">
        <f t="shared" si="25"/>
        <v>-0.11600000000000002</v>
      </c>
      <c r="AU84" s="75">
        <f>VLOOKUP($C84,Утилизация!$B$16:$L$104,7,0)</f>
        <v>0.5</v>
      </c>
      <c r="AV84" s="185">
        <f t="shared" si="26"/>
        <v>0.21400000000000002</v>
      </c>
      <c r="AW84" s="162">
        <f>VLOOKUP(C84,Захоронение!$B$16:$Q$104,16,0)</f>
        <v>0</v>
      </c>
      <c r="AX84" s="135"/>
      <c r="AY84" s="94"/>
      <c r="AZ84" s="94"/>
      <c r="BA84" s="98"/>
      <c r="BB84" s="127" t="str">
        <f>VLOOKUP(C84,'ДК ИП'!$B$16:$S$104,5,0)</f>
        <v>небольшое</v>
      </c>
      <c r="BC84" s="289">
        <f>VLOOKUP(C84,Радар!$B$16:$G$104,6,0)</f>
        <v>5.3330990952554239E-2</v>
      </c>
      <c r="BD84" s="98"/>
      <c r="BF84" s="294">
        <f t="shared" si="27"/>
        <v>0.83333333333333337</v>
      </c>
      <c r="BI84" s="8">
        <f t="shared" si="28"/>
        <v>1</v>
      </c>
      <c r="BJ84" s="8">
        <f>VLOOKUP(C84,Штаб!$B$16:$C$104,2)</f>
        <v>0</v>
      </c>
      <c r="BK84" s="8">
        <f>VLOOKUP(C84,'РО - регионы'!$B$16:$C$104,2)</f>
        <v>0</v>
      </c>
      <c r="BL84" s="8">
        <f>VLOOKUP(C84,'РО - регионы'!$B$16:$L$104,11)</f>
        <v>0</v>
      </c>
      <c r="BM84" s="8">
        <f>VLOOKUP(C84,Спецтехника!$B$16:$C$104,2)</f>
        <v>0</v>
      </c>
      <c r="BN84" s="8">
        <f>VLOOKUP($C84,МНО!$B$16:$AB$104,6,0)</f>
        <v>2</v>
      </c>
      <c r="BO84" s="8">
        <f>VLOOKUP($C84,МНО!$B$16:$AB$104,4,0)</f>
        <v>1</v>
      </c>
      <c r="BP84" s="8">
        <f>VLOOKUP($C84,МНО!$B$16:$AB$104,5,0)</f>
        <v>0</v>
      </c>
      <c r="BQ84" s="8">
        <f>VLOOKUP($C84,Контейнеры!$B$16:$G$104,6,0)</f>
        <v>2</v>
      </c>
      <c r="BR84" s="8">
        <f>VLOOKUP($C84,Контейнеры!$B$16:$G$104,4,0)</f>
        <v>0</v>
      </c>
      <c r="BS84" s="8">
        <f>VLOOKUP($C84,Контейнеры!$B$16:$G$104,5,0)</f>
        <v>2</v>
      </c>
      <c r="BT84" s="8">
        <f>VLOOKUP($C84,'ДК МНО'!$B$16:$C$104,2,0)</f>
        <v>2</v>
      </c>
      <c r="BU84" s="8">
        <f>VLOOKUP($C84,Обработка!$B$16:$F$104,5,0)</f>
        <v>0</v>
      </c>
      <c r="BV84" s="8">
        <f>VLOOKUP($C84,Обработка!$B$16:$F$104,4,0)</f>
        <v>0</v>
      </c>
      <c r="BW84" s="8">
        <f>VLOOKUP($C84,Утилизация!$B$16:$F$104,5,0)</f>
        <v>0</v>
      </c>
      <c r="BX84" s="8">
        <f>VLOOKUP($C84,Утилизация!$B$16:$F$104,4,0)</f>
        <v>2</v>
      </c>
      <c r="BY84" s="8">
        <f>VLOOKUP($C84,Захоронение!$B$16:$C$104,2,0)</f>
        <v>2</v>
      </c>
      <c r="BZ84" s="8">
        <f>VLOOKUP($C84,'ДК ИП'!$B$16:$C$104,2,0)</f>
        <v>0</v>
      </c>
      <c r="CA84" s="8">
        <f>VLOOKUP(C84,Радар!$B$16:$G$104,2,0)</f>
        <v>0</v>
      </c>
      <c r="CB84" s="8">
        <f t="shared" si="29"/>
        <v>0.85</v>
      </c>
    </row>
    <row r="85" spans="1:80" ht="15.6" thickBot="1">
      <c r="A85" s="9" t="s">
        <v>657</v>
      </c>
      <c r="B85" s="121">
        <f t="shared" si="22"/>
        <v>75</v>
      </c>
      <c r="C85" s="202" t="s">
        <v>77</v>
      </c>
      <c r="D85" s="277" t="str">
        <f>VLOOKUP($C85,Штаб!$B$16:$J$104,6,0)</f>
        <v/>
      </c>
      <c r="E85" s="285" t="str">
        <f>VLOOKUP($C85,Штаб!$B$16:$J$104,7,0)</f>
        <v>✔️</v>
      </c>
      <c r="F85" s="285" t="str">
        <f>VLOOKUP($C85,Штаб!$B$16:$J$104,8,0)</f>
        <v/>
      </c>
      <c r="G85" s="286" t="str">
        <f>VLOOKUP($C85,Штаб!$B$16:$J$104,9,0)</f>
        <v/>
      </c>
      <c r="H85" s="278" t="str">
        <f>VLOOKUP(C85,'РО - регионы'!$B$16:$I$104,8,0)</f>
        <v>0 / 1 / 0 из 1</v>
      </c>
      <c r="I85" s="237"/>
      <c r="J85" s="122"/>
      <c r="K85" s="94"/>
      <c r="L85" s="94"/>
      <c r="M85" s="98"/>
      <c r="N85" s="165">
        <f>VLOOKUP(C85,Спецтехника!$B$16:$J$104,4,0)</f>
        <v>335</v>
      </c>
      <c r="O85" s="168">
        <f>VLOOKUP(C85,Спецтехника!$B$16:$J$104,5,0)</f>
        <v>255</v>
      </c>
      <c r="P85" s="168">
        <f>VLOOKUP(C85,Спецтехника!$B$16:$J$104,6,0)</f>
        <v>80</v>
      </c>
      <c r="Q85" s="171">
        <f>VLOOKUP(C85,Спецтехника!$B$16:$J$104,7,0)</f>
        <v>0.23880597014925373</v>
      </c>
      <c r="R85" s="242"/>
      <c r="S85" s="122"/>
      <c r="T85" s="94"/>
      <c r="U85" s="94"/>
      <c r="V85" s="98"/>
      <c r="W85" s="163">
        <f>VLOOKUP($C85,МНО!$B$16:$AB$104,16,0)</f>
        <v>10953</v>
      </c>
      <c r="X85" s="166">
        <f>VLOOKUP($C85,МНО!$B$16:$AB$104,8,0)</f>
        <v>9718</v>
      </c>
      <c r="Y85" s="166">
        <f>VLOOKUP($C85,МНО!$B$16:$AB$104,11,0)</f>
        <v>1235</v>
      </c>
      <c r="Z85" s="173">
        <f>VLOOKUP($C85,МНО!$B$16:$AB$104,17,0)</f>
        <v>0.11275449648498129</v>
      </c>
      <c r="AA85" s="245"/>
      <c r="AB85" s="95">
        <f>VLOOKUP($C85,МНО!$B$16:$AB$104,13,0)</f>
        <v>5.983761576399024</v>
      </c>
      <c r="AC85" s="154">
        <f>VLOOKUP($C85,МНО!$B$16:$AB$104,18,0)</f>
        <v>0.94450383905141411</v>
      </c>
      <c r="AD85" s="164">
        <f>VLOOKUP($C85,Контейнеры!$B$16:$AB$104,16,0)</f>
        <v>25653</v>
      </c>
      <c r="AE85" s="167">
        <f>VLOOKUP($C85,Контейнеры!$B$16:$AB$104,8,0)</f>
        <v>20453</v>
      </c>
      <c r="AF85" s="167">
        <f>VLOOKUP($C85,Контейнеры!$B$16:$AB$104,11,0)</f>
        <v>5200</v>
      </c>
      <c r="AG85" s="172">
        <f>VLOOKUP($C85,Контейнеры!$B$16:$AB$104,17,0)</f>
        <v>0.20270533660780415</v>
      </c>
      <c r="AH85" s="245"/>
      <c r="AI85" s="95">
        <f>VLOOKUP($C85,Контейнеры!$B$16:$AB$104,13,0)</f>
        <v>17.047760902923699</v>
      </c>
      <c r="AJ85" s="154">
        <f>VLOOKUP($C85,Контейнеры!$B$16:$AB$104,18,0)</f>
        <v>0.96832686298645965</v>
      </c>
      <c r="AK85" s="135"/>
      <c r="AL85" s="94"/>
      <c r="AM85" s="94"/>
      <c r="AN85" s="116"/>
      <c r="AO85" s="80">
        <f>VLOOKUP($C85,Обработка!$B$16:$L$104,6,0)</f>
        <v>0.31900000000000001</v>
      </c>
      <c r="AP85" s="75">
        <f t="shared" si="23"/>
        <v>-0.22400000000000003</v>
      </c>
      <c r="AQ85" s="76">
        <f>VLOOKUP($C85,Обработка!$B$16:$L$104,7,0)</f>
        <v>0.3</v>
      </c>
      <c r="AR85" s="177">
        <f t="shared" si="24"/>
        <v>-0.50700000000000012</v>
      </c>
      <c r="AS85" s="180">
        <f>VLOOKUP($C85,Утилизация!$B$16:$L$104,6,0)</f>
        <v>2.5000000000000001E-2</v>
      </c>
      <c r="AT85" s="76">
        <f t="shared" si="25"/>
        <v>-0.11400000000000002</v>
      </c>
      <c r="AU85" s="76">
        <f>VLOOKUP($C85,Утилизация!$B$16:$L$104,7,0)</f>
        <v>2.5000000000000001E-2</v>
      </c>
      <c r="AV85" s="184">
        <f t="shared" si="26"/>
        <v>-0.26099999999999995</v>
      </c>
      <c r="AW85" s="162" t="str">
        <f>VLOOKUP(C85,Захоронение!$B$16:$Q$104,16,0)</f>
        <v>765 приказ</v>
      </c>
      <c r="AX85" s="135"/>
      <c r="AY85" s="94"/>
      <c r="AZ85" s="94"/>
      <c r="BA85" s="98"/>
      <c r="BB85" s="127" t="str">
        <f>VLOOKUP(C85,'ДК ИП'!$B$16:$S$104,5,0)</f>
        <v>существенное</v>
      </c>
      <c r="BC85" s="288">
        <f>VLOOKUP(C85,Радар!$B$16:$G$104,6,0)</f>
        <v>9.0852488066233972E-2</v>
      </c>
      <c r="BD85" s="98"/>
      <c r="BF85" s="293">
        <f t="shared" si="27"/>
        <v>1.4166666666666667</v>
      </c>
      <c r="BI85" s="8">
        <f t="shared" si="28"/>
        <v>2</v>
      </c>
      <c r="BJ85" s="8">
        <f>VLOOKUP(C85,Штаб!$B$16:$C$104,2)</f>
        <v>1</v>
      </c>
      <c r="BK85" s="8">
        <f>VLOOKUP(C85,'РО - регионы'!$B$16:$C$104,2)</f>
        <v>1</v>
      </c>
      <c r="BL85" s="8">
        <f>VLOOKUP(C85,'РО - регионы'!$B$16:$L$104,11)</f>
        <v>2</v>
      </c>
      <c r="BM85" s="8">
        <f>VLOOKUP(C85,Спецтехника!$B$16:$C$104,2)</f>
        <v>2</v>
      </c>
      <c r="BN85" s="8">
        <f>VLOOKUP($C85,МНО!$B$16:$AB$104,6,0)</f>
        <v>0</v>
      </c>
      <c r="BO85" s="8">
        <f>VLOOKUP($C85,МНО!$B$16:$AB$104,4,0)</f>
        <v>0</v>
      </c>
      <c r="BP85" s="8">
        <f>VLOOKUP($C85,МНО!$B$16:$AB$104,5,0)</f>
        <v>0</v>
      </c>
      <c r="BQ85" s="8">
        <f>VLOOKUP($C85,Контейнеры!$B$16:$G$104,6,0)</f>
        <v>1</v>
      </c>
      <c r="BR85" s="8">
        <f>VLOOKUP($C85,Контейнеры!$B$16:$G$104,4,0)</f>
        <v>0</v>
      </c>
      <c r="BS85" s="8">
        <f>VLOOKUP($C85,Контейнеры!$B$16:$G$104,5,0)</f>
        <v>0</v>
      </c>
      <c r="BT85" s="8">
        <f>VLOOKUP($C85,'ДК МНО'!$B$16:$C$104,2,0)</f>
        <v>2</v>
      </c>
      <c r="BU85" s="8">
        <f>VLOOKUP($C85,Обработка!$B$16:$F$104,5,0)</f>
        <v>2</v>
      </c>
      <c r="BV85" s="8">
        <f>VLOOKUP($C85,Обработка!$B$16:$F$104,4,0)</f>
        <v>1</v>
      </c>
      <c r="BW85" s="8">
        <f>VLOOKUP($C85,Утилизация!$B$16:$F$104,5,0)</f>
        <v>2</v>
      </c>
      <c r="BX85" s="8">
        <f>VLOOKUP($C85,Утилизация!$B$16:$F$104,4,0)</f>
        <v>2</v>
      </c>
      <c r="BY85" s="8">
        <f>VLOOKUP($C85,Захоронение!$B$16:$C$104,2,0)</f>
        <v>2</v>
      </c>
      <c r="BZ85" s="8">
        <f>VLOOKUP($C85,'ДК ИП'!$B$16:$C$104,2,0)</f>
        <v>2</v>
      </c>
      <c r="CA85" s="8">
        <f>VLOOKUP(C85,Радар!$B$16:$G$104,2,0)</f>
        <v>2</v>
      </c>
      <c r="CB85" s="8">
        <f t="shared" si="29"/>
        <v>1.4000000000000001</v>
      </c>
    </row>
    <row r="86" spans="1:80" ht="15.6" thickBot="1">
      <c r="A86" s="9" t="s">
        <v>653</v>
      </c>
      <c r="B86" s="122">
        <f t="shared" si="22"/>
        <v>76</v>
      </c>
      <c r="C86" s="202" t="s">
        <v>78</v>
      </c>
      <c r="D86" s="277" t="str">
        <f>VLOOKUP($C86,Штаб!$B$16:$J$104,6,0)</f>
        <v/>
      </c>
      <c r="E86" s="285" t="str">
        <f>VLOOKUP($C86,Штаб!$B$16:$J$104,7,0)</f>
        <v>✔️</v>
      </c>
      <c r="F86" s="285" t="str">
        <f>VLOOKUP($C86,Штаб!$B$16:$J$104,8,0)</f>
        <v/>
      </c>
      <c r="G86" s="286" t="str">
        <f>VLOOKUP($C86,Штаб!$B$16:$J$104,9,0)</f>
        <v/>
      </c>
      <c r="H86" s="279" t="str">
        <f>VLOOKUP(C86,'РО - регионы'!$B$16:$I$104,8,0)</f>
        <v>0 / 0 / 7 из 7</v>
      </c>
      <c r="I86" s="237"/>
      <c r="J86" s="122"/>
      <c r="K86" s="94"/>
      <c r="L86" s="94"/>
      <c r="M86" s="98"/>
      <c r="N86" s="164">
        <f>VLOOKUP(C86,Спецтехника!$B$16:$J$104,4,0)</f>
        <v>202</v>
      </c>
      <c r="O86" s="167">
        <f>VLOOKUP(C86,Спецтехника!$B$16:$J$104,5,0)</f>
        <v>170</v>
      </c>
      <c r="P86" s="167">
        <f>VLOOKUP(C86,Спецтехника!$B$16:$J$104,6,0)</f>
        <v>32</v>
      </c>
      <c r="Q86" s="170">
        <f>VLOOKUP(C86,Спецтехника!$B$16:$J$104,7,0)</f>
        <v>0.15841584158415842</v>
      </c>
      <c r="R86" s="242"/>
      <c r="S86" s="122"/>
      <c r="T86" s="94"/>
      <c r="U86" s="94"/>
      <c r="V86" s="98"/>
      <c r="W86" s="164">
        <f>VLOOKUP($C86,МНО!$B$16:$AB$104,16,0)</f>
        <v>20833</v>
      </c>
      <c r="X86" s="167">
        <f>VLOOKUP($C86,МНО!$B$16:$AB$104,8,0)</f>
        <v>13268</v>
      </c>
      <c r="Y86" s="167">
        <f>VLOOKUP($C86,МНО!$B$16:$AB$104,11,0)</f>
        <v>7565</v>
      </c>
      <c r="Z86" s="172">
        <f>VLOOKUP($C86,МНО!$B$16:$AB$104,17,0)</f>
        <v>0.36312581001296018</v>
      </c>
      <c r="AA86" s="245"/>
      <c r="AB86" s="95">
        <f>VLOOKUP($C86,МНО!$B$16:$AB$104,13,0)</f>
        <v>11.831682456619561</v>
      </c>
      <c r="AC86" s="154">
        <f>VLOOKUP($C86,МНО!$B$16:$AB$104,18,0)</f>
        <v>0.93377436835808292</v>
      </c>
      <c r="AD86" s="163">
        <f>VLOOKUP($C86,Контейнеры!$B$16:$AB$104,16,0)</f>
        <v>24705</v>
      </c>
      <c r="AE86" s="166">
        <f>VLOOKUP($C86,Контейнеры!$B$16:$AB$104,8,0)</f>
        <v>21478</v>
      </c>
      <c r="AF86" s="166">
        <f>VLOOKUP($C86,Контейнеры!$B$16:$AB$104,11,0)</f>
        <v>3227</v>
      </c>
      <c r="AG86" s="173">
        <f>VLOOKUP($C86,Контейнеры!$B$16:$AB$104,17,0)</f>
        <v>0.13062133171422788</v>
      </c>
      <c r="AH86" s="245"/>
      <c r="AI86" s="95">
        <f>VLOOKUP($C86,Контейнеры!$B$16:$AB$104,13,0)</f>
        <v>20.584923110836367</v>
      </c>
      <c r="AJ86" s="154">
        <f>VLOOKUP($C86,Контейнеры!$B$16:$AB$104,18,0)</f>
        <v>1</v>
      </c>
      <c r="AK86" s="135"/>
      <c r="AL86" s="94"/>
      <c r="AM86" s="94"/>
      <c r="AN86" s="116"/>
      <c r="AO86" s="79">
        <f>VLOOKUP($C86,Обработка!$B$16:$L$104,6,0)</f>
        <v>8.5999999999999993E-2</v>
      </c>
      <c r="AP86" s="75">
        <f t="shared" si="23"/>
        <v>-0.45700000000000007</v>
      </c>
      <c r="AQ86" s="74">
        <f>VLOOKUP($C86,Обработка!$B$16:$L$104,7,0)</f>
        <v>0.78</v>
      </c>
      <c r="AR86" s="179">
        <f t="shared" si="24"/>
        <v>-2.7000000000000024E-2</v>
      </c>
      <c r="AS86" s="180">
        <f>VLOOKUP($C86,Утилизация!$B$16:$L$104,6,0)</f>
        <v>5.0000000000000001E-3</v>
      </c>
      <c r="AT86" s="76">
        <f t="shared" si="25"/>
        <v>-0.13400000000000001</v>
      </c>
      <c r="AU86" s="75">
        <f>VLOOKUP($C86,Утилизация!$B$16:$L$104,7,0)</f>
        <v>0.34799999999999998</v>
      </c>
      <c r="AV86" s="185">
        <f t="shared" si="26"/>
        <v>6.2E-2</v>
      </c>
      <c r="AW86" s="161" t="str">
        <f>VLOOKUP(C86,Захоронение!$B$16:$Q$104,16,0)</f>
        <v/>
      </c>
      <c r="AX86" s="135"/>
      <c r="AY86" s="94"/>
      <c r="AZ86" s="94"/>
      <c r="BA86" s="98"/>
      <c r="BB86" s="127" t="str">
        <f>VLOOKUP(C86,'ДК ИП'!$B$16:$S$104,5,0)</f>
        <v>нет</v>
      </c>
      <c r="BC86" s="290">
        <f>VLOOKUP(C86,Радар!$B$16:$G$104,6,0)</f>
        <v>0.18785012243802623</v>
      </c>
      <c r="BD86" s="98"/>
      <c r="BF86" s="296">
        <f t="shared" si="27"/>
        <v>0.41666666666666669</v>
      </c>
      <c r="BI86" s="8">
        <f t="shared" si="28"/>
        <v>0</v>
      </c>
      <c r="BJ86" s="8">
        <f>VLOOKUP(C86,Штаб!$B$16:$C$104,2)</f>
        <v>1</v>
      </c>
      <c r="BK86" s="8">
        <f>VLOOKUP(C86,'РО - регионы'!$B$16:$C$104,2)</f>
        <v>0</v>
      </c>
      <c r="BL86" s="8">
        <f>VLOOKUP(C86,'РО - регионы'!$B$16:$L$104,11)</f>
        <v>0</v>
      </c>
      <c r="BM86" s="8">
        <f>VLOOKUP(C86,Спецтехника!$B$16:$C$104,2)</f>
        <v>1</v>
      </c>
      <c r="BN86" s="8">
        <f>VLOOKUP($C86,МНО!$B$16:$AB$104,6,0)</f>
        <v>1</v>
      </c>
      <c r="BO86" s="8">
        <f>VLOOKUP($C86,МНО!$B$16:$AB$104,4,0)</f>
        <v>0</v>
      </c>
      <c r="BP86" s="8">
        <f>VLOOKUP($C86,МНО!$B$16:$AB$104,5,0)</f>
        <v>0</v>
      </c>
      <c r="BQ86" s="8">
        <f>VLOOKUP($C86,Контейнеры!$B$16:$G$104,6,0)</f>
        <v>0</v>
      </c>
      <c r="BR86" s="8">
        <f>VLOOKUP($C86,Контейнеры!$B$16:$G$104,4,0)</f>
        <v>0</v>
      </c>
      <c r="BS86" s="8">
        <f>VLOOKUP($C86,Контейнеры!$B$16:$G$104,5,0)</f>
        <v>0</v>
      </c>
      <c r="BT86" s="8">
        <f>VLOOKUP($C86,'ДК МНО'!$B$16:$C$104,2,0)</f>
        <v>2</v>
      </c>
      <c r="BU86" s="8">
        <f>VLOOKUP($C86,Обработка!$B$16:$F$104,5,0)</f>
        <v>1</v>
      </c>
      <c r="BV86" s="8">
        <f>VLOOKUP($C86,Обработка!$B$16:$F$104,4,0)</f>
        <v>2</v>
      </c>
      <c r="BW86" s="8">
        <f>VLOOKUP($C86,Утилизация!$B$16:$F$104,5,0)</f>
        <v>0</v>
      </c>
      <c r="BX86" s="8">
        <f>VLOOKUP($C86,Утилизация!$B$16:$F$104,4,0)</f>
        <v>2</v>
      </c>
      <c r="BY86" s="8">
        <f>VLOOKUP($C86,Захоронение!$B$16:$C$104,2,0)</f>
        <v>0</v>
      </c>
      <c r="BZ86" s="8">
        <f>VLOOKUP($C86,'ДК ИП'!$B$16:$C$104,2,0)</f>
        <v>0</v>
      </c>
      <c r="CA86" s="8">
        <f>VLOOKUP(C86,Радар!$B$16:$G$104,2,0)</f>
        <v>1</v>
      </c>
      <c r="CB86" s="8">
        <f t="shared" si="29"/>
        <v>0.35</v>
      </c>
    </row>
    <row r="87" spans="1:80" ht="15.6" thickBot="1">
      <c r="A87" s="9" t="s">
        <v>657</v>
      </c>
      <c r="B87" s="121">
        <f t="shared" si="22"/>
        <v>77</v>
      </c>
      <c r="C87" s="202" t="s">
        <v>79</v>
      </c>
      <c r="D87" s="277" t="str">
        <f>VLOOKUP($C87,Штаб!$B$16:$J$104,6,0)</f>
        <v/>
      </c>
      <c r="E87" s="285" t="str">
        <f>VLOOKUP($C87,Штаб!$B$16:$J$104,7,0)</f>
        <v>✔️</v>
      </c>
      <c r="F87" s="285" t="str">
        <f>VLOOKUP($C87,Штаб!$B$16:$J$104,8,0)</f>
        <v/>
      </c>
      <c r="G87" s="286" t="str">
        <f>VLOOKUP($C87,Штаб!$B$16:$J$104,9,0)</f>
        <v/>
      </c>
      <c r="H87" s="279" t="str">
        <f>VLOOKUP(C87,'РО - регионы'!$B$16:$I$104,8,0)</f>
        <v>0 / 0 / 2 из 2</v>
      </c>
      <c r="I87" s="237"/>
      <c r="J87" s="122"/>
      <c r="K87" s="94"/>
      <c r="L87" s="94"/>
      <c r="M87" s="98"/>
      <c r="N87" s="164">
        <f>VLOOKUP(C87,Спецтехника!$B$16:$J$104,4,0)</f>
        <v>272</v>
      </c>
      <c r="O87" s="167">
        <f>VLOOKUP(C87,Спецтехника!$B$16:$J$104,5,0)</f>
        <v>243</v>
      </c>
      <c r="P87" s="167">
        <f>VLOOKUP(C87,Спецтехника!$B$16:$J$104,6,0)</f>
        <v>29</v>
      </c>
      <c r="Q87" s="170">
        <f>VLOOKUP(C87,Спецтехника!$B$16:$J$104,7,0)</f>
        <v>0.10661764705882353</v>
      </c>
      <c r="R87" s="242"/>
      <c r="S87" s="122"/>
      <c r="T87" s="94"/>
      <c r="U87" s="94"/>
      <c r="V87" s="98"/>
      <c r="W87" s="163">
        <f>VLOOKUP($C87,МНО!$B$16:$AB$104,16,0)</f>
        <v>10374</v>
      </c>
      <c r="X87" s="166">
        <f>VLOOKUP($C87,МНО!$B$16:$AB$104,8,0)</f>
        <v>9955</v>
      </c>
      <c r="Y87" s="166">
        <f>VLOOKUP($C87,МНО!$B$16:$AB$104,11,0)</f>
        <v>419</v>
      </c>
      <c r="Z87" s="173">
        <f>VLOOKUP($C87,МНО!$B$16:$AB$104,17,0)</f>
        <v>4.0389435126277233E-2</v>
      </c>
      <c r="AA87" s="245"/>
      <c r="AB87" s="95">
        <f>VLOOKUP($C87,МНО!$B$16:$AB$104,13,0)</f>
        <v>5.7078184265263667</v>
      </c>
      <c r="AC87" s="154">
        <f>VLOOKUP($C87,МНО!$B$16:$AB$104,18,0)</f>
        <v>1</v>
      </c>
      <c r="AD87" s="164">
        <f>VLOOKUP($C87,Контейнеры!$B$16:$AB$104,16,0)</f>
        <v>19938</v>
      </c>
      <c r="AE87" s="167">
        <f>VLOOKUP($C87,Контейнеры!$B$16:$AB$104,8,0)</f>
        <v>16568</v>
      </c>
      <c r="AF87" s="167">
        <f>VLOOKUP($C87,Контейнеры!$B$16:$AB$104,11,0)</f>
        <v>3370</v>
      </c>
      <c r="AG87" s="172">
        <f>VLOOKUP($C87,Контейнеры!$B$16:$AB$104,17,0)</f>
        <v>0.16902397432039321</v>
      </c>
      <c r="AH87" s="245"/>
      <c r="AI87" s="95">
        <f>VLOOKUP($C87,Контейнеры!$B$16:$AB$104,13,0)</f>
        <v>11.262014492162541</v>
      </c>
      <c r="AJ87" s="154">
        <f>VLOOKUP($C87,Контейнеры!$B$16:$AB$104,18,0)</f>
        <v>0.53841154296113347</v>
      </c>
      <c r="AK87" s="135"/>
      <c r="AL87" s="94"/>
      <c r="AM87" s="94"/>
      <c r="AN87" s="116"/>
      <c r="AO87" s="80">
        <f>VLOOKUP($C87,Обработка!$B$16:$L$104,6,0)</f>
        <v>0.41399999999999998</v>
      </c>
      <c r="AP87" s="75">
        <f t="shared" si="23"/>
        <v>-0.12900000000000006</v>
      </c>
      <c r="AQ87" s="75">
        <f>VLOOKUP($C87,Обработка!$B$16:$L$104,7,0)</f>
        <v>1</v>
      </c>
      <c r="AR87" s="178">
        <f t="shared" si="24"/>
        <v>0.19299999999999995</v>
      </c>
      <c r="AS87" s="181">
        <f>VLOOKUP($C87,Утилизация!$B$16:$L$104,6,0)</f>
        <v>0.124</v>
      </c>
      <c r="AT87" s="74">
        <f t="shared" si="25"/>
        <v>-1.5000000000000013E-2</v>
      </c>
      <c r="AU87" s="74">
        <f>VLOOKUP($C87,Утилизация!$B$16:$L$104,7,0)</f>
        <v>0.25900000000000001</v>
      </c>
      <c r="AV87" s="186">
        <f t="shared" si="26"/>
        <v>-2.6999999999999968E-2</v>
      </c>
      <c r="AW87" s="161" t="str">
        <f>VLOOKUP(C87,Захоронение!$B$16:$Q$104,16,0)</f>
        <v/>
      </c>
      <c r="AX87" s="135"/>
      <c r="AY87" s="94"/>
      <c r="AZ87" s="94"/>
      <c r="BA87" s="98"/>
      <c r="BB87" s="127" t="str">
        <f>VLOOKUP(C87,'ДК ИП'!$B$16:$S$104,5,0)</f>
        <v>не подписана</v>
      </c>
      <c r="BC87" s="288">
        <f>VLOOKUP(C87,Радар!$B$16:$G$104,6,0)</f>
        <v>3.0588523186100575E-2</v>
      </c>
      <c r="BD87" s="98"/>
      <c r="BF87" s="296">
        <f t="shared" si="27"/>
        <v>0.25</v>
      </c>
      <c r="BI87" s="8">
        <f t="shared" si="28"/>
        <v>0</v>
      </c>
      <c r="BJ87" s="8">
        <f>VLOOKUP(C87,Штаб!$B$16:$C$104,2)</f>
        <v>1</v>
      </c>
      <c r="BK87" s="8">
        <f>VLOOKUP(C87,'РО - регионы'!$B$16:$C$104,2)</f>
        <v>0</v>
      </c>
      <c r="BL87" s="8">
        <f>VLOOKUP(C87,'РО - регионы'!$B$16:$L$104,11)</f>
        <v>0</v>
      </c>
      <c r="BM87" s="8">
        <f>VLOOKUP(C87,Спецтехника!$B$16:$C$104,2)</f>
        <v>1</v>
      </c>
      <c r="BN87" s="8">
        <f>VLOOKUP($C87,МНО!$B$16:$AB$104,6,0)</f>
        <v>0</v>
      </c>
      <c r="BO87" s="8">
        <f>VLOOKUP($C87,МНО!$B$16:$AB$104,4,0)</f>
        <v>1</v>
      </c>
      <c r="BP87" s="8">
        <f>VLOOKUP($C87,МНО!$B$16:$AB$104,5,0)</f>
        <v>0</v>
      </c>
      <c r="BQ87" s="8">
        <f>VLOOKUP($C87,Контейнеры!$B$16:$G$104,6,0)</f>
        <v>1</v>
      </c>
      <c r="BR87" s="8">
        <f>VLOOKUP($C87,Контейнеры!$B$16:$G$104,4,0)</f>
        <v>0</v>
      </c>
      <c r="BS87" s="8">
        <f>VLOOKUP($C87,Контейнеры!$B$16:$G$104,5,0)</f>
        <v>2</v>
      </c>
      <c r="BT87" s="8">
        <f>VLOOKUP($C87,'ДК МНО'!$B$16:$C$104,2,0)</f>
        <v>2</v>
      </c>
      <c r="BU87" s="8">
        <f>VLOOKUP($C87,Обработка!$B$16:$F$104,5,0)</f>
        <v>0</v>
      </c>
      <c r="BV87" s="8">
        <f>VLOOKUP($C87,Обработка!$B$16:$F$104,4,0)</f>
        <v>1</v>
      </c>
      <c r="BW87" s="8">
        <f>VLOOKUP($C87,Утилизация!$B$16:$F$104,5,0)</f>
        <v>1</v>
      </c>
      <c r="BX87" s="8">
        <f>VLOOKUP($C87,Утилизация!$B$16:$F$104,4,0)</f>
        <v>1</v>
      </c>
      <c r="BY87" s="8">
        <f>VLOOKUP($C87,Захоронение!$B$16:$C$104,2,0)</f>
        <v>0</v>
      </c>
      <c r="BZ87" s="8">
        <f>VLOOKUP($C87,'ДК ИП'!$B$16:$C$104,2,0)</f>
        <v>0</v>
      </c>
      <c r="CA87" s="8">
        <f>VLOOKUP(C87,Радар!$B$16:$G$104,2,0)</f>
        <v>2</v>
      </c>
      <c r="CB87" s="8">
        <f t="shared" si="29"/>
        <v>0.3</v>
      </c>
    </row>
    <row r="88" spans="1:80" ht="15.6" thickBot="1">
      <c r="A88" s="9" t="s">
        <v>660</v>
      </c>
      <c r="B88" s="122">
        <f t="shared" si="22"/>
        <v>78</v>
      </c>
      <c r="C88" s="202" t="s">
        <v>80</v>
      </c>
      <c r="D88" s="277" t="str">
        <f>VLOOKUP($C88,Штаб!$B$16:$J$104,6,0)</f>
        <v>✔️</v>
      </c>
      <c r="E88" s="285" t="str">
        <f>VLOOKUP($C88,Штаб!$B$16:$J$104,7,0)</f>
        <v/>
      </c>
      <c r="F88" s="285" t="str">
        <f>VLOOKUP($C88,Штаб!$B$16:$J$104,8,0)</f>
        <v/>
      </c>
      <c r="G88" s="286" t="str">
        <f>VLOOKUP($C88,Штаб!$B$16:$J$104,9,0)</f>
        <v/>
      </c>
      <c r="H88" s="279" t="str">
        <f>VLOOKUP(C88,'РО - регионы'!$B$16:$I$104,8,0)</f>
        <v>0 / 0 / 1 из 1</v>
      </c>
      <c r="I88" s="237"/>
      <c r="J88" s="122"/>
      <c r="K88" s="94"/>
      <c r="L88" s="94"/>
      <c r="M88" s="98"/>
      <c r="N88" s="163">
        <f>VLOOKUP(C88,Спецтехника!$B$16:$J$104,4,0)</f>
        <v>301</v>
      </c>
      <c r="O88" s="166">
        <f>VLOOKUP(C88,Спецтехника!$B$16:$J$104,5,0)</f>
        <v>298</v>
      </c>
      <c r="P88" s="166">
        <f>VLOOKUP(C88,Спецтехника!$B$16:$J$104,6,0)</f>
        <v>3</v>
      </c>
      <c r="Q88" s="169">
        <f>VLOOKUP(C88,Спецтехника!$B$16:$J$104,7,0)</f>
        <v>9.9667774086378731E-3</v>
      </c>
      <c r="R88" s="242"/>
      <c r="S88" s="122"/>
      <c r="T88" s="94"/>
      <c r="U88" s="94"/>
      <c r="V88" s="98"/>
      <c r="W88" s="165">
        <f>VLOOKUP($C88,МНО!$B$16:$AB$104,16,0)</f>
        <v>15786</v>
      </c>
      <c r="X88" s="168">
        <f>VLOOKUP($C88,МНО!$B$16:$AB$104,8,0)</f>
        <v>15786</v>
      </c>
      <c r="Y88" s="168">
        <f>VLOOKUP($C88,МНО!$B$16:$AB$104,11,0)</f>
        <v>0</v>
      </c>
      <c r="Z88" s="174">
        <f>VLOOKUP($C88,МНО!$B$16:$AB$104,17,0)</f>
        <v>0</v>
      </c>
      <c r="AA88" s="245"/>
      <c r="AB88" s="95">
        <f>VLOOKUP($C88,МНО!$B$16:$AB$104,13,0)</f>
        <v>9.4784500208610076</v>
      </c>
      <c r="AC88" s="154">
        <f>VLOOKUP($C88,МНО!$B$16:$AB$104,18,0)</f>
        <v>1</v>
      </c>
      <c r="AD88" s="165">
        <f>VLOOKUP($C88,Контейнеры!$B$16:$AB$104,16,0)</f>
        <v>27758</v>
      </c>
      <c r="AE88" s="168">
        <f>VLOOKUP($C88,Контейнеры!$B$16:$AB$104,8,0)</f>
        <v>27758</v>
      </c>
      <c r="AF88" s="168">
        <f>VLOOKUP($C88,Контейнеры!$B$16:$AB$104,11,0)</f>
        <v>0</v>
      </c>
      <c r="AG88" s="174">
        <f>VLOOKUP($C88,Контейнеры!$B$16:$AB$104,17,0)</f>
        <v>0</v>
      </c>
      <c r="AH88" s="245"/>
      <c r="AI88" s="95">
        <f>VLOOKUP($C88,Контейнеры!$B$16:$AB$104,13,0)</f>
        <v>17.182785767963683</v>
      </c>
      <c r="AJ88" s="154">
        <f>VLOOKUP($C88,Контейнеры!$B$16:$AB$104,18,0)</f>
        <v>1</v>
      </c>
      <c r="AK88" s="135"/>
      <c r="AL88" s="94"/>
      <c r="AM88" s="94"/>
      <c r="AN88" s="116"/>
      <c r="AO88" s="78">
        <f>VLOOKUP($C88,Обработка!$B$16:$L$104,6,0)</f>
        <v>1</v>
      </c>
      <c r="AP88" s="75">
        <f t="shared" si="23"/>
        <v>0.45699999999999996</v>
      </c>
      <c r="AQ88" s="75">
        <f>VLOOKUP($C88,Обработка!$B$16:$L$104,7,0)</f>
        <v>0.95</v>
      </c>
      <c r="AR88" s="178">
        <f t="shared" si="24"/>
        <v>0.1429999999999999</v>
      </c>
      <c r="AS88" s="180">
        <f>VLOOKUP($C88,Утилизация!$B$16:$L$104,6,0)</f>
        <v>0.04</v>
      </c>
      <c r="AT88" s="76">
        <f t="shared" si="25"/>
        <v>-9.9000000000000005E-2</v>
      </c>
      <c r="AU88" s="76">
        <f>VLOOKUP($C88,Утилизация!$B$16:$L$104,7,0)</f>
        <v>0.1</v>
      </c>
      <c r="AV88" s="184">
        <f t="shared" si="26"/>
        <v>-0.18599999999999997</v>
      </c>
      <c r="AW88" s="161" t="str">
        <f>VLOOKUP(C88,Захоронение!$B$16:$Q$104,16,0)</f>
        <v/>
      </c>
      <c r="AX88" s="135"/>
      <c r="AY88" s="94"/>
      <c r="AZ88" s="94"/>
      <c r="BA88" s="98"/>
      <c r="BB88" s="127" t="str">
        <f>VLOOKUP(C88,'ДК ИП'!$B$16:$S$104,5,0)</f>
        <v>не подписана</v>
      </c>
      <c r="BC88" s="290">
        <f>VLOOKUP(C88,Радар!$B$16:$G$104,6,0)</f>
        <v>5.5092871725223994E-2</v>
      </c>
      <c r="BD88" s="98"/>
      <c r="BF88" s="296">
        <f t="shared" si="27"/>
        <v>0.33333333333333331</v>
      </c>
      <c r="BI88" s="8">
        <f t="shared" si="28"/>
        <v>0</v>
      </c>
      <c r="BJ88" s="8">
        <f>VLOOKUP(C88,Штаб!$B$16:$C$104,2)</f>
        <v>0</v>
      </c>
      <c r="BK88" s="8">
        <f>VLOOKUP(C88,'РО - регионы'!$B$16:$C$104,2)</f>
        <v>0</v>
      </c>
      <c r="BL88" s="8">
        <f>VLOOKUP(C88,'РО - регионы'!$B$16:$L$104,11)</f>
        <v>0</v>
      </c>
      <c r="BM88" s="8">
        <f>VLOOKUP(C88,Спецтехника!$B$16:$C$104,2)</f>
        <v>0</v>
      </c>
      <c r="BN88" s="8">
        <f>VLOOKUP($C88,МНО!$B$16:$AB$104,6,0)</f>
        <v>2</v>
      </c>
      <c r="BO88" s="8">
        <f>VLOOKUP($C88,МНО!$B$16:$AB$104,4,0)</f>
        <v>0</v>
      </c>
      <c r="BP88" s="8">
        <f>VLOOKUP($C88,МНО!$B$16:$AB$104,5,0)</f>
        <v>0</v>
      </c>
      <c r="BQ88" s="8">
        <f>VLOOKUP($C88,Контейнеры!$B$16:$G$104,6,0)</f>
        <v>2</v>
      </c>
      <c r="BR88" s="8">
        <f>VLOOKUP($C88,Контейнеры!$B$16:$G$104,4,0)</f>
        <v>0</v>
      </c>
      <c r="BS88" s="8">
        <f>VLOOKUP($C88,Контейнеры!$B$16:$G$104,5,0)</f>
        <v>0</v>
      </c>
      <c r="BT88" s="8">
        <f>VLOOKUP($C88,'ДК МНО'!$B$16:$C$104,2,0)</f>
        <v>2</v>
      </c>
      <c r="BU88" s="8">
        <f>VLOOKUP($C88,Обработка!$B$16:$F$104,5,0)</f>
        <v>0</v>
      </c>
      <c r="BV88" s="8">
        <f>VLOOKUP($C88,Обработка!$B$16:$F$104,4,0)</f>
        <v>0</v>
      </c>
      <c r="BW88" s="8">
        <f>VLOOKUP($C88,Утилизация!$B$16:$F$104,5,0)</f>
        <v>2</v>
      </c>
      <c r="BX88" s="8">
        <f>VLOOKUP($C88,Утилизация!$B$16:$F$104,4,0)</f>
        <v>2</v>
      </c>
      <c r="BY88" s="8">
        <f>VLOOKUP($C88,Захоронение!$B$16:$C$104,2,0)</f>
        <v>0</v>
      </c>
      <c r="BZ88" s="8">
        <f>VLOOKUP($C88,'ДК ИП'!$B$16:$C$104,2,0)</f>
        <v>0</v>
      </c>
      <c r="CA88" s="8">
        <f>VLOOKUP(C88,Радар!$B$16:$G$104,2,0)</f>
        <v>1</v>
      </c>
      <c r="CB88" s="8">
        <f t="shared" si="29"/>
        <v>0.4</v>
      </c>
    </row>
    <row r="89" spans="1:80" ht="15.6" thickBot="1">
      <c r="A89" s="9" t="s">
        <v>659</v>
      </c>
      <c r="B89" s="121">
        <f t="shared" si="22"/>
        <v>79</v>
      </c>
      <c r="C89" s="202" t="s">
        <v>81</v>
      </c>
      <c r="D89" s="277" t="str">
        <f>VLOOKUP($C89,Штаб!$B$16:$J$104,6,0)</f>
        <v/>
      </c>
      <c r="E89" s="285" t="str">
        <f>VLOOKUP($C89,Штаб!$B$16:$J$104,7,0)</f>
        <v/>
      </c>
      <c r="F89" s="285" t="str">
        <f>VLOOKUP($C89,Штаб!$B$16:$J$104,8,0)</f>
        <v/>
      </c>
      <c r="G89" s="286" t="str">
        <f>VLOOKUP($C89,Штаб!$B$16:$J$104,9,0)</f>
        <v>✔️</v>
      </c>
      <c r="H89" s="279" t="str">
        <f>VLOOKUP(C89,'РО - регионы'!$B$16:$I$104,8,0)</f>
        <v>0 / 0 / 1 из 1</v>
      </c>
      <c r="I89" s="237"/>
      <c r="J89" s="122"/>
      <c r="K89" s="94"/>
      <c r="L89" s="94"/>
      <c r="M89" s="98"/>
      <c r="N89" s="164">
        <f>VLOOKUP(C89,Спецтехника!$B$16:$J$104,4,0)</f>
        <v>201</v>
      </c>
      <c r="O89" s="167">
        <f>VLOOKUP(C89,Спецтехника!$B$16:$J$104,5,0)</f>
        <v>179</v>
      </c>
      <c r="P89" s="167">
        <f>VLOOKUP(C89,Спецтехника!$B$16:$J$104,6,0)</f>
        <v>22</v>
      </c>
      <c r="Q89" s="170">
        <f>VLOOKUP(C89,Спецтехника!$B$16:$J$104,7,0)</f>
        <v>0.10945273631840796</v>
      </c>
      <c r="R89" s="242"/>
      <c r="S89" s="122"/>
      <c r="T89" s="94"/>
      <c r="U89" s="94"/>
      <c r="V89" s="98"/>
      <c r="W89" s="164">
        <f>VLOOKUP($C89,МНО!$B$16:$AB$104,16,0)</f>
        <v>11885</v>
      </c>
      <c r="X89" s="167">
        <f>VLOOKUP($C89,МНО!$B$16:$AB$104,8,0)</f>
        <v>8883</v>
      </c>
      <c r="Y89" s="167">
        <f>VLOOKUP($C89,МНО!$B$16:$AB$104,11,0)</f>
        <v>3002</v>
      </c>
      <c r="Z89" s="172">
        <f>VLOOKUP($C89,МНО!$B$16:$AB$104,17,0)</f>
        <v>0.25258729490954984</v>
      </c>
      <c r="AA89" s="245"/>
      <c r="AB89" s="95">
        <f>VLOOKUP($C89,МНО!$B$16:$AB$104,13,0)</f>
        <v>5.5285359870677846</v>
      </c>
      <c r="AC89" s="154">
        <f>VLOOKUP($C89,МНО!$B$16:$AB$104,18,0)</f>
        <v>0.31644757935235651</v>
      </c>
      <c r="AD89" s="164">
        <f>VLOOKUP($C89,Контейнеры!$B$16:$AB$104,16,0)</f>
        <v>24999</v>
      </c>
      <c r="AE89" s="167">
        <f>VLOOKUP($C89,Контейнеры!$B$16:$AB$104,8,0)</f>
        <v>17493</v>
      </c>
      <c r="AF89" s="167">
        <f>VLOOKUP($C89,Контейнеры!$B$16:$AB$104,11,0)</f>
        <v>7506</v>
      </c>
      <c r="AG89" s="172">
        <f>VLOOKUP($C89,Контейнеры!$B$16:$AB$104,17,0)</f>
        <v>0.3002520100804032</v>
      </c>
      <c r="AH89" s="245"/>
      <c r="AI89" s="95">
        <f>VLOOKUP($C89,Контейнеры!$B$16:$AB$104,13,0)</f>
        <v>12.194008324521089</v>
      </c>
      <c r="AJ89" s="154">
        <f>VLOOKUP($C89,Контейнеры!$B$16:$AB$104,18,0)</f>
        <v>1</v>
      </c>
      <c r="AK89" s="135"/>
      <c r="AL89" s="94"/>
      <c r="AM89" s="94"/>
      <c r="AN89" s="116"/>
      <c r="AO89" s="78">
        <f>VLOOKUP($C89,Обработка!$B$16:$L$104,6,0)</f>
        <v>0.73499999999999999</v>
      </c>
      <c r="AP89" s="76">
        <f t="shared" si="23"/>
        <v>0.19199999999999995</v>
      </c>
      <c r="AQ89" s="74">
        <f>VLOOKUP($C89,Обработка!$B$16:$L$104,7,0)</f>
        <v>0.67900000000000005</v>
      </c>
      <c r="AR89" s="179">
        <f t="shared" si="24"/>
        <v>-0.128</v>
      </c>
      <c r="AS89" s="181">
        <f>VLOOKUP($C89,Утилизация!$B$16:$L$104,6,0)</f>
        <v>9.1999999999999998E-2</v>
      </c>
      <c r="AT89" s="74">
        <f t="shared" si="25"/>
        <v>-4.7000000000000014E-2</v>
      </c>
      <c r="AU89" s="76">
        <f>VLOOKUP($C89,Утилизация!$B$16:$L$104,7,0)</f>
        <v>6.5000000000000002E-2</v>
      </c>
      <c r="AV89" s="184">
        <f t="shared" si="26"/>
        <v>-0.22099999999999997</v>
      </c>
      <c r="AW89" s="161" t="str">
        <f>VLOOKUP(C89,Захоронение!$B$16:$Q$104,16,0)</f>
        <v/>
      </c>
      <c r="AX89" s="135"/>
      <c r="AY89" s="94"/>
      <c r="AZ89" s="94"/>
      <c r="BA89" s="98"/>
      <c r="BB89" s="127" t="str">
        <f>VLOOKUP(C89,'ДК ИП'!$B$16:$S$104,5,0)</f>
        <v>небольшое</v>
      </c>
      <c r="BC89" s="288">
        <f>VLOOKUP(C89,Радар!$B$16:$G$104,6,0)</f>
        <v>3.4853965370494171E-2</v>
      </c>
      <c r="BD89" s="98"/>
      <c r="BF89" s="296">
        <f t="shared" si="27"/>
        <v>0.33333333333333331</v>
      </c>
      <c r="BI89" s="8">
        <f t="shared" si="28"/>
        <v>0</v>
      </c>
      <c r="BJ89" s="8">
        <f>VLOOKUP(C89,Штаб!$B$16:$C$104,2)</f>
        <v>2</v>
      </c>
      <c r="BK89" s="8">
        <f>VLOOKUP(C89,'РО - регионы'!$B$16:$C$104,2)</f>
        <v>0</v>
      </c>
      <c r="BL89" s="8">
        <f>VLOOKUP(C89,'РО - регионы'!$B$16:$L$104,11)</f>
        <v>0</v>
      </c>
      <c r="BM89" s="8">
        <f>VLOOKUP(C89,Спецтехника!$B$16:$C$104,2)</f>
        <v>1</v>
      </c>
      <c r="BN89" s="8">
        <f>VLOOKUP($C89,МНО!$B$16:$AB$104,6,0)</f>
        <v>1</v>
      </c>
      <c r="BO89" s="8">
        <f>VLOOKUP($C89,МНО!$B$16:$AB$104,4,0)</f>
        <v>1</v>
      </c>
      <c r="BP89" s="8">
        <f>VLOOKUP($C89,МНО!$B$16:$AB$104,5,0)</f>
        <v>2</v>
      </c>
      <c r="BQ89" s="8">
        <f>VLOOKUP($C89,Контейнеры!$B$16:$G$104,6,0)</f>
        <v>1</v>
      </c>
      <c r="BR89" s="8">
        <f>VLOOKUP($C89,Контейнеры!$B$16:$G$104,4,0)</f>
        <v>2</v>
      </c>
      <c r="BS89" s="8">
        <f>VLOOKUP($C89,Контейнеры!$B$16:$G$104,5,0)</f>
        <v>0</v>
      </c>
      <c r="BT89" s="8">
        <f>VLOOKUP($C89,'ДК МНО'!$B$16:$C$104,2,0)</f>
        <v>2</v>
      </c>
      <c r="BU89" s="8">
        <f>VLOOKUP($C89,Обработка!$B$16:$F$104,5,0)</f>
        <v>1</v>
      </c>
      <c r="BV89" s="8">
        <f>VLOOKUP($C89,Обработка!$B$16:$F$104,4,0)</f>
        <v>0</v>
      </c>
      <c r="BW89" s="8">
        <f>VLOOKUP($C89,Утилизация!$B$16:$F$104,5,0)</f>
        <v>2</v>
      </c>
      <c r="BX89" s="8">
        <f>VLOOKUP($C89,Утилизация!$B$16:$F$104,4,0)</f>
        <v>1</v>
      </c>
      <c r="BY89" s="8">
        <f>VLOOKUP($C89,Захоронение!$B$16:$C$104,2,0)</f>
        <v>0</v>
      </c>
      <c r="BZ89" s="8">
        <f>VLOOKUP($C89,'ДК ИП'!$B$16:$C$104,2,0)</f>
        <v>0</v>
      </c>
      <c r="CA89" s="8">
        <f>VLOOKUP(C89,Радар!$B$16:$G$104,2,0)</f>
        <v>2</v>
      </c>
      <c r="CB89" s="8">
        <f t="shared" si="29"/>
        <v>0.50000000000000011</v>
      </c>
    </row>
    <row r="90" spans="1:80" ht="15.6" thickBot="1">
      <c r="A90" s="9" t="s">
        <v>659</v>
      </c>
      <c r="B90" s="122">
        <f t="shared" si="22"/>
        <v>80</v>
      </c>
      <c r="C90" s="202" t="s">
        <v>82</v>
      </c>
      <c r="D90" s="277" t="str">
        <f>VLOOKUP($C90,Штаб!$B$16:$J$104,6,0)</f>
        <v>✔️</v>
      </c>
      <c r="E90" s="285" t="str">
        <f>VLOOKUP($C90,Штаб!$B$16:$J$104,7,0)</f>
        <v/>
      </c>
      <c r="F90" s="285" t="str">
        <f>VLOOKUP($C90,Штаб!$B$16:$J$104,8,0)</f>
        <v/>
      </c>
      <c r="G90" s="286" t="str">
        <f>VLOOKUP($C90,Штаб!$B$16:$J$104,9,0)</f>
        <v/>
      </c>
      <c r="H90" s="278" t="str">
        <f>VLOOKUP(C90,'РО - регионы'!$B$16:$I$104,8,0)</f>
        <v>0 / 1 / 4 из 5</v>
      </c>
      <c r="I90" s="237"/>
      <c r="J90" s="122"/>
      <c r="K90" s="94"/>
      <c r="L90" s="94"/>
      <c r="M90" s="98"/>
      <c r="N90" s="163">
        <f>VLOOKUP(C90,Спецтехника!$B$16:$J$104,4,0)</f>
        <v>151</v>
      </c>
      <c r="O90" s="166">
        <f>VLOOKUP(C90,Спецтехника!$B$16:$J$104,5,0)</f>
        <v>140</v>
      </c>
      <c r="P90" s="166">
        <f>VLOOKUP(C90,Спецтехника!$B$16:$J$104,6,0)</f>
        <v>11</v>
      </c>
      <c r="Q90" s="169">
        <f>VLOOKUP(C90,Спецтехника!$B$16:$J$104,7,0)</f>
        <v>7.2847682119205295E-2</v>
      </c>
      <c r="R90" s="242"/>
      <c r="S90" s="122"/>
      <c r="T90" s="94"/>
      <c r="U90" s="94"/>
      <c r="V90" s="98"/>
      <c r="W90" s="163">
        <f>VLOOKUP($C90,МНО!$B$16:$AB$104,16,0)</f>
        <v>10527</v>
      </c>
      <c r="X90" s="166">
        <f>VLOOKUP($C90,МНО!$B$16:$AB$104,8,0)</f>
        <v>10477</v>
      </c>
      <c r="Y90" s="166">
        <f>VLOOKUP($C90,МНО!$B$16:$AB$104,11,0)</f>
        <v>50</v>
      </c>
      <c r="Z90" s="173">
        <f>VLOOKUP($C90,МНО!$B$16:$AB$104,17,0)</f>
        <v>4.7496912700674453E-3</v>
      </c>
      <c r="AA90" s="245"/>
      <c r="AB90" s="95">
        <f>VLOOKUP($C90,МНО!$B$16:$AB$104,13,0)</f>
        <v>7.9119563567653666</v>
      </c>
      <c r="AC90" s="154">
        <f>VLOOKUP($C90,МНО!$B$16:$AB$104,18,0)</f>
        <v>0.83276369128050232</v>
      </c>
      <c r="AD90" s="163">
        <f>VLOOKUP($C90,Контейнеры!$B$16:$AB$104,16,0)</f>
        <v>15247</v>
      </c>
      <c r="AE90" s="166">
        <f>VLOOKUP($C90,Контейнеры!$B$16:$AB$104,8,0)</f>
        <v>15166</v>
      </c>
      <c r="AF90" s="166">
        <f>VLOOKUP($C90,Контейнеры!$B$16:$AB$104,11,0)</f>
        <v>81</v>
      </c>
      <c r="AG90" s="173">
        <f>VLOOKUP($C90,Контейнеры!$B$16:$AB$104,17,0)</f>
        <v>5.3125204958352464E-3</v>
      </c>
      <c r="AH90" s="245"/>
      <c r="AI90" s="95">
        <f>VLOOKUP($C90,Контейнеры!$B$16:$AB$104,13,0)</f>
        <v>12.93164458526819</v>
      </c>
      <c r="AJ90" s="154">
        <f>VLOOKUP($C90,Контейнеры!$B$16:$AB$104,18,0)</f>
        <v>0.78511155976600921</v>
      </c>
      <c r="AK90" s="135"/>
      <c r="AL90" s="94"/>
      <c r="AM90" s="94"/>
      <c r="AN90" s="116"/>
      <c r="AO90" s="78">
        <f>VLOOKUP($C90,Обработка!$B$16:$L$104,6,0)</f>
        <v>0.86299999999999999</v>
      </c>
      <c r="AP90" s="75">
        <f t="shared" si="23"/>
        <v>0.31999999999999995</v>
      </c>
      <c r="AQ90" s="74">
        <f>VLOOKUP($C90,Обработка!$B$16:$L$104,7,0)</f>
        <v>0.6</v>
      </c>
      <c r="AR90" s="179">
        <f t="shared" si="24"/>
        <v>-0.20700000000000007</v>
      </c>
      <c r="AS90" s="180">
        <f>VLOOKUP($C90,Утилизация!$B$16:$L$104,6,0)</f>
        <v>0.34200000000000003</v>
      </c>
      <c r="AT90" s="76">
        <f t="shared" si="25"/>
        <v>0.20300000000000001</v>
      </c>
      <c r="AU90" s="76">
        <f>VLOOKUP($C90,Утилизация!$B$16:$L$104,7,0)</f>
        <v>0.1</v>
      </c>
      <c r="AV90" s="184">
        <f t="shared" si="26"/>
        <v>-0.18599999999999997</v>
      </c>
      <c r="AW90" s="160" t="str">
        <f>VLOOKUP(C90,Захоронение!$B$16:$Q$104,16,0)</f>
        <v>перегруз</v>
      </c>
      <c r="AX90" s="135"/>
      <c r="AY90" s="94"/>
      <c r="AZ90" s="94"/>
      <c r="BA90" s="98"/>
      <c r="BB90" s="127" t="str">
        <f>VLOOKUP(C90,'ДК ИП'!$B$16:$S$104,5,0)</f>
        <v>существенное</v>
      </c>
      <c r="BC90" s="288">
        <f>VLOOKUP(C90,Радар!$B$16:$G$104,6,0)</f>
        <v>9.1236052395074277E-2</v>
      </c>
      <c r="BD90" s="98"/>
      <c r="BF90" s="294">
        <f t="shared" si="27"/>
        <v>0.91666666666666663</v>
      </c>
      <c r="BI90" s="8">
        <f t="shared" si="28"/>
        <v>1</v>
      </c>
      <c r="BJ90" s="8">
        <f>VLOOKUP(C90,Штаб!$B$16:$C$104,2)</f>
        <v>0</v>
      </c>
      <c r="BK90" s="8">
        <f>VLOOKUP(C90,'РО - регионы'!$B$16:$C$104,2)</f>
        <v>1</v>
      </c>
      <c r="BL90" s="8">
        <f>VLOOKUP(C90,'РО - регионы'!$B$16:$L$104,11)</f>
        <v>2</v>
      </c>
      <c r="BM90" s="8">
        <f>VLOOKUP(C90,Спецтехника!$B$16:$C$104,2)</f>
        <v>0</v>
      </c>
      <c r="BN90" s="8">
        <f>VLOOKUP($C90,МНО!$B$16:$AB$104,6,0)</f>
        <v>0</v>
      </c>
      <c r="BO90" s="8">
        <f>VLOOKUP($C90,МНО!$B$16:$AB$104,4,0)</f>
        <v>0</v>
      </c>
      <c r="BP90" s="8">
        <f>VLOOKUP($C90,МНО!$B$16:$AB$104,5,0)</f>
        <v>1</v>
      </c>
      <c r="BQ90" s="8">
        <f>VLOOKUP($C90,Контейнеры!$B$16:$G$104,6,0)</f>
        <v>0</v>
      </c>
      <c r="BR90" s="8">
        <f>VLOOKUP($C90,Контейнеры!$B$16:$G$104,4,0)</f>
        <v>0</v>
      </c>
      <c r="BS90" s="8">
        <f>VLOOKUP($C90,Контейнеры!$B$16:$G$104,5,0)</f>
        <v>2</v>
      </c>
      <c r="BT90" s="8">
        <f>VLOOKUP($C90,'ДК МНО'!$B$16:$C$104,2,0)</f>
        <v>2</v>
      </c>
      <c r="BU90" s="8">
        <f>VLOOKUP($C90,Обработка!$B$16:$F$104,5,0)</f>
        <v>1</v>
      </c>
      <c r="BV90" s="8">
        <f>VLOOKUP($C90,Обработка!$B$16:$F$104,4,0)</f>
        <v>0</v>
      </c>
      <c r="BW90" s="8">
        <f>VLOOKUP($C90,Утилизация!$B$16:$F$104,5,0)</f>
        <v>2</v>
      </c>
      <c r="BX90" s="8">
        <f>VLOOKUP($C90,Утилизация!$B$16:$F$104,4,0)</f>
        <v>2</v>
      </c>
      <c r="BY90" s="8">
        <f>VLOOKUP($C90,Захоронение!$B$16:$C$104,2,0)</f>
        <v>1</v>
      </c>
      <c r="BZ90" s="8">
        <f>VLOOKUP($C90,'ДК ИП'!$B$16:$C$104,2,0)</f>
        <v>2</v>
      </c>
      <c r="CA90" s="8">
        <f>VLOOKUP(C90,Радар!$B$16:$G$104,2,0)</f>
        <v>2</v>
      </c>
      <c r="CB90" s="8">
        <f t="shared" si="29"/>
        <v>0.89999999999999991</v>
      </c>
    </row>
    <row r="91" spans="1:80" ht="15.6" thickBot="1">
      <c r="A91" s="9" t="s">
        <v>654</v>
      </c>
      <c r="B91" s="121">
        <f t="shared" si="22"/>
        <v>81</v>
      </c>
      <c r="C91" s="202" t="s">
        <v>83</v>
      </c>
      <c r="D91" s="277" t="str">
        <f>VLOOKUP($C91,Штаб!$B$16:$J$104,6,0)</f>
        <v/>
      </c>
      <c r="E91" s="285" t="str">
        <f>VLOOKUP($C91,Штаб!$B$16:$J$104,7,0)</f>
        <v/>
      </c>
      <c r="F91" s="285" t="str">
        <f>VLOOKUP($C91,Штаб!$B$16:$J$104,8,0)</f>
        <v>✔️</v>
      </c>
      <c r="G91" s="286" t="str">
        <f>VLOOKUP($C91,Штаб!$B$16:$J$104,9,0)</f>
        <v/>
      </c>
      <c r="H91" s="278" t="str">
        <f>VLOOKUP(C91,'РО - регионы'!$B$16:$I$104,8,0)</f>
        <v>0 / 1 / 2 из 3</v>
      </c>
      <c r="I91" s="237"/>
      <c r="J91" s="122"/>
      <c r="K91" s="94"/>
      <c r="L91" s="94"/>
      <c r="M91" s="98"/>
      <c r="N91" s="165">
        <f>VLOOKUP(C91,Спецтехника!$B$16:$J$104,4,0)</f>
        <v>299</v>
      </c>
      <c r="O91" s="168">
        <f>VLOOKUP(C91,Спецтехника!$B$16:$J$104,5,0)</f>
        <v>142</v>
      </c>
      <c r="P91" s="168">
        <f>VLOOKUP(C91,Спецтехника!$B$16:$J$104,6,0)</f>
        <v>157</v>
      </c>
      <c r="Q91" s="171">
        <f>VLOOKUP(C91,Спецтехника!$B$16:$J$104,7,0)</f>
        <v>0.52508361204013376</v>
      </c>
      <c r="R91" s="242"/>
      <c r="S91" s="122"/>
      <c r="T91" s="94"/>
      <c r="U91" s="94"/>
      <c r="V91" s="98"/>
      <c r="W91" s="163">
        <f>VLOOKUP($C91,МНО!$B$16:$AB$104,16,0)</f>
        <v>28498</v>
      </c>
      <c r="X91" s="166">
        <f>VLOOKUP($C91,МНО!$B$16:$AB$104,8,0)</f>
        <v>24620</v>
      </c>
      <c r="Y91" s="166">
        <f>VLOOKUP($C91,МНО!$B$16:$AB$104,11,0)</f>
        <v>3878</v>
      </c>
      <c r="Z91" s="173">
        <f>VLOOKUP($C91,МНО!$B$16:$AB$104,17,0)</f>
        <v>0.13607972489297496</v>
      </c>
      <c r="AA91" s="245"/>
      <c r="AB91" s="95">
        <f>VLOOKUP($C91,МНО!$B$16:$AB$104,13,0)</f>
        <v>7.9303233155886863</v>
      </c>
      <c r="AC91" s="154">
        <f>VLOOKUP($C91,МНО!$B$16:$AB$104,18,0)</f>
        <v>0.30293708702981381</v>
      </c>
      <c r="AD91" s="164">
        <f>VLOOKUP($C91,Контейнеры!$B$16:$AB$104,16,0)</f>
        <v>31966</v>
      </c>
      <c r="AE91" s="167">
        <f>VLOOKUP($C91,Контейнеры!$B$16:$AB$104,8,0)</f>
        <v>26988</v>
      </c>
      <c r="AF91" s="167">
        <f>VLOOKUP($C91,Контейнеры!$B$16:$AB$104,11,0)</f>
        <v>4978</v>
      </c>
      <c r="AG91" s="172">
        <f>VLOOKUP($C91,Контейнеры!$B$16:$AB$104,17,0)</f>
        <v>0.15572796095851843</v>
      </c>
      <c r="AH91" s="245"/>
      <c r="AI91" s="95">
        <f>VLOOKUP($C91,Контейнеры!$B$16:$AB$104,13,0)</f>
        <v>21.115189980377611</v>
      </c>
      <c r="AJ91" s="154">
        <f>VLOOKUP($C91,Контейнеры!$B$16:$AB$104,18,0)</f>
        <v>1</v>
      </c>
      <c r="AK91" s="135"/>
      <c r="AL91" s="94"/>
      <c r="AM91" s="94"/>
      <c r="AN91" s="116"/>
      <c r="AO91" s="79">
        <f>VLOOKUP($C91,Обработка!$B$16:$L$104,6,0)</f>
        <v>0.25900000000000001</v>
      </c>
      <c r="AP91" s="76">
        <f t="shared" si="23"/>
        <v>-0.28400000000000003</v>
      </c>
      <c r="AQ91" s="74">
        <f>VLOOKUP($C91,Обработка!$B$16:$L$104,7,0)</f>
        <v>0.73099999999999998</v>
      </c>
      <c r="AR91" s="179">
        <f t="shared" si="24"/>
        <v>-7.6000000000000068E-2</v>
      </c>
      <c r="AS91" s="181">
        <f>VLOOKUP($C91,Утилизация!$B$16:$L$104,6,0)</f>
        <v>0.11699999999999999</v>
      </c>
      <c r="AT91" s="74">
        <f t="shared" si="25"/>
        <v>-2.200000000000002E-2</v>
      </c>
      <c r="AU91" s="75">
        <f>VLOOKUP($C91,Утилизация!$B$16:$L$104,7,0)</f>
        <v>0.29600000000000004</v>
      </c>
      <c r="AV91" s="185">
        <f t="shared" si="26"/>
        <v>1.0000000000000064E-2</v>
      </c>
      <c r="AW91" s="162" t="str">
        <f>VLOOKUP(C91,Захоронение!$B$16:$Q$104,16,0)</f>
        <v>белые пятна</v>
      </c>
      <c r="AX91" s="135"/>
      <c r="AY91" s="94"/>
      <c r="AZ91" s="94"/>
      <c r="BA91" s="98"/>
      <c r="BB91" s="127" t="str">
        <f>VLOOKUP(C91,'ДК ИП'!$B$16:$S$104,5,0)</f>
        <v>небольшое</v>
      </c>
      <c r="BC91" s="289">
        <f>VLOOKUP(C91,Радар!$B$16:$G$104,6,0)</f>
        <v>4.9290683591366145E-2</v>
      </c>
      <c r="BD91" s="98"/>
      <c r="BF91" s="293">
        <f t="shared" si="27"/>
        <v>1</v>
      </c>
      <c r="BI91" s="8">
        <f t="shared" si="28"/>
        <v>1</v>
      </c>
      <c r="BJ91" s="8">
        <f>VLOOKUP(C91,Штаб!$B$16:$C$104,2)</f>
        <v>1</v>
      </c>
      <c r="BK91" s="8">
        <f>VLOOKUP(C91,'РО - регионы'!$B$16:$C$104,2)</f>
        <v>1</v>
      </c>
      <c r="BL91" s="8">
        <f>VLOOKUP(C91,'РО - регионы'!$B$16:$L$104,11)</f>
        <v>0</v>
      </c>
      <c r="BM91" s="8">
        <f>VLOOKUP(C91,Спецтехника!$B$16:$C$104,2)</f>
        <v>2</v>
      </c>
      <c r="BN91" s="8">
        <f>VLOOKUP($C91,МНО!$B$16:$AB$104,6,0)</f>
        <v>0</v>
      </c>
      <c r="BO91" s="8">
        <f>VLOOKUP($C91,МНО!$B$16:$AB$104,4,0)</f>
        <v>0</v>
      </c>
      <c r="BP91" s="8">
        <f>VLOOKUP($C91,МНО!$B$16:$AB$104,5,0)</f>
        <v>2</v>
      </c>
      <c r="BQ91" s="8">
        <f>VLOOKUP($C91,Контейнеры!$B$16:$G$104,6,0)</f>
        <v>1</v>
      </c>
      <c r="BR91" s="8">
        <f>VLOOKUP($C91,Контейнеры!$B$16:$G$104,4,0)</f>
        <v>2</v>
      </c>
      <c r="BS91" s="8">
        <f>VLOOKUP($C91,Контейнеры!$B$16:$G$104,5,0)</f>
        <v>0</v>
      </c>
      <c r="BT91" s="8">
        <f>VLOOKUP($C91,'ДК МНО'!$B$16:$C$104,2,0)</f>
        <v>2</v>
      </c>
      <c r="BU91" s="8">
        <f>VLOOKUP($C91,Обработка!$B$16:$F$104,5,0)</f>
        <v>1</v>
      </c>
      <c r="BV91" s="8">
        <f>VLOOKUP($C91,Обработка!$B$16:$F$104,4,0)</f>
        <v>2</v>
      </c>
      <c r="BW91" s="8">
        <f>VLOOKUP($C91,Утилизация!$B$16:$F$104,5,0)</f>
        <v>0</v>
      </c>
      <c r="BX91" s="8">
        <f>VLOOKUP($C91,Утилизация!$B$16:$F$104,4,0)</f>
        <v>1</v>
      </c>
      <c r="BY91" s="8">
        <f>VLOOKUP($C91,Захоронение!$B$16:$C$104,2,0)</f>
        <v>2</v>
      </c>
      <c r="BZ91" s="8">
        <f>VLOOKUP($C91,'ДК ИП'!$B$16:$C$104,2,0)</f>
        <v>0</v>
      </c>
      <c r="CA91" s="8">
        <f>VLOOKUP(C91,Радар!$B$16:$G$104,2,0)</f>
        <v>0</v>
      </c>
      <c r="CB91" s="8">
        <f t="shared" si="29"/>
        <v>1.1500000000000001</v>
      </c>
    </row>
    <row r="92" spans="1:80" ht="15.6" thickBot="1">
      <c r="A92" s="9" t="s">
        <v>660</v>
      </c>
      <c r="B92" s="122">
        <f t="shared" si="22"/>
        <v>82</v>
      </c>
      <c r="C92" s="202" t="s">
        <v>84</v>
      </c>
      <c r="D92" s="277" t="str">
        <f>VLOOKUP($C92,Штаб!$B$16:$J$104,6,0)</f>
        <v>✔️</v>
      </c>
      <c r="E92" s="285" t="str">
        <f>VLOOKUP($C92,Штаб!$B$16:$J$104,7,0)</f>
        <v/>
      </c>
      <c r="F92" s="285" t="str">
        <f>VLOOKUP($C92,Штаб!$B$16:$J$104,8,0)</f>
        <v/>
      </c>
      <c r="G92" s="286" t="str">
        <f>VLOOKUP($C92,Штаб!$B$16:$J$104,9,0)</f>
        <v/>
      </c>
      <c r="H92" s="279" t="str">
        <f>VLOOKUP(C92,'РО - регионы'!$B$16:$I$104,8,0)</f>
        <v>0 / 0 / 2 из 2</v>
      </c>
      <c r="I92" s="237"/>
      <c r="J92" s="122"/>
      <c r="K92" s="94"/>
      <c r="L92" s="94"/>
      <c r="M92" s="98"/>
      <c r="N92" s="163">
        <f>VLOOKUP(C92,Спецтехника!$B$16:$J$104,4,0)</f>
        <v>328</v>
      </c>
      <c r="O92" s="166">
        <f>VLOOKUP(C92,Спецтехника!$B$16:$J$104,5,0)</f>
        <v>309</v>
      </c>
      <c r="P92" s="166">
        <f>VLOOKUP(C92,Спецтехника!$B$16:$J$104,6,0)</f>
        <v>19</v>
      </c>
      <c r="Q92" s="169">
        <f>VLOOKUP(C92,Спецтехника!$B$16:$J$104,7,0)</f>
        <v>5.7926829268292686E-2</v>
      </c>
      <c r="R92" s="242"/>
      <c r="S92" s="122"/>
      <c r="T92" s="94"/>
      <c r="U92" s="94"/>
      <c r="V92" s="98"/>
      <c r="W92" s="163">
        <f>VLOOKUP($C92,МНО!$B$16:$AB$104,16,0)</f>
        <v>17867</v>
      </c>
      <c r="X92" s="166">
        <f>VLOOKUP($C92,МНО!$B$16:$AB$104,8,0)</f>
        <v>17823</v>
      </c>
      <c r="Y92" s="166">
        <f>VLOOKUP($C92,МНО!$B$16:$AB$104,11,0)</f>
        <v>44</v>
      </c>
      <c r="Z92" s="173">
        <f>VLOOKUP($C92,МНО!$B$16:$AB$104,17,0)</f>
        <v>2.462640622376448E-3</v>
      </c>
      <c r="AA92" s="245"/>
      <c r="AB92" s="95">
        <f>VLOOKUP($C92,МНО!$B$16:$AB$104,13,0)</f>
        <v>9.6459787675927853</v>
      </c>
      <c r="AC92" s="154">
        <f>VLOOKUP($C92,МНО!$B$16:$AB$104,18,0)</f>
        <v>1</v>
      </c>
      <c r="AD92" s="163">
        <f>VLOOKUP($C92,Контейнеры!$B$16:$AB$104,16,0)</f>
        <v>45503</v>
      </c>
      <c r="AE92" s="166">
        <f>VLOOKUP($C92,Контейнеры!$B$16:$AB$104,8,0)</f>
        <v>39609</v>
      </c>
      <c r="AF92" s="166">
        <f>VLOOKUP($C92,Контейнеры!$B$16:$AB$104,11,0)</f>
        <v>5894</v>
      </c>
      <c r="AG92" s="173">
        <f>VLOOKUP($C92,Контейнеры!$B$16:$AB$104,17,0)</f>
        <v>0.12952992110410302</v>
      </c>
      <c r="AH92" s="245"/>
      <c r="AI92" s="95">
        <f>VLOOKUP($C92,Контейнеры!$B$16:$AB$104,13,0)</f>
        <v>22.512967592103152</v>
      </c>
      <c r="AJ92" s="154">
        <f>VLOOKUP($C92,Контейнеры!$B$16:$AB$104,18,0)</f>
        <v>0.97076123719425522</v>
      </c>
      <c r="AK92" s="135"/>
      <c r="AL92" s="94"/>
      <c r="AM92" s="94"/>
      <c r="AN92" s="116"/>
      <c r="AO92" s="80">
        <f>VLOOKUP($C92,Обработка!$B$16:$L$104,6,0)</f>
        <v>0.32299999999999995</v>
      </c>
      <c r="AP92" s="75">
        <f t="shared" si="23"/>
        <v>-0.22000000000000008</v>
      </c>
      <c r="AQ92" s="74">
        <f>VLOOKUP($C92,Обработка!$B$16:$L$104,7,0)</f>
        <v>0.40600000000000003</v>
      </c>
      <c r="AR92" s="179">
        <f t="shared" si="24"/>
        <v>-0.40100000000000002</v>
      </c>
      <c r="AS92" s="180">
        <f>VLOOKUP($C92,Утилизация!$B$16:$L$104,6,0)</f>
        <v>1.7000000000000001E-2</v>
      </c>
      <c r="AT92" s="76">
        <f t="shared" si="25"/>
        <v>-0.12200000000000001</v>
      </c>
      <c r="AU92" s="76">
        <f>VLOOKUP($C92,Утилизация!$B$16:$L$104,7,0)</f>
        <v>9.0999999999999998E-2</v>
      </c>
      <c r="AV92" s="184">
        <f t="shared" si="26"/>
        <v>-0.19499999999999998</v>
      </c>
      <c r="AW92" s="161" t="str">
        <f>VLOOKUP(C92,Захоронение!$B$16:$Q$104,16,0)</f>
        <v/>
      </c>
      <c r="AX92" s="135"/>
      <c r="AY92" s="94"/>
      <c r="AZ92" s="94"/>
      <c r="BA92" s="98"/>
      <c r="BB92" s="127" t="str">
        <f>VLOOKUP(C92,'ДК ИП'!$B$16:$S$104,5,0)</f>
        <v>небольшое</v>
      </c>
      <c r="BC92" s="289">
        <f>VLOOKUP(C92,Радар!$B$16:$G$104,6,0)</f>
        <v>6.252181158654212E-3</v>
      </c>
      <c r="BD92" s="98"/>
      <c r="BF92" s="294">
        <f t="shared" si="27"/>
        <v>0.5</v>
      </c>
      <c r="BI92" s="8">
        <f t="shared" si="28"/>
        <v>0</v>
      </c>
      <c r="BJ92" s="8">
        <f>VLOOKUP(C92,Штаб!$B$16:$C$104,2)</f>
        <v>0</v>
      </c>
      <c r="BK92" s="8">
        <f>VLOOKUP(C92,'РО - регионы'!$B$16:$C$104,2)</f>
        <v>0</v>
      </c>
      <c r="BL92" s="8">
        <f>VLOOKUP(C92,'РО - регионы'!$B$16:$L$104,11)</f>
        <v>0</v>
      </c>
      <c r="BM92" s="8">
        <f>VLOOKUP(C92,Спецтехника!$B$16:$C$104,2)</f>
        <v>0</v>
      </c>
      <c r="BN92" s="8">
        <f>VLOOKUP($C92,МНО!$B$16:$AB$104,6,0)</f>
        <v>0</v>
      </c>
      <c r="BO92" s="8">
        <f>VLOOKUP($C92,МНО!$B$16:$AB$104,4,0)</f>
        <v>0</v>
      </c>
      <c r="BP92" s="8">
        <f>VLOOKUP($C92,МНО!$B$16:$AB$104,5,0)</f>
        <v>0</v>
      </c>
      <c r="BQ92" s="8">
        <f>VLOOKUP($C92,Контейнеры!$B$16:$G$104,6,0)</f>
        <v>0</v>
      </c>
      <c r="BR92" s="8">
        <f>VLOOKUP($C92,Контейнеры!$B$16:$G$104,4,0)</f>
        <v>0</v>
      </c>
      <c r="BS92" s="8">
        <f>VLOOKUP($C92,Контейнеры!$B$16:$G$104,5,0)</f>
        <v>0</v>
      </c>
      <c r="BT92" s="8">
        <f>VLOOKUP($C92,'ДК МНО'!$B$16:$C$104,2,0)</f>
        <v>2</v>
      </c>
      <c r="BU92" s="8">
        <f>VLOOKUP($C92,Обработка!$B$16:$F$104,5,0)</f>
        <v>1</v>
      </c>
      <c r="BV92" s="8">
        <f>VLOOKUP($C92,Обработка!$B$16:$F$104,4,0)</f>
        <v>1</v>
      </c>
      <c r="BW92" s="8">
        <f>VLOOKUP($C92,Утилизация!$B$16:$F$104,5,0)</f>
        <v>2</v>
      </c>
      <c r="BX92" s="8">
        <f>VLOOKUP($C92,Утилизация!$B$16:$F$104,4,0)</f>
        <v>2</v>
      </c>
      <c r="BY92" s="8">
        <f>VLOOKUP($C92,Захоронение!$B$16:$C$104,2,0)</f>
        <v>0</v>
      </c>
      <c r="BZ92" s="8">
        <f>VLOOKUP($C92,'ДК ИП'!$B$16:$C$104,2,0)</f>
        <v>0</v>
      </c>
      <c r="CA92" s="8">
        <f>VLOOKUP(C92,Радар!$B$16:$G$104,2,0)</f>
        <v>0</v>
      </c>
      <c r="CB92" s="8">
        <f t="shared" si="29"/>
        <v>0.30000000000000004</v>
      </c>
    </row>
    <row r="93" spans="1:80" ht="15.6" thickBot="1">
      <c r="B93" s="121">
        <f t="shared" si="22"/>
        <v>83</v>
      </c>
      <c r="C93" s="202" t="s">
        <v>166</v>
      </c>
      <c r="D93" s="277" t="str">
        <f>VLOOKUP($C93,Штаб!$B$16:$J$104,6,0)</f>
        <v/>
      </c>
      <c r="E93" s="285" t="str">
        <f>VLOOKUP($C93,Штаб!$B$16:$J$104,7,0)</f>
        <v/>
      </c>
      <c r="F93" s="285" t="str">
        <f>VLOOKUP($C93,Штаб!$B$16:$J$104,8,0)</f>
        <v/>
      </c>
      <c r="G93" s="286" t="str">
        <f>VLOOKUP($C93,Штаб!$B$16:$J$104,9,0)</f>
        <v>✔️</v>
      </c>
      <c r="H93" s="278" t="str">
        <f>VLOOKUP(C93,'РО - регионы'!$B$16:$I$104,8,0)</f>
        <v>0 / 1 / 0 из 1</v>
      </c>
      <c r="I93" s="237"/>
      <c r="J93" s="122"/>
      <c r="K93" s="94"/>
      <c r="L93" s="94"/>
      <c r="M93" s="98"/>
      <c r="N93" s="164">
        <f>VLOOKUP(C93,Спецтехника!$B$16:$J$104,4,0)</f>
        <v>50</v>
      </c>
      <c r="O93" s="167">
        <f>VLOOKUP(C93,Спецтехника!$B$16:$J$104,5,0)</f>
        <v>42</v>
      </c>
      <c r="P93" s="167">
        <f>VLOOKUP(C93,Спецтехника!$B$16:$J$104,6,0)</f>
        <v>8</v>
      </c>
      <c r="Q93" s="170">
        <f>VLOOKUP(C93,Спецтехника!$B$16:$J$104,7,0)</f>
        <v>0.16</v>
      </c>
      <c r="R93" s="242"/>
      <c r="S93" s="122"/>
      <c r="T93" s="94"/>
      <c r="U93" s="94"/>
      <c r="V93" s="98"/>
      <c r="W93" s="163">
        <f>VLOOKUP($C93,МНО!$B$16:$AB$104,16,0)</f>
        <v>0</v>
      </c>
      <c r="X93" s="166">
        <f>VLOOKUP($C93,МНО!$B$16:$AB$104,8,0)</f>
        <v>0</v>
      </c>
      <c r="Y93" s="166">
        <f>VLOOKUP($C93,МНО!$B$16:$AB$104,11,0)</f>
        <v>0</v>
      </c>
      <c r="Z93" s="173">
        <f>VLOOKUP($C93,МНО!$B$16:$AB$104,17,0)</f>
        <v>0</v>
      </c>
      <c r="AA93" s="245"/>
      <c r="AB93" s="95"/>
      <c r="AC93" s="154"/>
      <c r="AD93" s="163">
        <f>VLOOKUP($C93,Контейнеры!$B$16:$AB$104,16,0)</f>
        <v>0</v>
      </c>
      <c r="AE93" s="166">
        <f>VLOOKUP($C93,Контейнеры!$B$16:$AB$104,8,0)</f>
        <v>0</v>
      </c>
      <c r="AF93" s="166">
        <f>VLOOKUP($C93,Контейнеры!$B$16:$AB$104,11,0)</f>
        <v>0</v>
      </c>
      <c r="AG93" s="173">
        <f>VLOOKUP($C93,Контейнеры!$B$16:$AB$104,17,0)</f>
        <v>0</v>
      </c>
      <c r="AH93" s="245"/>
      <c r="AI93" s="95"/>
      <c r="AJ93" s="154"/>
      <c r="AK93" s="135"/>
      <c r="AL93" s="94"/>
      <c r="AM93" s="94"/>
      <c r="AN93" s="116"/>
      <c r="AO93" s="78">
        <f>VLOOKUP($C93,Обработка!$B$16:$L$104,6,0)</f>
        <v>0</v>
      </c>
      <c r="AP93" s="75">
        <f t="shared" si="23"/>
        <v>-0.54300000000000004</v>
      </c>
      <c r="AQ93" s="75">
        <f>VLOOKUP($C93,Обработка!$B$16:$L$104,7,0)</f>
        <v>0</v>
      </c>
      <c r="AR93" s="178">
        <f t="shared" si="24"/>
        <v>-0.80700000000000005</v>
      </c>
      <c r="AS93" s="182">
        <f>VLOOKUP($C93,Утилизация!$B$16:$L$104,6,0)</f>
        <v>0</v>
      </c>
      <c r="AT93" s="75">
        <f t="shared" si="25"/>
        <v>-0.13900000000000001</v>
      </c>
      <c r="AU93" s="75">
        <f>VLOOKUP($C93,Утилизация!$B$16:$L$104,7,0)</f>
        <v>0</v>
      </c>
      <c r="AV93" s="185">
        <f t="shared" si="26"/>
        <v>-0.28599999999999998</v>
      </c>
      <c r="AW93" s="161"/>
      <c r="AX93" s="135"/>
      <c r="AY93" s="94"/>
      <c r="AZ93" s="94"/>
      <c r="BA93" s="98"/>
      <c r="BB93" s="127" t="str">
        <f>VLOOKUP(C93,'ДК ИП'!$B$16:$S$104,5,0)</f>
        <v>не подписана</v>
      </c>
      <c r="BC93" s="288" t="str">
        <f>VLOOKUP(C93,Радар!$B$16:$G$104,6,0)</f>
        <v/>
      </c>
      <c r="BD93" s="98"/>
      <c r="BF93" s="296">
        <f t="shared" si="27"/>
        <v>0</v>
      </c>
      <c r="BI93" s="8">
        <f t="shared" si="28"/>
        <v>0</v>
      </c>
      <c r="BJ93" s="8">
        <f>VLOOKUP(C93,Штаб!$B$16:$C$104,2)</f>
        <v>2</v>
      </c>
      <c r="BK93" s="8">
        <f>VLOOKUP(C93,'РО - регионы'!$B$16:$C$104,2)</f>
        <v>1</v>
      </c>
      <c r="BL93" s="8">
        <f>VLOOKUP(C93,'РО - регионы'!$B$16:$L$104,11)</f>
        <v>2</v>
      </c>
      <c r="BM93" s="8">
        <f>VLOOKUP(C93,Спецтехника!$B$16:$C$104,2)</f>
        <v>1</v>
      </c>
      <c r="BN93" s="8">
        <f>VLOOKUP($C93,МНО!$B$16:$AB$104,6,0)</f>
        <v>0</v>
      </c>
      <c r="BO93" s="8">
        <f>VLOOKUP($C93,МНО!$B$16:$AB$104,4,0)</f>
        <v>0</v>
      </c>
      <c r="BP93" s="8">
        <f>VLOOKUP($C93,МНО!$B$16:$AB$104,5,0)</f>
        <v>0</v>
      </c>
      <c r="BQ93" s="8">
        <f>VLOOKUP($C93,Контейнеры!$B$16:$G$104,6,0)</f>
        <v>0</v>
      </c>
      <c r="BR93" s="8">
        <f>VLOOKUP($C93,Контейнеры!$B$16:$G$104,4,0)</f>
        <v>0</v>
      </c>
      <c r="BS93" s="8">
        <f>VLOOKUP($C93,Контейнеры!$B$16:$G$104,5,0)</f>
        <v>0</v>
      </c>
      <c r="BT93" s="8">
        <f>VLOOKUP($C93,'ДК МНО'!$B$16:$C$104,2,0)</f>
        <v>2</v>
      </c>
      <c r="BU93" s="8">
        <f>VLOOKUP($C93,Обработка!$B$16:$F$104,5,0)</f>
        <v>0</v>
      </c>
      <c r="BV93" s="8">
        <f>VLOOKUP($C93,Обработка!$B$16:$F$104,4,0)</f>
        <v>0</v>
      </c>
      <c r="BW93" s="8">
        <f>VLOOKUP($C93,Утилизация!$B$16:$F$104,5,0)</f>
        <v>0</v>
      </c>
      <c r="BX93" s="8">
        <f>VLOOKUP($C93,Утилизация!$B$16:$F$104,4,0)</f>
        <v>0</v>
      </c>
      <c r="BY93" s="8">
        <f>VLOOKUP($C93,Захоронение!$B$16:$C$104,2,0)</f>
        <v>0</v>
      </c>
      <c r="BZ93" s="8">
        <f>VLOOKUP($C93,'ДК ИП'!$B$16:$C$104,2,0)</f>
        <v>0</v>
      </c>
      <c r="CA93" s="8">
        <f>VLOOKUP(C93,Радар!$B$16:$G$104,2,0)</f>
        <v>2</v>
      </c>
      <c r="CB93" s="8">
        <f t="shared" si="29"/>
        <v>0.25</v>
      </c>
    </row>
    <row r="94" spans="1:80" ht="15.6" thickBot="1">
      <c r="A94" s="9" t="s">
        <v>660</v>
      </c>
      <c r="B94" s="122">
        <f t="shared" si="22"/>
        <v>84</v>
      </c>
      <c r="C94" s="202" t="s">
        <v>85</v>
      </c>
      <c r="D94" s="277" t="str">
        <f>VLOOKUP($C94,Штаб!$B$16:$J$104,6,0)</f>
        <v>✔️</v>
      </c>
      <c r="E94" s="285" t="str">
        <f>VLOOKUP($C94,Штаб!$B$16:$J$104,7,0)</f>
        <v/>
      </c>
      <c r="F94" s="285" t="str">
        <f>VLOOKUP($C94,Штаб!$B$16:$J$104,8,0)</f>
        <v/>
      </c>
      <c r="G94" s="286" t="str">
        <f>VLOOKUP($C94,Штаб!$B$16:$J$104,9,0)</f>
        <v/>
      </c>
      <c r="H94" s="278" t="str">
        <f>VLOOKUP(C94,'РО - регионы'!$B$16:$I$104,8,0)</f>
        <v>0 / 2 / 3 из 5</v>
      </c>
      <c r="I94" s="237"/>
      <c r="J94" s="122"/>
      <c r="K94" s="94"/>
      <c r="L94" s="94"/>
      <c r="M94" s="98"/>
      <c r="N94" s="163">
        <f>VLOOKUP(C94,Спецтехника!$B$16:$J$104,4,0)</f>
        <v>484</v>
      </c>
      <c r="O94" s="166">
        <f>VLOOKUP(C94,Спецтехника!$B$16:$J$104,5,0)</f>
        <v>444</v>
      </c>
      <c r="P94" s="166">
        <f>VLOOKUP(C94,Спецтехника!$B$16:$J$104,6,0)</f>
        <v>40</v>
      </c>
      <c r="Q94" s="169">
        <f>VLOOKUP(C94,Спецтехника!$B$16:$J$104,7,0)</f>
        <v>8.2644628099173556E-2</v>
      </c>
      <c r="R94" s="242"/>
      <c r="S94" s="122"/>
      <c r="T94" s="94"/>
      <c r="U94" s="94"/>
      <c r="V94" s="98"/>
      <c r="W94" s="163">
        <f>VLOOKUP($C94,МНО!$B$16:$AB$104,16,0)</f>
        <v>19616</v>
      </c>
      <c r="X94" s="166">
        <f>VLOOKUP($C94,МНО!$B$16:$AB$104,8,0)</f>
        <v>18134</v>
      </c>
      <c r="Y94" s="166">
        <f>VLOOKUP($C94,МНО!$B$16:$AB$104,11,0)</f>
        <v>1482</v>
      </c>
      <c r="Z94" s="173">
        <f>VLOOKUP($C94,МНО!$B$16:$AB$104,17,0)</f>
        <v>7.5550570962479607E-2</v>
      </c>
      <c r="AA94" s="245"/>
      <c r="AB94" s="95">
        <f>VLOOKUP($C94,МНО!$B$16:$AB$104,13,0)</f>
        <v>5.0550710024565655</v>
      </c>
      <c r="AC94" s="154">
        <f>VLOOKUP($C94,МНО!$B$16:$AB$104,18,0)</f>
        <v>0.55056623250447823</v>
      </c>
      <c r="AD94" s="163">
        <f>VLOOKUP($C94,Контейнеры!$B$16:$AB$104,16,0)</f>
        <v>42325</v>
      </c>
      <c r="AE94" s="166">
        <f>VLOOKUP($C94,Контейнеры!$B$16:$AB$104,8,0)</f>
        <v>37721</v>
      </c>
      <c r="AF94" s="166">
        <f>VLOOKUP($C94,Контейнеры!$B$16:$AB$104,11,0)</f>
        <v>4604</v>
      </c>
      <c r="AG94" s="173">
        <f>VLOOKUP($C94,Контейнеры!$B$16:$AB$104,17,0)</f>
        <v>0.10877731836975782</v>
      </c>
      <c r="AH94" s="245"/>
      <c r="AI94" s="95">
        <f>VLOOKUP($C94,Контейнеры!$B$16:$AB$104,13,0)</f>
        <v>11.108140119053019</v>
      </c>
      <c r="AJ94" s="154">
        <f>VLOOKUP($C94,Контейнеры!$B$16:$AB$104,18,0)</f>
        <v>0.59317209711913443</v>
      </c>
      <c r="AK94" s="135"/>
      <c r="AL94" s="94"/>
      <c r="AM94" s="94"/>
      <c r="AN94" s="116"/>
      <c r="AO94" s="78">
        <f>VLOOKUP($C94,Обработка!$B$16:$L$104,6,0)</f>
        <v>0.68299999999999994</v>
      </c>
      <c r="AP94" s="75">
        <f t="shared" si="23"/>
        <v>0.1399999999999999</v>
      </c>
      <c r="AQ94" s="75">
        <f>VLOOKUP($C94,Обработка!$B$16:$L$104,7,0)</f>
        <v>0.80799999999999994</v>
      </c>
      <c r="AR94" s="178">
        <f t="shared" si="24"/>
        <v>9.9999999999988987E-4</v>
      </c>
      <c r="AS94" s="181">
        <f>VLOOKUP($C94,Утилизация!$B$16:$L$104,6,0)</f>
        <v>0.13699999999999998</v>
      </c>
      <c r="AT94" s="74">
        <f t="shared" si="25"/>
        <v>-2.0000000000000295E-3</v>
      </c>
      <c r="AU94" s="74">
        <f>VLOOKUP($C94,Утилизация!$B$16:$L$104,7,0)</f>
        <v>0.23300000000000001</v>
      </c>
      <c r="AV94" s="186">
        <f t="shared" si="26"/>
        <v>-5.2999999999999964E-2</v>
      </c>
      <c r="AW94" s="161" t="str">
        <f>VLOOKUP(C94,Захоронение!$B$16:$Q$104,16,0)</f>
        <v/>
      </c>
      <c r="AX94" s="135"/>
      <c r="AY94" s="94"/>
      <c r="AZ94" s="94"/>
      <c r="BA94" s="98"/>
      <c r="BB94" s="127" t="str">
        <f>VLOOKUP(C94,'ДК ИП'!$B$16:$S$104,5,0)</f>
        <v>небольшое</v>
      </c>
      <c r="BC94" s="289">
        <f>VLOOKUP(C94,Радар!$B$16:$G$104,6,0)</f>
        <v>1.5902005949706078E-2</v>
      </c>
      <c r="BD94" s="98"/>
      <c r="BF94" s="296">
        <f t="shared" si="27"/>
        <v>0.16666666666666666</v>
      </c>
      <c r="BI94" s="8">
        <f t="shared" si="28"/>
        <v>0</v>
      </c>
      <c r="BJ94" s="8">
        <f>VLOOKUP(C94,Штаб!$B$16:$C$104,2)</f>
        <v>0</v>
      </c>
      <c r="BK94" s="8">
        <f>VLOOKUP(C94,'РО - регионы'!$B$16:$C$104,2)</f>
        <v>1</v>
      </c>
      <c r="BL94" s="8">
        <f>VLOOKUP(C94,'РО - регионы'!$B$16:$L$104,11)</f>
        <v>2</v>
      </c>
      <c r="BM94" s="8">
        <f>VLOOKUP(C94,Спецтехника!$B$16:$C$104,2)</f>
        <v>0</v>
      </c>
      <c r="BN94" s="8">
        <f>VLOOKUP($C94,МНО!$B$16:$AB$104,6,0)</f>
        <v>0</v>
      </c>
      <c r="BO94" s="8">
        <f>VLOOKUP($C94,МНО!$B$16:$AB$104,4,0)</f>
        <v>1</v>
      </c>
      <c r="BP94" s="8">
        <f>VLOOKUP($C94,МНО!$B$16:$AB$104,5,0)</f>
        <v>2</v>
      </c>
      <c r="BQ94" s="8">
        <f>VLOOKUP($C94,Контейнеры!$B$16:$G$104,6,0)</f>
        <v>0</v>
      </c>
      <c r="BR94" s="8">
        <f>VLOOKUP($C94,Контейнеры!$B$16:$G$104,4,0)</f>
        <v>0</v>
      </c>
      <c r="BS94" s="8">
        <f>VLOOKUP($C94,Контейнеры!$B$16:$G$104,5,0)</f>
        <v>2</v>
      </c>
      <c r="BT94" s="8">
        <f>VLOOKUP($C94,'ДК МНО'!$B$16:$C$104,2,0)</f>
        <v>2</v>
      </c>
      <c r="BU94" s="8">
        <f>VLOOKUP($C94,Обработка!$B$16:$F$104,5,0)</f>
        <v>0</v>
      </c>
      <c r="BV94" s="8">
        <f>VLOOKUP($C94,Обработка!$B$16:$F$104,4,0)</f>
        <v>0</v>
      </c>
      <c r="BW94" s="8">
        <f>VLOOKUP($C94,Утилизация!$B$16:$F$104,5,0)</f>
        <v>1</v>
      </c>
      <c r="BX94" s="8">
        <f>VLOOKUP($C94,Утилизация!$B$16:$F$104,4,0)</f>
        <v>1</v>
      </c>
      <c r="BY94" s="8">
        <f>VLOOKUP($C94,Захоронение!$B$16:$C$104,2,0)</f>
        <v>0</v>
      </c>
      <c r="BZ94" s="8">
        <f>VLOOKUP($C94,'ДК ИП'!$B$16:$C$104,2,0)</f>
        <v>0</v>
      </c>
      <c r="CA94" s="8">
        <f>VLOOKUP(C94,Радар!$B$16:$G$104,2,0)</f>
        <v>0</v>
      </c>
      <c r="CB94" s="8">
        <f t="shared" si="29"/>
        <v>0.35</v>
      </c>
    </row>
    <row r="95" spans="1:80" ht="15.6" thickBot="1">
      <c r="A95" s="9" t="s">
        <v>658</v>
      </c>
      <c r="B95" s="121">
        <f t="shared" si="22"/>
        <v>85</v>
      </c>
      <c r="C95" s="202" t="s">
        <v>86</v>
      </c>
      <c r="D95" s="277" t="str">
        <f>VLOOKUP($C95,Штаб!$B$16:$J$104,6,0)</f>
        <v/>
      </c>
      <c r="E95" s="285" t="str">
        <f>VLOOKUP($C95,Штаб!$B$16:$J$104,7,0)</f>
        <v>✔️</v>
      </c>
      <c r="F95" s="285" t="str">
        <f>VLOOKUP($C95,Штаб!$B$16:$J$104,8,0)</f>
        <v/>
      </c>
      <c r="G95" s="286" t="str">
        <f>VLOOKUP($C95,Штаб!$B$16:$J$104,9,0)</f>
        <v/>
      </c>
      <c r="H95" s="278" t="str">
        <f>VLOOKUP(C95,'РО - регионы'!$B$16:$I$104,8,0)</f>
        <v>0 / 1 / 0 из 1</v>
      </c>
      <c r="I95" s="237"/>
      <c r="J95" s="122"/>
      <c r="K95" s="94"/>
      <c r="L95" s="94"/>
      <c r="M95" s="98"/>
      <c r="N95" s="163">
        <f>VLOOKUP(C95,Спецтехника!$B$16:$J$104,4,0)</f>
        <v>111</v>
      </c>
      <c r="O95" s="166">
        <f>VLOOKUP(C95,Спецтехника!$B$16:$J$104,5,0)</f>
        <v>111</v>
      </c>
      <c r="P95" s="166">
        <f>VLOOKUP(C95,Спецтехника!$B$16:$J$104,6,0)</f>
        <v>0</v>
      </c>
      <c r="Q95" s="169">
        <f>VLOOKUP(C95,Спецтехника!$B$16:$J$104,7,0)</f>
        <v>0</v>
      </c>
      <c r="R95" s="242"/>
      <c r="S95" s="122"/>
      <c r="T95" s="94"/>
      <c r="U95" s="94"/>
      <c r="V95" s="98"/>
      <c r="W95" s="165">
        <f>VLOOKUP($C95,МНО!$B$16:$AB$104,16,0)</f>
        <v>1498</v>
      </c>
      <c r="X95" s="168">
        <f>VLOOKUP($C95,МНО!$B$16:$AB$104,8,0)</f>
        <v>1498</v>
      </c>
      <c r="Y95" s="168">
        <f>VLOOKUP($C95,МНО!$B$16:$AB$104,11,0)</f>
        <v>0</v>
      </c>
      <c r="Z95" s="174">
        <f>VLOOKUP($C95,МНО!$B$16:$AB$104,17,0)</f>
        <v>0</v>
      </c>
      <c r="AA95" s="245"/>
      <c r="AB95" s="95">
        <f>VLOOKUP($C95,МНО!$B$16:$AB$104,13,0)</f>
        <v>0.95758423457014319</v>
      </c>
      <c r="AC95" s="154">
        <f>VLOOKUP($C95,МНО!$B$16:$AB$104,18,0)</f>
        <v>0.86340057636887613</v>
      </c>
      <c r="AD95" s="163">
        <f>VLOOKUP($C95,Контейнеры!$B$16:$AB$104,16,0)</f>
        <v>6007</v>
      </c>
      <c r="AE95" s="166">
        <f>VLOOKUP($C95,Контейнеры!$B$16:$AB$104,8,0)</f>
        <v>5807</v>
      </c>
      <c r="AF95" s="166">
        <f>VLOOKUP($C95,Контейнеры!$B$16:$AB$104,11,0)</f>
        <v>200</v>
      </c>
      <c r="AG95" s="173">
        <f>VLOOKUP($C95,Контейнеры!$B$16:$AB$104,17,0)</f>
        <v>3.32944897619444E-2</v>
      </c>
      <c r="AH95" s="245"/>
      <c r="AI95" s="95">
        <f>VLOOKUP($C95,Контейнеры!$B$16:$AB$104,13,0)</f>
        <v>3.7395370881969208</v>
      </c>
      <c r="AJ95" s="154">
        <f>VLOOKUP($C95,Контейнеры!$B$16:$AB$104,18,0)</f>
        <v>0.73506329113924052</v>
      </c>
      <c r="AK95" s="135"/>
      <c r="AL95" s="94"/>
      <c r="AM95" s="94"/>
      <c r="AN95" s="116"/>
      <c r="AO95" s="80">
        <f>VLOOKUP($C95,Обработка!$B$16:$L$104,6,0)</f>
        <v>0.51400000000000001</v>
      </c>
      <c r="AP95" s="76">
        <f t="shared" si="23"/>
        <v>-2.9000000000000026E-2</v>
      </c>
      <c r="AQ95" s="74">
        <f>VLOOKUP($C95,Обработка!$B$16:$L$104,7,0)</f>
        <v>0.5</v>
      </c>
      <c r="AR95" s="179">
        <f t="shared" si="24"/>
        <v>-0.30700000000000005</v>
      </c>
      <c r="AS95" s="180">
        <f>VLOOKUP($C95,Утилизация!$B$16:$L$104,6,0)</f>
        <v>0.04</v>
      </c>
      <c r="AT95" s="76">
        <f t="shared" si="25"/>
        <v>-9.9000000000000005E-2</v>
      </c>
      <c r="AU95" s="76">
        <f>VLOOKUP($C95,Утилизация!$B$16:$L$104,7,0)</f>
        <v>0.1</v>
      </c>
      <c r="AV95" s="184">
        <f t="shared" si="26"/>
        <v>-0.18599999999999997</v>
      </c>
      <c r="AW95" s="161" t="str">
        <f>VLOOKUP(C95,Захоронение!$B$16:$Q$104,16,0)</f>
        <v/>
      </c>
      <c r="AX95" s="135"/>
      <c r="AY95" s="94"/>
      <c r="AZ95" s="94"/>
      <c r="BA95" s="98"/>
      <c r="BB95" s="127" t="str">
        <f>VLOOKUP(C95,'ДК ИП'!$B$16:$S$104,5,0)</f>
        <v>не подписана</v>
      </c>
      <c r="BC95" s="288">
        <f>VLOOKUP(C95,Радар!$B$16:$G$104,6,0)</f>
        <v>0.22216984594936073</v>
      </c>
      <c r="BD95" s="98"/>
      <c r="BF95" s="294">
        <f t="shared" si="27"/>
        <v>0.5</v>
      </c>
      <c r="BI95" s="8">
        <f t="shared" si="28"/>
        <v>1</v>
      </c>
      <c r="BJ95" s="8">
        <f>VLOOKUP(C95,Штаб!$B$16:$C$104,2)</f>
        <v>1</v>
      </c>
      <c r="BK95" s="8">
        <f>VLOOKUP(C95,'РО - регионы'!$B$16:$C$104,2)</f>
        <v>1</v>
      </c>
      <c r="BL95" s="8">
        <f>VLOOKUP(C95,'РО - регионы'!$B$16:$L$104,11)</f>
        <v>2</v>
      </c>
      <c r="BM95" s="8">
        <f>VLOOKUP(C95,Спецтехника!$B$16:$C$104,2)</f>
        <v>0</v>
      </c>
      <c r="BN95" s="8">
        <f>VLOOKUP($C95,МНО!$B$16:$AB$104,6,0)</f>
        <v>2</v>
      </c>
      <c r="BO95" s="8">
        <f>VLOOKUP($C95,МНО!$B$16:$AB$104,4,0)</f>
        <v>2</v>
      </c>
      <c r="BP95" s="8">
        <f>VLOOKUP($C95,МНО!$B$16:$AB$104,5,0)</f>
        <v>0</v>
      </c>
      <c r="BQ95" s="8">
        <f>VLOOKUP($C95,Контейнеры!$B$16:$G$104,6,0)</f>
        <v>0</v>
      </c>
      <c r="BR95" s="8">
        <f>VLOOKUP($C95,Контейнеры!$B$16:$G$104,4,0)</f>
        <v>2</v>
      </c>
      <c r="BS95" s="8">
        <f>VLOOKUP($C95,Контейнеры!$B$16:$G$104,5,0)</f>
        <v>2</v>
      </c>
      <c r="BT95" s="8">
        <f>VLOOKUP($C95,'ДК МНО'!$B$16:$C$104,2,0)</f>
        <v>2</v>
      </c>
      <c r="BU95" s="8">
        <f>VLOOKUP($C95,Обработка!$B$16:$F$104,5,0)</f>
        <v>1</v>
      </c>
      <c r="BV95" s="8">
        <f>VLOOKUP($C95,Обработка!$B$16:$F$104,4,0)</f>
        <v>1</v>
      </c>
      <c r="BW95" s="8">
        <f>VLOOKUP($C95,Утилизация!$B$16:$F$104,5,0)</f>
        <v>2</v>
      </c>
      <c r="BX95" s="8">
        <f>VLOOKUP($C95,Утилизация!$B$16:$F$104,4,0)</f>
        <v>2</v>
      </c>
      <c r="BY95" s="8">
        <f>VLOOKUP($C95,Захоронение!$B$16:$C$104,2,0)</f>
        <v>0</v>
      </c>
      <c r="BZ95" s="8">
        <f>VLOOKUP($C95,'ДК ИП'!$B$16:$C$104,2,0)</f>
        <v>0</v>
      </c>
      <c r="CA95" s="8">
        <f>VLOOKUP(C95,Радар!$B$16:$G$104,2,0)</f>
        <v>2</v>
      </c>
      <c r="CB95" s="8">
        <f t="shared" si="29"/>
        <v>0.8</v>
      </c>
    </row>
    <row r="96" spans="1:80" ht="15.6" thickBot="1">
      <c r="A96" s="9" t="s">
        <v>659</v>
      </c>
      <c r="B96" s="122">
        <f t="shared" si="22"/>
        <v>86</v>
      </c>
      <c r="C96" s="202" t="s">
        <v>87</v>
      </c>
      <c r="D96" s="277" t="str">
        <f>VLOOKUP($C96,Штаб!$B$16:$J$104,6,0)</f>
        <v>✔️</v>
      </c>
      <c r="E96" s="285" t="str">
        <f>VLOOKUP($C96,Штаб!$B$16:$J$104,7,0)</f>
        <v/>
      </c>
      <c r="F96" s="285" t="str">
        <f>VLOOKUP($C96,Штаб!$B$16:$J$104,8,0)</f>
        <v/>
      </c>
      <c r="G96" s="286" t="str">
        <f>VLOOKUP($C96,Штаб!$B$16:$J$104,9,0)</f>
        <v/>
      </c>
      <c r="H96" s="279" t="str">
        <f>VLOOKUP(C96,'РО - регионы'!$B$16:$I$104,8,0)</f>
        <v>0 / 0 / 1 из 1</v>
      </c>
      <c r="I96" s="237"/>
      <c r="J96" s="122"/>
      <c r="K96" s="94"/>
      <c r="L96" s="94"/>
      <c r="M96" s="98"/>
      <c r="N96" s="163">
        <f>VLOOKUP(C96,Спецтехника!$B$16:$J$104,4,0)</f>
        <v>149</v>
      </c>
      <c r="O96" s="166">
        <f>VLOOKUP(C96,Спецтехника!$B$16:$J$104,5,0)</f>
        <v>149</v>
      </c>
      <c r="P96" s="166">
        <f>VLOOKUP(C96,Спецтехника!$B$16:$J$104,6,0)</f>
        <v>0</v>
      </c>
      <c r="Q96" s="169">
        <f>VLOOKUP(C96,Спецтехника!$B$16:$J$104,7,0)</f>
        <v>0</v>
      </c>
      <c r="R96" s="242"/>
      <c r="S96" s="122"/>
      <c r="T96" s="94"/>
      <c r="U96" s="94"/>
      <c r="V96" s="98"/>
      <c r="W96" s="165">
        <f>VLOOKUP($C96,МНО!$B$16:$AB$104,16,0)</f>
        <v>15394</v>
      </c>
      <c r="X96" s="168">
        <f>VLOOKUP($C96,МНО!$B$16:$AB$104,8,0)</f>
        <v>15394</v>
      </c>
      <c r="Y96" s="168">
        <f>VLOOKUP($C96,МНО!$B$16:$AB$104,11,0)</f>
        <v>0</v>
      </c>
      <c r="Z96" s="174">
        <f>VLOOKUP($C96,МНО!$B$16:$AB$104,17,0)</f>
        <v>0</v>
      </c>
      <c r="AA96" s="245"/>
      <c r="AB96" s="95">
        <f>VLOOKUP($C96,МНО!$B$16:$AB$104,13,0)</f>
        <v>12.876790501953197</v>
      </c>
      <c r="AC96" s="154">
        <f>VLOOKUP($C96,МНО!$B$16:$AB$104,18,0)</f>
        <v>1</v>
      </c>
      <c r="AD96" s="163">
        <f>VLOOKUP($C96,Контейнеры!$B$16:$AB$104,16,0)</f>
        <v>29016</v>
      </c>
      <c r="AE96" s="166">
        <f>VLOOKUP($C96,Контейнеры!$B$16:$AB$104,8,0)</f>
        <v>28065</v>
      </c>
      <c r="AF96" s="166">
        <f>VLOOKUP($C96,Контейнеры!$B$16:$AB$104,11,0)</f>
        <v>951</v>
      </c>
      <c r="AG96" s="173">
        <f>VLOOKUP($C96,Контейнеры!$B$16:$AB$104,17,0)</f>
        <v>3.2775020678246482E-2</v>
      </c>
      <c r="AH96" s="245"/>
      <c r="AI96" s="95">
        <f>VLOOKUP($C96,Контейнеры!$B$16:$AB$104,13,0)</f>
        <v>24.047586201578152</v>
      </c>
      <c r="AJ96" s="154">
        <f>VLOOKUP($C96,Контейнеры!$B$16:$AB$104,18,0)</f>
        <v>0.94926433282597666</v>
      </c>
      <c r="AK96" s="135"/>
      <c r="AL96" s="94"/>
      <c r="AM96" s="94"/>
      <c r="AN96" s="116"/>
      <c r="AO96" s="78">
        <f>VLOOKUP($C96,Обработка!$B$16:$L$104,6,0)</f>
        <v>0.67</v>
      </c>
      <c r="AP96" s="75">
        <f t="shared" si="23"/>
        <v>0.127</v>
      </c>
      <c r="AQ96" s="74">
        <f>VLOOKUP($C96,Обработка!$B$16:$L$104,7,0)</f>
        <v>0.7</v>
      </c>
      <c r="AR96" s="179">
        <f t="shared" si="24"/>
        <v>-0.1070000000000001</v>
      </c>
      <c r="AS96" s="181">
        <f>VLOOKUP($C96,Утилизация!$B$16:$L$104,6,0)</f>
        <v>9.4E-2</v>
      </c>
      <c r="AT96" s="74">
        <f t="shared" si="25"/>
        <v>-4.5000000000000012E-2</v>
      </c>
      <c r="AU96" s="76">
        <f>VLOOKUP($C96,Утилизация!$B$16:$L$104,7,0)</f>
        <v>4.7E-2</v>
      </c>
      <c r="AV96" s="184">
        <f t="shared" si="26"/>
        <v>-0.23899999999999999</v>
      </c>
      <c r="AW96" s="161" t="str">
        <f>VLOOKUP(C96,Захоронение!$B$16:$Q$104,16,0)</f>
        <v/>
      </c>
      <c r="AX96" s="135"/>
      <c r="AY96" s="94"/>
      <c r="AZ96" s="94"/>
      <c r="BA96" s="98"/>
      <c r="BB96" s="127" t="str">
        <f>VLOOKUP(C96,'ДК ИП'!$B$16:$S$104,5,0)</f>
        <v>небольшое</v>
      </c>
      <c r="BC96" s="289">
        <f>VLOOKUP(C96,Радар!$B$16:$G$104,6,0)</f>
        <v>8.5685324074748442E-4</v>
      </c>
      <c r="BD96" s="98"/>
      <c r="BF96" s="296">
        <f t="shared" si="27"/>
        <v>0.33333333333333331</v>
      </c>
      <c r="BI96" s="8">
        <f t="shared" si="28"/>
        <v>0</v>
      </c>
      <c r="BJ96" s="8">
        <f>VLOOKUP(C96,Штаб!$B$16:$C$104,2)</f>
        <v>0</v>
      </c>
      <c r="BK96" s="8">
        <f>VLOOKUP(C96,'РО - регионы'!$B$16:$C$104,2)</f>
        <v>0</v>
      </c>
      <c r="BL96" s="8">
        <f>VLOOKUP(C96,'РО - регионы'!$B$16:$L$104,11)</f>
        <v>0</v>
      </c>
      <c r="BM96" s="8">
        <f>VLOOKUP(C96,Спецтехника!$B$16:$C$104,2)</f>
        <v>0</v>
      </c>
      <c r="BN96" s="8">
        <f>VLOOKUP($C96,МНО!$B$16:$AB$104,6,0)</f>
        <v>2</v>
      </c>
      <c r="BO96" s="8">
        <f>VLOOKUP($C96,МНО!$B$16:$AB$104,4,0)</f>
        <v>0</v>
      </c>
      <c r="BP96" s="8">
        <f>VLOOKUP($C96,МНО!$B$16:$AB$104,5,0)</f>
        <v>0</v>
      </c>
      <c r="BQ96" s="8">
        <f>VLOOKUP($C96,Контейнеры!$B$16:$G$104,6,0)</f>
        <v>0</v>
      </c>
      <c r="BR96" s="8">
        <f>VLOOKUP($C96,Контейнеры!$B$16:$G$104,4,0)</f>
        <v>0</v>
      </c>
      <c r="BS96" s="8">
        <f>VLOOKUP($C96,Контейнеры!$B$16:$G$104,5,0)</f>
        <v>0</v>
      </c>
      <c r="BT96" s="8">
        <f>VLOOKUP($C96,'ДК МНО'!$B$16:$C$104,2,0)</f>
        <v>2</v>
      </c>
      <c r="BU96" s="8">
        <f>VLOOKUP($C96,Обработка!$B$16:$F$104,5,0)</f>
        <v>1</v>
      </c>
      <c r="BV96" s="8">
        <f>VLOOKUP($C96,Обработка!$B$16:$F$104,4,0)</f>
        <v>0</v>
      </c>
      <c r="BW96" s="8">
        <f>VLOOKUP($C96,Утилизация!$B$16:$F$104,5,0)</f>
        <v>2</v>
      </c>
      <c r="BX96" s="8">
        <f>VLOOKUP($C96,Утилизация!$B$16:$F$104,4,0)</f>
        <v>1</v>
      </c>
      <c r="BY96" s="8">
        <f>VLOOKUP($C96,Захоронение!$B$16:$C$104,2,0)</f>
        <v>0</v>
      </c>
      <c r="BZ96" s="8">
        <f>VLOOKUP($C96,'ДК ИП'!$B$16:$C$104,2,0)</f>
        <v>0</v>
      </c>
      <c r="CA96" s="8">
        <f>VLOOKUP(C96,Радар!$B$16:$G$104,2,0)</f>
        <v>0</v>
      </c>
      <c r="CB96" s="8">
        <f t="shared" si="29"/>
        <v>0.3</v>
      </c>
    </row>
    <row r="97" spans="1:80" ht="15.6" thickBot="1">
      <c r="A97" s="9" t="s">
        <v>654</v>
      </c>
      <c r="B97" s="121">
        <f t="shared" si="22"/>
        <v>87</v>
      </c>
      <c r="C97" s="202" t="s">
        <v>88</v>
      </c>
      <c r="D97" s="277" t="str">
        <f>VLOOKUP($C97,Штаб!$B$16:$J$104,6,0)</f>
        <v>✔️</v>
      </c>
      <c r="E97" s="285" t="str">
        <f>VLOOKUP($C97,Штаб!$B$16:$J$104,7,0)</f>
        <v/>
      </c>
      <c r="F97" s="285" t="str">
        <f>VLOOKUP($C97,Штаб!$B$16:$J$104,8,0)</f>
        <v/>
      </c>
      <c r="G97" s="286" t="str">
        <f>VLOOKUP($C97,Штаб!$B$16:$J$104,9,0)</f>
        <v/>
      </c>
      <c r="H97" s="278" t="str">
        <f>VLOOKUP(C97,'РО - регионы'!$B$16:$I$104,8,0)</f>
        <v>0 / 18 / 3 из 21</v>
      </c>
      <c r="I97" s="237"/>
      <c r="J97" s="122"/>
      <c r="K97" s="94"/>
      <c r="L97" s="94"/>
      <c r="M97" s="98"/>
      <c r="N97" s="165">
        <f>VLOOKUP(C97,Спецтехника!$B$16:$J$104,4,0)</f>
        <v>50</v>
      </c>
      <c r="O97" s="168">
        <f>VLOOKUP(C97,Спецтехника!$B$16:$J$104,5,0)</f>
        <v>40</v>
      </c>
      <c r="P97" s="168">
        <f>VLOOKUP(C97,Спецтехника!$B$16:$J$104,6,0)</f>
        <v>10</v>
      </c>
      <c r="Q97" s="171">
        <f>VLOOKUP(C97,Спецтехника!$B$16:$J$104,7,0)</f>
        <v>0.2</v>
      </c>
      <c r="R97" s="242"/>
      <c r="S97" s="122"/>
      <c r="T97" s="94"/>
      <c r="U97" s="94"/>
      <c r="V97" s="98"/>
      <c r="W97" s="164">
        <f>VLOOKUP($C97,МНО!$B$16:$AB$104,16,0)</f>
        <v>722</v>
      </c>
      <c r="X97" s="167">
        <f>VLOOKUP($C97,МНО!$B$16:$AB$104,8,0)</f>
        <v>478</v>
      </c>
      <c r="Y97" s="167">
        <f>VLOOKUP($C97,МНО!$B$16:$AB$104,11,0)</f>
        <v>244</v>
      </c>
      <c r="Z97" s="172">
        <f>VLOOKUP($C97,МНО!$B$16:$AB$104,17,0)</f>
        <v>0.33795013850415512</v>
      </c>
      <c r="AA97" s="245"/>
      <c r="AB97" s="95">
        <f>VLOOKUP($C97,МНО!$B$16:$AB$104,13,0)</f>
        <v>9.9314997189198202</v>
      </c>
      <c r="AC97" s="154">
        <f>VLOOKUP($C97,МНО!$B$16:$AB$104,18,0)</f>
        <v>1</v>
      </c>
      <c r="AD97" s="164">
        <f>VLOOKUP($C97,Контейнеры!$B$16:$AB$104,16,0)</f>
        <v>1691</v>
      </c>
      <c r="AE97" s="167">
        <f>VLOOKUP($C97,Контейнеры!$B$16:$AB$104,8,0)</f>
        <v>1292</v>
      </c>
      <c r="AF97" s="167">
        <f>VLOOKUP($C97,Контейнеры!$B$16:$AB$104,11,0)</f>
        <v>399</v>
      </c>
      <c r="AG97" s="172">
        <f>VLOOKUP($C97,Контейнеры!$B$16:$AB$104,17,0)</f>
        <v>0.23595505617977527</v>
      </c>
      <c r="AH97" s="245"/>
      <c r="AI97" s="95">
        <f>VLOOKUP($C97,Контейнеры!$B$16:$AB$104,13,0)</f>
        <v>26.900414333007141</v>
      </c>
      <c r="AJ97" s="154">
        <f>VLOOKUP($C97,Контейнеры!$B$16:$AB$104,18,0)</f>
        <v>1</v>
      </c>
      <c r="AK97" s="135"/>
      <c r="AL97" s="94"/>
      <c r="AM97" s="94"/>
      <c r="AN97" s="116"/>
      <c r="AO97" s="79">
        <f>VLOOKUP($C97,Обработка!$B$16:$L$104,6,0)</f>
        <v>0.24399999999999999</v>
      </c>
      <c r="AP97" s="75">
        <f t="shared" si="23"/>
        <v>-0.29900000000000004</v>
      </c>
      <c r="AQ97" s="74">
        <f>VLOOKUP($C97,Обработка!$B$16:$L$104,7,0)</f>
        <v>0.66099999999999992</v>
      </c>
      <c r="AR97" s="179">
        <f t="shared" si="24"/>
        <v>-0.14600000000000013</v>
      </c>
      <c r="AS97" s="180">
        <f>VLOOKUP($C97,Утилизация!$B$16:$L$104,6,0)</f>
        <v>0.23100000000000001</v>
      </c>
      <c r="AT97" s="76">
        <f t="shared" si="25"/>
        <v>9.1999999999999998E-2</v>
      </c>
      <c r="AU97" s="74">
        <f>VLOOKUP($C97,Утилизация!$B$16:$L$104,7,0)</f>
        <v>0.25</v>
      </c>
      <c r="AV97" s="186">
        <f t="shared" si="26"/>
        <v>-3.5999999999999976E-2</v>
      </c>
      <c r="AW97" s="162" t="str">
        <f>VLOOKUP(C97,Захоронение!$B$16:$Q$104,16,0)</f>
        <v>свалки</v>
      </c>
      <c r="AX97" s="135"/>
      <c r="AY97" s="94"/>
      <c r="AZ97" s="94"/>
      <c r="BA97" s="98"/>
      <c r="BB97" s="127" t="str">
        <f>VLOOKUP(C97,'ДК ИП'!$B$16:$S$104,5,0)</f>
        <v>небольшое</v>
      </c>
      <c r="BC97" s="288">
        <f>VLOOKUP(C97,Радар!$B$16:$G$104,6,0)</f>
        <v>2.9565470861354597</v>
      </c>
      <c r="BD97" s="98"/>
      <c r="BF97" s="293">
        <f t="shared" si="27"/>
        <v>1.1666666666666667</v>
      </c>
      <c r="BI97" s="8">
        <f t="shared" si="28"/>
        <v>1</v>
      </c>
      <c r="BJ97" s="8">
        <f>VLOOKUP(C97,Штаб!$B$16:$C$104,2)</f>
        <v>0</v>
      </c>
      <c r="BK97" s="8">
        <f>VLOOKUP(C97,'РО - регионы'!$B$16:$C$104,2)</f>
        <v>1</v>
      </c>
      <c r="BL97" s="8">
        <f>VLOOKUP(C97,'РО - регионы'!$B$16:$L$104,11)</f>
        <v>2</v>
      </c>
      <c r="BM97" s="8">
        <f>VLOOKUP(C97,Спецтехника!$B$16:$C$104,2)</f>
        <v>2</v>
      </c>
      <c r="BN97" s="8">
        <f>VLOOKUP($C97,МНО!$B$16:$AB$104,6,0)</f>
        <v>1</v>
      </c>
      <c r="BO97" s="8">
        <f>VLOOKUP($C97,МНО!$B$16:$AB$104,4,0)</f>
        <v>0</v>
      </c>
      <c r="BP97" s="8">
        <f>VLOOKUP($C97,МНО!$B$16:$AB$104,5,0)</f>
        <v>0</v>
      </c>
      <c r="BQ97" s="8">
        <f>VLOOKUP($C97,Контейнеры!$B$16:$G$104,6,0)</f>
        <v>1</v>
      </c>
      <c r="BR97" s="8">
        <f>VLOOKUP($C97,Контейнеры!$B$16:$G$104,4,0)</f>
        <v>0</v>
      </c>
      <c r="BS97" s="8">
        <f>VLOOKUP($C97,Контейнеры!$B$16:$G$104,5,0)</f>
        <v>0</v>
      </c>
      <c r="BT97" s="8">
        <f>VLOOKUP($C97,'ДК МНО'!$B$16:$C$104,2,0)</f>
        <v>2</v>
      </c>
      <c r="BU97" s="8">
        <f>VLOOKUP($C97,Обработка!$B$16:$F$104,5,0)</f>
        <v>1</v>
      </c>
      <c r="BV97" s="8">
        <f>VLOOKUP($C97,Обработка!$B$16:$F$104,4,0)</f>
        <v>2</v>
      </c>
      <c r="BW97" s="8">
        <f>VLOOKUP($C97,Утилизация!$B$16:$F$104,5,0)</f>
        <v>1</v>
      </c>
      <c r="BX97" s="8">
        <f>VLOOKUP($C97,Утилизация!$B$16:$F$104,4,0)</f>
        <v>2</v>
      </c>
      <c r="BY97" s="8">
        <f>VLOOKUP($C97,Захоронение!$B$16:$C$104,2,0)</f>
        <v>2</v>
      </c>
      <c r="BZ97" s="8">
        <f>VLOOKUP($C97,'ДК ИП'!$B$16:$C$104,2,0)</f>
        <v>0</v>
      </c>
      <c r="CA97" s="8">
        <f>VLOOKUP(C97,Радар!$B$16:$G$104,2,0)</f>
        <v>2</v>
      </c>
      <c r="CB97" s="8">
        <f t="shared" si="29"/>
        <v>1.2000000000000002</v>
      </c>
    </row>
    <row r="98" spans="1:80" ht="15.6" thickBot="1">
      <c r="A98" s="9" t="s">
        <v>660</v>
      </c>
      <c r="B98" s="122">
        <f t="shared" si="22"/>
        <v>88</v>
      </c>
      <c r="C98" s="202" t="s">
        <v>89</v>
      </c>
      <c r="D98" s="277" t="str">
        <f>VLOOKUP($C98,Штаб!$B$16:$J$104,6,0)</f>
        <v>✔️</v>
      </c>
      <c r="E98" s="285" t="str">
        <f>VLOOKUP($C98,Штаб!$B$16:$J$104,7,0)</f>
        <v/>
      </c>
      <c r="F98" s="285" t="str">
        <f>VLOOKUP($C98,Штаб!$B$16:$J$104,8,0)</f>
        <v/>
      </c>
      <c r="G98" s="286" t="str">
        <f>VLOOKUP($C98,Штаб!$B$16:$J$104,9,0)</f>
        <v/>
      </c>
      <c r="H98" s="279" t="str">
        <f>VLOOKUP(C98,'РО - регионы'!$B$16:$I$104,8,0)</f>
        <v>0 / 0 / 1 из 1</v>
      </c>
      <c r="I98" s="237"/>
      <c r="J98" s="122"/>
      <c r="K98" s="94"/>
      <c r="L98" s="94"/>
      <c r="M98" s="98"/>
      <c r="N98" s="163">
        <f>VLOOKUP(C98,Спецтехника!$B$16:$J$104,4,0)</f>
        <v>222</v>
      </c>
      <c r="O98" s="166">
        <f>VLOOKUP(C98,Спецтехника!$B$16:$J$104,5,0)</f>
        <v>222</v>
      </c>
      <c r="P98" s="166">
        <f>VLOOKUP(C98,Спецтехника!$B$16:$J$104,6,0)</f>
        <v>0</v>
      </c>
      <c r="Q98" s="169">
        <f>VLOOKUP(C98,Спецтехника!$B$16:$J$104,7,0)</f>
        <v>0</v>
      </c>
      <c r="R98" s="242"/>
      <c r="S98" s="122"/>
      <c r="T98" s="94"/>
      <c r="U98" s="94"/>
      <c r="V98" s="98"/>
      <c r="W98" s="163">
        <f>VLOOKUP($C98,МНО!$B$16:$AB$104,16,0)</f>
        <v>6749</v>
      </c>
      <c r="X98" s="166">
        <f>VLOOKUP($C98,МНО!$B$16:$AB$104,8,0)</f>
        <v>6714</v>
      </c>
      <c r="Y98" s="166">
        <f>VLOOKUP($C98,МНО!$B$16:$AB$104,11,0)</f>
        <v>35</v>
      </c>
      <c r="Z98" s="173">
        <f>VLOOKUP($C98,МНО!$B$16:$AB$104,17,0)</f>
        <v>5.1859534745888284E-3</v>
      </c>
      <c r="AA98" s="245"/>
      <c r="AB98" s="95">
        <f>VLOOKUP($C98,МНО!$B$16:$AB$104,13,0)</f>
        <v>10.370958989068921</v>
      </c>
      <c r="AC98" s="154">
        <f>VLOOKUP($C98,МНО!$B$16:$AB$104,18,0)</f>
        <v>1</v>
      </c>
      <c r="AD98" s="163">
        <f>VLOOKUP($C98,Контейнеры!$B$16:$AB$104,16,0)</f>
        <v>16193</v>
      </c>
      <c r="AE98" s="166">
        <f>VLOOKUP($C98,Контейнеры!$B$16:$AB$104,8,0)</f>
        <v>15887</v>
      </c>
      <c r="AF98" s="166">
        <f>VLOOKUP($C98,Контейнеры!$B$16:$AB$104,11,0)</f>
        <v>306</v>
      </c>
      <c r="AG98" s="173">
        <f>VLOOKUP($C98,Контейнеры!$B$16:$AB$104,17,0)</f>
        <v>1.8897054282714754E-2</v>
      </c>
      <c r="AH98" s="245"/>
      <c r="AI98" s="95">
        <f>VLOOKUP($C98,Контейнеры!$B$16:$AB$104,13,0)</f>
        <v>30.791146600511667</v>
      </c>
      <c r="AJ98" s="154">
        <f>VLOOKUP($C98,Контейнеры!$B$16:$AB$104,18,0)</f>
        <v>1</v>
      </c>
      <c r="AK98" s="135"/>
      <c r="AL98" s="94"/>
      <c r="AM98" s="94"/>
      <c r="AN98" s="116"/>
      <c r="AO98" s="80">
        <f>VLOOKUP($C98,Обработка!$B$16:$L$104,6,0)</f>
        <v>0.4</v>
      </c>
      <c r="AP98" s="75">
        <f t="shared" si="23"/>
        <v>-0.14300000000000002</v>
      </c>
      <c r="AQ98" s="75">
        <f>VLOOKUP($C98,Обработка!$B$16:$L$104,7,0)</f>
        <v>0.9</v>
      </c>
      <c r="AR98" s="178">
        <f t="shared" si="24"/>
        <v>9.2999999999999972E-2</v>
      </c>
      <c r="AS98" s="180">
        <f>VLOOKUP($C98,Утилизация!$B$16:$L$104,6,0)</f>
        <v>1.6E-2</v>
      </c>
      <c r="AT98" s="76">
        <f t="shared" si="25"/>
        <v>-0.12300000000000001</v>
      </c>
      <c r="AU98" s="75">
        <f>VLOOKUP($C98,Утилизация!$B$16:$L$104,7,0)</f>
        <v>0.35</v>
      </c>
      <c r="AV98" s="185">
        <f t="shared" si="26"/>
        <v>6.4000000000000001E-2</v>
      </c>
      <c r="AW98" s="162" t="str">
        <f>VLOOKUP(C98,Захоронение!$B$16:$Q$104,16,0)</f>
        <v>белые пятна</v>
      </c>
      <c r="AX98" s="135"/>
      <c r="AY98" s="94"/>
      <c r="AZ98" s="94"/>
      <c r="BA98" s="98"/>
      <c r="BB98" s="127" t="str">
        <f>VLOOKUP(C98,'ДК ИП'!$B$16:$S$104,5,0)</f>
        <v>небольшое</v>
      </c>
      <c r="BC98" s="288">
        <f>VLOOKUP(C98,Радар!$B$16:$G$104,6,0)</f>
        <v>3.6824560043414216E-2</v>
      </c>
      <c r="BD98" s="98"/>
      <c r="BF98" s="294">
        <f t="shared" si="27"/>
        <v>0.91666666666666663</v>
      </c>
      <c r="BI98" s="8">
        <f t="shared" si="28"/>
        <v>0</v>
      </c>
      <c r="BJ98" s="8">
        <f>VLOOKUP(C98,Штаб!$B$16:$C$104,2)</f>
        <v>0</v>
      </c>
      <c r="BK98" s="8">
        <f>VLOOKUP(C98,'РО - регионы'!$B$16:$C$104,2)</f>
        <v>0</v>
      </c>
      <c r="BL98" s="8">
        <f>VLOOKUP(C98,'РО - регионы'!$B$16:$L$104,11)</f>
        <v>0</v>
      </c>
      <c r="BM98" s="8">
        <f>VLOOKUP(C98,Спецтехника!$B$16:$C$104,2)</f>
        <v>0</v>
      </c>
      <c r="BN98" s="8">
        <f>VLOOKUP($C98,МНО!$B$16:$AB$104,6,0)</f>
        <v>0</v>
      </c>
      <c r="BO98" s="8">
        <f>VLOOKUP($C98,МНО!$B$16:$AB$104,4,0)</f>
        <v>0</v>
      </c>
      <c r="BP98" s="8">
        <f>VLOOKUP($C98,МНО!$B$16:$AB$104,5,0)</f>
        <v>0</v>
      </c>
      <c r="BQ98" s="8">
        <f>VLOOKUP($C98,Контейнеры!$B$16:$G$104,6,0)</f>
        <v>0</v>
      </c>
      <c r="BR98" s="8">
        <f>VLOOKUP($C98,Контейнеры!$B$16:$G$104,4,0)</f>
        <v>0</v>
      </c>
      <c r="BS98" s="8">
        <f>VLOOKUP($C98,Контейнеры!$B$16:$G$104,5,0)</f>
        <v>0</v>
      </c>
      <c r="BT98" s="8">
        <f>VLOOKUP($C98,'ДК МНО'!$B$16:$C$104,2,0)</f>
        <v>2</v>
      </c>
      <c r="BU98" s="8">
        <f>VLOOKUP($C98,Обработка!$B$16:$F$104,5,0)</f>
        <v>0</v>
      </c>
      <c r="BV98" s="8">
        <f>VLOOKUP($C98,Обработка!$B$16:$F$104,4,0)</f>
        <v>1</v>
      </c>
      <c r="BW98" s="8">
        <f>VLOOKUP($C98,Утилизация!$B$16:$F$104,5,0)</f>
        <v>0</v>
      </c>
      <c r="BX98" s="8">
        <f>VLOOKUP($C98,Утилизация!$B$16:$F$104,4,0)</f>
        <v>2</v>
      </c>
      <c r="BY98" s="8">
        <f>VLOOKUP($C98,Захоронение!$B$16:$C$104,2,0)</f>
        <v>2</v>
      </c>
      <c r="BZ98" s="8">
        <f>VLOOKUP($C98,'ДК ИП'!$B$16:$C$104,2,0)</f>
        <v>0</v>
      </c>
      <c r="CA98" s="8">
        <f>VLOOKUP(C98,Радар!$B$16:$G$104,2,0)</f>
        <v>2</v>
      </c>
      <c r="CB98" s="8">
        <f t="shared" si="29"/>
        <v>0.65</v>
      </c>
    </row>
    <row r="99" spans="1:80" ht="15.6" thickBot="1">
      <c r="A99" s="9" t="s">
        <v>657</v>
      </c>
      <c r="B99" s="121">
        <f t="shared" si="22"/>
        <v>89</v>
      </c>
      <c r="C99" s="203" t="s">
        <v>90</v>
      </c>
      <c r="D99" s="277" t="str">
        <f>VLOOKUP($C99,Штаб!$B$16:$J$104,6,0)</f>
        <v/>
      </c>
      <c r="E99" s="285" t="str">
        <f>VLOOKUP($C99,Штаб!$B$16:$J$104,7,0)</f>
        <v/>
      </c>
      <c r="F99" s="285" t="str">
        <f>VLOOKUP($C99,Штаб!$B$16:$J$104,8,0)</f>
        <v/>
      </c>
      <c r="G99" s="286" t="str">
        <f>VLOOKUP($C99,Штаб!$B$16:$J$104,9,0)</f>
        <v>✔️</v>
      </c>
      <c r="H99" s="281" t="str">
        <f>VLOOKUP(C99,'РО - регионы'!$B$16:$I$104,8,0)</f>
        <v>0 / 0 / 1 из 1</v>
      </c>
      <c r="I99" s="238"/>
      <c r="J99" s="123"/>
      <c r="K99" s="99"/>
      <c r="L99" s="99"/>
      <c r="M99" s="101"/>
      <c r="N99" s="205">
        <f>VLOOKUP(C99,Спецтехника!$B$16:$J$104,4,0)</f>
        <v>298</v>
      </c>
      <c r="O99" s="206">
        <f>VLOOKUP(C99,Спецтехника!$B$16:$J$104,5,0)</f>
        <v>298</v>
      </c>
      <c r="P99" s="206">
        <f>VLOOKUP(C99,Спецтехника!$B$16:$J$104,6,0)</f>
        <v>0</v>
      </c>
      <c r="Q99" s="254">
        <f>VLOOKUP(C99,Спецтехника!$B$16:$J$104,7,0)</f>
        <v>0</v>
      </c>
      <c r="R99" s="243"/>
      <c r="S99" s="123"/>
      <c r="T99" s="99"/>
      <c r="U99" s="99"/>
      <c r="V99" s="101"/>
      <c r="W99" s="205">
        <f>VLOOKUP($C99,МНО!$B$16:$AB$104,16,0)</f>
        <v>7796</v>
      </c>
      <c r="X99" s="206">
        <f>VLOOKUP($C99,МНО!$B$16:$AB$104,8,0)</f>
        <v>6980</v>
      </c>
      <c r="Y99" s="206">
        <f>VLOOKUP($C99,МНО!$B$16:$AB$104,11,0)</f>
        <v>816</v>
      </c>
      <c r="Z99" s="207">
        <f>VLOOKUP($C99,МНО!$B$16:$AB$104,17,0)</f>
        <v>0.10466906105695228</v>
      </c>
      <c r="AA99" s="246"/>
      <c r="AB99" s="100">
        <f>VLOOKUP($C99,МНО!$B$16:$AB$104,13,0)</f>
        <v>5.7302464384897416</v>
      </c>
      <c r="AC99" s="155">
        <f>VLOOKUP($C99,МНО!$B$16:$AB$104,18,0)</f>
        <v>1</v>
      </c>
      <c r="AD99" s="205">
        <f>VLOOKUP($C99,Контейнеры!$B$16:$AB$104,16,0)</f>
        <v>17873</v>
      </c>
      <c r="AE99" s="206">
        <f>VLOOKUP($C99,Контейнеры!$B$16:$AB$104,8,0)</f>
        <v>16756</v>
      </c>
      <c r="AF99" s="206">
        <f>VLOOKUP($C99,Контейнеры!$B$16:$AB$104,11,0)</f>
        <v>1117</v>
      </c>
      <c r="AG99" s="207">
        <f>VLOOKUP($C99,Контейнеры!$B$16:$AB$104,17,0)</f>
        <v>6.2496503105242546E-2</v>
      </c>
      <c r="AH99" s="246"/>
      <c r="AI99" s="100">
        <f>VLOOKUP($C99,Контейнеры!$B$16:$AB$104,13,0)</f>
        <v>14.109626645603836</v>
      </c>
      <c r="AJ99" s="155">
        <f>VLOOKUP($C99,Контейнеры!$B$16:$AB$104,18,0)</f>
        <v>0.98269896193771622</v>
      </c>
      <c r="AK99" s="136"/>
      <c r="AL99" s="99"/>
      <c r="AM99" s="99"/>
      <c r="AN99" s="117"/>
      <c r="AO99" s="81">
        <f>VLOOKUP($C99,Обработка!$B$16:$L$104,6,0)</f>
        <v>0.62</v>
      </c>
      <c r="AP99" s="77">
        <f t="shared" si="23"/>
        <v>7.6999999999999957E-2</v>
      </c>
      <c r="AQ99" s="301">
        <f>VLOOKUP($C99,Обработка!$B$16:$L$104,7,0)</f>
        <v>0.61</v>
      </c>
      <c r="AR99" s="302">
        <f t="shared" si="24"/>
        <v>-0.19700000000000006</v>
      </c>
      <c r="AS99" s="303">
        <f>VLOOKUP($C99,Утилизация!$B$16:$L$104,6,0)</f>
        <v>8.900000000000001E-2</v>
      </c>
      <c r="AT99" s="301">
        <f t="shared" si="25"/>
        <v>-0.05</v>
      </c>
      <c r="AU99" s="304">
        <f>VLOOKUP($C99,Утилизация!$B$16:$L$104,7,0)</f>
        <v>8.199999999999999E-2</v>
      </c>
      <c r="AV99" s="305">
        <f t="shared" si="26"/>
        <v>-0.20399999999999999</v>
      </c>
      <c r="AW99" s="204" t="str">
        <f>VLOOKUP(C99,Захоронение!$B$16:$Q$104,16,0)</f>
        <v/>
      </c>
      <c r="AX99" s="136"/>
      <c r="AY99" s="99"/>
      <c r="AZ99" s="99"/>
      <c r="BA99" s="101"/>
      <c r="BB99" s="128" t="str">
        <f>VLOOKUP(C99,'ДК ИП'!$B$16:$S$104,5,0)</f>
        <v>небольшое</v>
      </c>
      <c r="BC99" s="291">
        <f>VLOOKUP(C99,Радар!$B$16:$G$104,6,0)</f>
        <v>0.13473026159564416</v>
      </c>
      <c r="BD99" s="101"/>
      <c r="BF99" s="296">
        <f t="shared" si="27"/>
        <v>0.33333333333333331</v>
      </c>
      <c r="BI99" s="8">
        <f t="shared" si="28"/>
        <v>0</v>
      </c>
      <c r="BJ99" s="8">
        <f>VLOOKUP(C99,Штаб!$B$16:$C$104,2)</f>
        <v>2</v>
      </c>
      <c r="BK99" s="8">
        <f>VLOOKUP(C99,'РО - регионы'!$B$16:$C$104,2)</f>
        <v>0</v>
      </c>
      <c r="BL99" s="8">
        <f>VLOOKUP(C99,'РО - регионы'!$B$16:$L$104,11)</f>
        <v>0</v>
      </c>
      <c r="BM99" s="8">
        <f>VLOOKUP(C99,Спецтехника!$B$16:$C$104,2)</f>
        <v>0</v>
      </c>
      <c r="BN99" s="8">
        <f>VLOOKUP($C99,МНО!$B$16:$AB$104,6,0)</f>
        <v>0</v>
      </c>
      <c r="BO99" s="8">
        <f>VLOOKUP($C99,МНО!$B$16:$AB$104,4,0)</f>
        <v>1</v>
      </c>
      <c r="BP99" s="8">
        <f>VLOOKUP($C99,МНО!$B$16:$AB$104,5,0)</f>
        <v>0</v>
      </c>
      <c r="BQ99" s="8">
        <f>VLOOKUP($C99,Контейнеры!$B$16:$G$104,6,0)</f>
        <v>0</v>
      </c>
      <c r="BR99" s="8">
        <f>VLOOKUP($C99,Контейнеры!$B$16:$G$104,4,0)</f>
        <v>0</v>
      </c>
      <c r="BS99" s="8">
        <f>VLOOKUP($C99,Контейнеры!$B$16:$G$104,5,0)</f>
        <v>0</v>
      </c>
      <c r="BT99" s="8">
        <f>VLOOKUP($C99,'ДК МНО'!$B$16:$C$104,2,0)</f>
        <v>2</v>
      </c>
      <c r="BU99" s="8">
        <f>VLOOKUP($C99,Обработка!$B$16:$F$104,5,0)</f>
        <v>1</v>
      </c>
      <c r="BV99" s="8">
        <f>VLOOKUP($C99,Обработка!$B$16:$F$104,4,0)</f>
        <v>0</v>
      </c>
      <c r="BW99" s="8">
        <f>VLOOKUP($C99,Утилизация!$B$16:$F$104,5,0)</f>
        <v>2</v>
      </c>
      <c r="BX99" s="8">
        <f>VLOOKUP($C99,Утилизация!$B$16:$F$104,4,0)</f>
        <v>1</v>
      </c>
      <c r="BY99" s="8">
        <f>VLOOKUP($C99,Захоронение!$B$16:$C$104,2,0)</f>
        <v>0</v>
      </c>
      <c r="BZ99" s="8">
        <f>VLOOKUP($C99,'ДК ИП'!$B$16:$C$104,2,0)</f>
        <v>0</v>
      </c>
      <c r="CA99" s="8">
        <f>VLOOKUP(C99,Радар!$B$16:$G$104,2,0)</f>
        <v>2</v>
      </c>
      <c r="CB99" s="8">
        <f t="shared" si="29"/>
        <v>0.25</v>
      </c>
    </row>
  </sheetData>
  <autoFilter ref="A10:CC99"/>
  <sortState ref="A11:CC99">
    <sortCondition descending="1" ref="BF11:BF99"/>
    <sortCondition descending="1" ref="CB11:CB99"/>
  </sortState>
  <mergeCells count="28">
    <mergeCell ref="B5:B7"/>
    <mergeCell ref="H6:H7"/>
    <mergeCell ref="AD9:AJ9"/>
    <mergeCell ref="W9:AC9"/>
    <mergeCell ref="W6:AC6"/>
    <mergeCell ref="AD6:AJ6"/>
    <mergeCell ref="J6:M6"/>
    <mergeCell ref="D6:D7"/>
    <mergeCell ref="E6:E7"/>
    <mergeCell ref="F6:F7"/>
    <mergeCell ref="G6:G7"/>
    <mergeCell ref="I6:I7"/>
    <mergeCell ref="N6:R6"/>
    <mergeCell ref="AO5:BA5"/>
    <mergeCell ref="BC5:BD5"/>
    <mergeCell ref="AO9:AR9"/>
    <mergeCell ref="AS9:AV9"/>
    <mergeCell ref="C5:C7"/>
    <mergeCell ref="N5:V5"/>
    <mergeCell ref="W5:AN5"/>
    <mergeCell ref="S6:V6"/>
    <mergeCell ref="AK6:AN6"/>
    <mergeCell ref="AX6:BA6"/>
    <mergeCell ref="N9:Q9"/>
    <mergeCell ref="AO6:AR6"/>
    <mergeCell ref="AS6:AV6"/>
    <mergeCell ref="D5:G5"/>
    <mergeCell ref="H5:M5"/>
  </mergeCells>
  <phoneticPr fontId="15" type="noConversion"/>
  <conditionalFormatting sqref="AI11:AJ99">
    <cfRule type="colorScale" priority="8">
      <colorScale>
        <cfvo type="formula" val="$BN$11=0"/>
        <cfvo type="formula" val="$BN$11=1"/>
        <cfvo type="formula" val="$BN$11=2"/>
        <color theme="9" tint="0.79998168889431442"/>
        <color theme="7" tint="0.79998168889431442"/>
        <color theme="5" tint="0.79998168889431442"/>
      </colorScale>
    </cfRule>
  </conditionalFormatting>
  <pageMargins left="0.25" right="0.25" top="0.75" bottom="0.75" header="0.3" footer="0.3"/>
  <pageSetup paperSize="9" scale="32" fitToWidth="2" orientation="landscape" horizontalDpi="0" verticalDpi="0" copies="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C43"/>
  <sheetViews>
    <sheetView workbookViewId="0"/>
  </sheetViews>
  <sheetFormatPr defaultColWidth="10.8984375" defaultRowHeight="15.6"/>
  <cols>
    <col min="2" max="2" width="3.09765625" customWidth="1"/>
    <col min="3" max="3" width="59.3984375" customWidth="1"/>
    <col min="4" max="4" width="32" customWidth="1"/>
    <col min="5" max="5" width="35.09765625" customWidth="1"/>
  </cols>
  <sheetData>
    <row r="3" spans="2:3">
      <c r="C3" t="s">
        <v>106</v>
      </c>
    </row>
    <row r="4" spans="2:3">
      <c r="C4" s="58" t="s">
        <v>54</v>
      </c>
    </row>
    <row r="6" spans="2:3">
      <c r="B6">
        <f>VLOOKUP($C$4,Штаб!$B$16:$F$104,2,0)</f>
        <v>2</v>
      </c>
      <c r="C6" t="str">
        <f>VLOOKUP($C$4,Штаб!$B$16:$F$104,5,0)</f>
        <v>Штаб не создан</v>
      </c>
    </row>
    <row r="8" spans="2:3">
      <c r="B8">
        <f>VLOOKUP($C$4,'РО - регионы'!$B$16:$N$104,2,0)</f>
        <v>0</v>
      </c>
      <c r="C8" t="str">
        <f>VLOOKUP($C$4,'РО - регионы'!$B$16:$N$104,12,0)</f>
        <v>Из 3 РО 3 в зеленой зоне, 0 - в желтой, 0 - в красной</v>
      </c>
    </row>
    <row r="9" spans="2:3">
      <c r="B9">
        <f>VLOOKUP($C$4,'РО - регионы'!$B$16:$N$104,11,0)</f>
        <v>0</v>
      </c>
      <c r="C9" t="str">
        <f>VLOOKUP($C$4,'РО - регионы'!$B$16:$N$104,13,0)</f>
        <v>Дорожная карта не требуется</v>
      </c>
    </row>
    <row r="11" spans="2:3">
      <c r="B11">
        <f>VLOOKUP($C$4,Спецтехника!$B$16:$I$104,2,0)</f>
        <v>0</v>
      </c>
      <c r="C11" t="str">
        <f>VLOOKUP($C$4,Спецтехника!$B$16:$I$104,8,0)</f>
        <v>Дефицит спецтехники не заявлен</v>
      </c>
    </row>
    <row r="13" spans="2:3">
      <c r="B13">
        <f>VLOOKUP($C$4,МНО!$B$16:$AA$104,2,0)</f>
        <v>2</v>
      </c>
      <c r="C13" t="str">
        <f>_xlfn.TEXTJOIN(,0,"Ситуация с обеспеченностью контейнерными площадками ",IF(B13=0,"хорошая",IF(B13=1,"средняя","плохая")))</f>
        <v>Ситуация с обеспеченностью контейнерными площадками плохая</v>
      </c>
    </row>
    <row r="14" spans="2:3">
      <c r="C14" t="str">
        <f>VLOOKUP($C$4,МНО!$B$16:$AA$104,19,0)</f>
        <v>Места накопления ТКО (МНО): 3807 по ФГИС УТКО / 3521 по ТС</v>
      </c>
    </row>
    <row r="15" spans="2:3">
      <c r="C15" t="str">
        <f>VLOOKUP($C$4,МНО!$B$16:$AA$104,22,0)</f>
        <v>Контейнерные площадки (КП): 3736 по ФГИС УТКО / 10779,0 на 1000 чел.</v>
      </c>
    </row>
    <row r="16" spans="2:3">
      <c r="B16">
        <f>VLOOKUP($C$4,МНО!$B$16:$AA$104,4,0)</f>
        <v>1</v>
      </c>
      <c r="C16" t="str">
        <f>VLOOKUP($C$4,МНО!$B$16:$AA$104,25,0)</f>
        <v>Обеспеченность КП ниже среднего по России на 99%</v>
      </c>
    </row>
    <row r="17" spans="2:3">
      <c r="B17">
        <f>VLOOKUP($C$4,МНО!$B$16:$AA$104,5,0)</f>
        <v>0</v>
      </c>
      <c r="C17" t="str">
        <f>VLOOKUP($C$4,МНО!$B$16:$AA$104,20,0)</f>
        <v>Наполнение ФГИС УТКО более 100%</v>
      </c>
    </row>
    <row r="18" spans="2:3">
      <c r="B18">
        <f>VLOOKUP($C$4,МНО!$B$16:$AA$104,6,0)</f>
        <v>2</v>
      </c>
      <c r="C18" t="str">
        <f>VLOOKUP($C$4,МНО!$B$16:$AA$104,26,0)</f>
        <v>Потребность в КП по данным субъекта 6972 шт. (65% от МНО)</v>
      </c>
    </row>
    <row r="19" spans="2:3" s="6" customFormat="1">
      <c r="C19" s="6" t="str">
        <f>VLOOKUP($C$4,МНО!$B$16:$AA$104,21,0)</f>
        <v>Аномальные данные территориальной схемы</v>
      </c>
    </row>
    <row r="20" spans="2:3">
      <c r="B20">
        <f>VLOOKUP($C$4,Контейнеры!$B$16:$AA$104,2,0)</f>
        <v>2</v>
      </c>
      <c r="C20" t="str">
        <f>_xlfn.TEXTJOIN(,0,"Ситуация с обеспеченностью контейнерами ",IF(B13=0,"хорошая",IF(B13=1,"средняя","плохая")))</f>
        <v>Ситуация с обеспеченностью контейнерами плохая</v>
      </c>
    </row>
    <row r="21" spans="2:3">
      <c r="C21" t="str">
        <f>VLOOKUP($C$4,Контейнеры!$B$16:$AA$104,19,0)</f>
        <v>Контейнеры: 7328 по ФГИС УТКО / 7110 по ТС</v>
      </c>
    </row>
    <row r="22" spans="2:3">
      <c r="B22">
        <f>VLOOKUP($C$4,Контейнеры!$B$16:$AA$104,4,0)</f>
        <v>2</v>
      </c>
      <c r="C22" t="str">
        <f>VLOOKUP($C$4,Контейнеры!$B$16:$AA$104,25,0)</f>
        <v>Обеспеченность контейнерами ниже среднего по России на 100%</v>
      </c>
    </row>
    <row r="23" spans="2:3">
      <c r="B23">
        <f>VLOOKUP($C$4,Контейнеры!$B$16:$AA$104,5,0)</f>
        <v>0</v>
      </c>
      <c r="C23" t="str">
        <f>VLOOKUP($C$4,Контейнеры!$B$16:$AA$104,20,0)</f>
        <v>Наполнение ФГИС УТКО более 100%</v>
      </c>
    </row>
    <row r="24" spans="2:3">
      <c r="B24">
        <f>VLOOKUP($C$4,Контейнеры!$B$16:$AA$104,6,0)</f>
        <v>2</v>
      </c>
      <c r="C24" t="str">
        <f>VLOOKUP($C$4,Контейнеры!$B$16:$AA$104,26,0)</f>
        <v>Потребность в КП не представлена</v>
      </c>
    </row>
    <row r="26" spans="2:3">
      <c r="B26">
        <f>VLOOKUP($C$4,Обработка!$B$16:$K$104,2,0)</f>
        <v>2</v>
      </c>
      <c r="C26" t="str">
        <f>_xlfn.TEXTJOIN(,0,"Ситуация с обработкой ТКО ",IF(B26=0,"хорошая",IF(B26=1,"средняя","плохая")))</f>
        <v>Ситуация с обработкой ТКО плохая</v>
      </c>
    </row>
    <row r="27" spans="2:3">
      <c r="B27">
        <f>VLOOKUP($C$4,Обработка!$B$16:$K$104,4,0)</f>
        <v>2</v>
      </c>
      <c r="C27" t="str">
        <f>VLOOKUP($C$4,Обработка!$B$16:$K$104,8,0)</f>
        <v>Доля обработки ТКО в 1пг 2024 г. 0%</v>
      </c>
    </row>
    <row r="28" spans="2:3">
      <c r="B28">
        <f>VLOOKUP($C$4,Обработка!$B$16:$K$104,5,0)</f>
        <v>1</v>
      </c>
      <c r="C28" t="str">
        <f>VLOOKUP($C$4,Обработка!$B$16:$K$104,9,0)</f>
        <v>План по обработке ТКО в 2028 г. 66%</v>
      </c>
    </row>
    <row r="29" spans="2:3" s="6" customFormat="1">
      <c r="C29" s="6" t="str">
        <f>IF(VLOOKUP($C$4,Обработка!$B$16:$K$104,10,0)&lt;&gt;"",VLOOKUP($C$4,Обработка!$B$16:$K$104,10,0),"")</f>
        <v/>
      </c>
    </row>
    <row r="30" spans="2:3">
      <c r="B30">
        <f>VLOOKUP($C$4,Утилизация!$B$16:$K$104,2,0)</f>
        <v>2</v>
      </c>
      <c r="C30" t="str">
        <f>_xlfn.TEXTJOIN(,0,"Ситуация с утилизацией и обезвреживанием ТКО ",IF(B30=0,"хорошая",IF(B30=1,"средняя","плохая")))</f>
        <v>Ситуация с утилизацией и обезвреживанием ТКО плохая</v>
      </c>
    </row>
    <row r="31" spans="2:3">
      <c r="B31">
        <f>VLOOKUP($C$4,Утилизация!$B$16:$K$104,4,0)</f>
        <v>2</v>
      </c>
      <c r="C31" t="str">
        <f>VLOOKUP($C$4,Утилизация!$B$16:$K$104,8,0)</f>
        <v>Доля утилизации и обезвреживания ТКО в 1пг 2024 г. 0%</v>
      </c>
    </row>
    <row r="32" spans="2:3">
      <c r="B32">
        <f>VLOOKUP($C$4,Утилизация!$B$16:$K$104,5,0)</f>
        <v>1</v>
      </c>
      <c r="C32" t="str">
        <f>VLOOKUP($C$4,Утилизация!$B$16:$K$104,9,0)</f>
        <v>План по утилизации и обезвреживания ТКО в 2028 г. 27%</v>
      </c>
    </row>
    <row r="33" spans="2:3" s="6" customFormat="1">
      <c r="C33" s="6" t="str">
        <f>IF(VLOOKUP($C$4,Утилизация!$B$16:$K$104,10,0)&lt;&gt;"",VLOOKUP($C$4,Утилизация!$B$16:$K$104,10,0),"")</f>
        <v/>
      </c>
    </row>
    <row r="35" spans="2:3">
      <c r="B35">
        <f>VLOOKUP($C$4,Захоронение!$B$16:$P$104,2,0)</f>
        <v>2</v>
      </c>
      <c r="C35" t="str">
        <f>_xlfn.TEXTJOIN(,0,"Ситуация с захоронением ТКО ",IF(B35=0,"хорошая",IF(B35=1,"средняя","плохая")))</f>
        <v>Ситуация с захоронением ТКО плохая</v>
      </c>
    </row>
    <row r="36" spans="2:3">
      <c r="B36">
        <f>VLOOKUP($C$4,Захоронение!$B$16:$P$104,4,0)</f>
        <v>2</v>
      </c>
      <c r="C36" t="str">
        <f>VLOOKUP($C$4,Захоронение!$B$16:$P$104,11,0)</f>
        <v>Имеются нелегальные объекты захоронения ТКО</v>
      </c>
    </row>
    <row r="37" spans="2:3">
      <c r="B37">
        <f>VLOOKUP($C$4,Захоронение!$B$16:$P$104,5,0)</f>
        <v>0</v>
      </c>
      <c r="C37" t="str">
        <f>VLOOKUP($C$4,Захоронение!$B$16:$P$104,12,0)</f>
        <v>Все потоки ТКО указаны в территориальной схеме</v>
      </c>
    </row>
    <row r="38" spans="2:3">
      <c r="B38">
        <f>VLOOKUP($C$4,Захоронение!$B$16:$P$104,6,0)</f>
        <v>0</v>
      </c>
      <c r="C38" t="str">
        <f>VLOOKUP($C$4,Захоронение!$B$16:$P$104,13,0)</f>
        <v>Объектов по 765 приказу нет</v>
      </c>
    </row>
    <row r="39" spans="2:3">
      <c r="B39">
        <f>VLOOKUP($C$4,Захоронение!$B$16:$P$104,7,0)</f>
        <v>1</v>
      </c>
      <c r="C39" t="str">
        <f>VLOOKUP($C$4,Захоронение!$B$16:$P$104,14,0)</f>
        <v>Захоронение осуществляется с превышением мощностей</v>
      </c>
    </row>
    <row r="40" spans="2:3">
      <c r="B40">
        <f>VLOOKUP($C$4,Захоронение!$B$16:$P$104,8,0)</f>
        <v>0</v>
      </c>
      <c r="C40" t="str">
        <f>VLOOKUP($C$4,Захоронение!$B$16:$P$104,15,0)</f>
        <v>Действующих мощностей хватит более, чем на 3 года</v>
      </c>
    </row>
    <row r="42" spans="2:3">
      <c r="B42">
        <f>VLOOKUP($C$4,'ДК ИП'!$B$16:$S$104,2,0)</f>
        <v>1</v>
      </c>
      <c r="C42" t="str">
        <f>VLOOKUP($C$4,'ДК ИП'!$B$16:$S$104,6,0)</f>
        <v>Среднее отставание по дорожной карте</v>
      </c>
    </row>
    <row r="43" spans="2:3">
      <c r="C43" t="str">
        <f>_xlfn.TEXTJOIN(,0,"Среднее отствание по дорожной карте ",VLOOKUP($C$4,'ДК ИП'!$B$16:$S$104,9,0)," мес.")</f>
        <v>Среднее отствание по дорожной карте  мес.</v>
      </c>
    </row>
  </sheetData>
  <conditionalFormatting sqref="B16:B18">
    <cfRule type="colorScale" priority="11">
      <colorScale>
        <cfvo type="num" val="0"/>
        <cfvo type="num" val="1"/>
        <cfvo type="num" val="2"/>
        <color rgb="FF00B050"/>
        <color rgb="FFFFEB84"/>
        <color rgb="FFFF0000"/>
      </colorScale>
    </cfRule>
  </conditionalFormatting>
  <conditionalFormatting sqref="B13:B14">
    <cfRule type="colorScale" priority="10">
      <colorScale>
        <cfvo type="num" val="0"/>
        <cfvo type="num" val="1"/>
        <cfvo type="num" val="2"/>
        <color rgb="FF00B050"/>
        <color rgb="FFFFEB84"/>
        <color rgb="FFFF0000"/>
      </colorScale>
    </cfRule>
  </conditionalFormatting>
  <conditionalFormatting sqref="B20">
    <cfRule type="colorScale" priority="9">
      <colorScale>
        <cfvo type="num" val="0"/>
        <cfvo type="num" val="1"/>
        <cfvo type="num" val="2"/>
        <color rgb="FF00B050"/>
        <color rgb="FFFFEB84"/>
        <color rgb="FFFF0000"/>
      </colorScale>
    </cfRule>
  </conditionalFormatting>
  <conditionalFormatting sqref="B22:B24">
    <cfRule type="colorScale" priority="8">
      <colorScale>
        <cfvo type="num" val="0"/>
        <cfvo type="num" val="1"/>
        <cfvo type="num" val="2"/>
        <color rgb="FF00B050"/>
        <color rgb="FFFFEB84"/>
        <color rgb="FFFF0000"/>
      </colorScale>
    </cfRule>
  </conditionalFormatting>
  <conditionalFormatting sqref="B26:B27">
    <cfRule type="colorScale" priority="7">
      <colorScale>
        <cfvo type="num" val="0"/>
        <cfvo type="num" val="1"/>
        <cfvo type="num" val="2"/>
        <color rgb="FF00B050"/>
        <color rgb="FFFFEB84"/>
        <color rgb="FFFF0000"/>
      </colorScale>
    </cfRule>
  </conditionalFormatting>
  <conditionalFormatting sqref="B28">
    <cfRule type="colorScale" priority="6">
      <colorScale>
        <cfvo type="num" val="0"/>
        <cfvo type="num" val="1"/>
        <cfvo type="num" val="2"/>
        <color rgb="FF00B050"/>
        <color rgb="FFFFEB84"/>
        <color rgb="FFFF0000"/>
      </colorScale>
    </cfRule>
  </conditionalFormatting>
  <conditionalFormatting sqref="B30:B32">
    <cfRule type="colorScale" priority="5">
      <colorScale>
        <cfvo type="num" val="0"/>
        <cfvo type="num" val="1"/>
        <cfvo type="num" val="2"/>
        <color rgb="FF00B050"/>
        <color rgb="FFFFEB84"/>
        <color rgb="FFFF0000"/>
      </colorScale>
    </cfRule>
  </conditionalFormatting>
  <conditionalFormatting sqref="B35:B42">
    <cfRule type="colorScale" priority="4">
      <colorScale>
        <cfvo type="num" val="0"/>
        <cfvo type="num" val="1"/>
        <cfvo type="num" val="2"/>
        <color rgb="FF00B050"/>
        <color rgb="FFFFEB84"/>
        <color rgb="FFFF0000"/>
      </colorScale>
    </cfRule>
  </conditionalFormatting>
  <conditionalFormatting sqref="B6">
    <cfRule type="colorScale" priority="3">
      <colorScale>
        <cfvo type="num" val="0"/>
        <cfvo type="num" val="1"/>
        <cfvo type="num" val="2"/>
        <color rgb="FF00B050"/>
        <color rgb="FFFFEB84"/>
        <color rgb="FFFF0000"/>
      </colorScale>
    </cfRule>
  </conditionalFormatting>
  <conditionalFormatting sqref="B8:B9">
    <cfRule type="colorScale" priority="2">
      <colorScale>
        <cfvo type="num" val="0"/>
        <cfvo type="num" val="1"/>
        <cfvo type="num" val="2"/>
        <color rgb="FF00B050"/>
        <color rgb="FFFFEB84"/>
        <color rgb="FFFF0000"/>
      </colorScale>
    </cfRule>
  </conditionalFormatting>
  <conditionalFormatting sqref="B11">
    <cfRule type="colorScale" priority="1">
      <colorScale>
        <cfvo type="num" val="0"/>
        <cfvo type="num" val="1"/>
        <cfvo type="num" val="2"/>
        <color rgb="FF00B05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Свод!$C$11:$C$99</xm:f>
          </x14:formula1>
          <xm:sqref>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AB109"/>
  <sheetViews>
    <sheetView workbookViewId="0">
      <pane xSplit="2" ySplit="15" topLeftCell="C49" activePane="bottomRight" state="frozen"/>
      <selection pane="topRight"/>
      <selection pane="bottomLeft"/>
      <selection pane="bottomRight" activeCell="E34" sqref="E34"/>
    </sheetView>
  </sheetViews>
  <sheetFormatPr defaultColWidth="10.8984375" defaultRowHeight="15"/>
  <cols>
    <col min="1" max="1" width="10.8984375" style="9"/>
    <col min="2" max="2" width="30.59765625" style="9" customWidth="1"/>
    <col min="3" max="4" width="13.5" style="13" customWidth="1"/>
    <col min="5" max="5" width="14.3984375" style="38" customWidth="1"/>
    <col min="6" max="6" width="38.59765625" style="13" customWidth="1"/>
    <col min="7" max="7" width="13.5" style="13" customWidth="1"/>
    <col min="8" max="13" width="13.5" style="8" customWidth="1"/>
    <col min="14" max="19" width="13.5" style="14" customWidth="1"/>
    <col min="20" max="20" width="58.5" style="14" customWidth="1"/>
    <col min="21" max="21" width="32" style="9" customWidth="1"/>
    <col min="22" max="22" width="42.8984375" style="9" customWidth="1"/>
    <col min="23" max="23" width="61.59765625" style="9" customWidth="1"/>
    <col min="24" max="24" width="12.09765625" style="9" customWidth="1"/>
    <col min="25" max="25" width="12" style="9" customWidth="1"/>
    <col min="26" max="26" width="48.5" style="9" customWidth="1"/>
    <col min="27" max="27" width="56.3984375" style="9" customWidth="1"/>
    <col min="28" max="16384" width="10.8984375" style="9"/>
  </cols>
  <sheetData>
    <row r="2" spans="2:28" ht="15.6">
      <c r="B2" s="7" t="s">
        <v>553</v>
      </c>
    </row>
    <row r="4" spans="2:28" s="7" customFormat="1" ht="15.6">
      <c r="B4" s="7" t="s">
        <v>574</v>
      </c>
      <c r="C4" s="50" t="s">
        <v>573</v>
      </c>
      <c r="D4" s="50"/>
      <c r="E4" s="51"/>
      <c r="F4" s="51"/>
      <c r="G4" s="50"/>
      <c r="H4" s="50"/>
      <c r="I4" s="52"/>
      <c r="J4" s="52"/>
      <c r="K4" s="52"/>
      <c r="L4" s="52"/>
      <c r="M4" s="52"/>
      <c r="N4" s="52"/>
      <c r="O4" s="53"/>
      <c r="P4" s="53"/>
      <c r="Q4" s="53"/>
      <c r="R4" s="53"/>
      <c r="S4" s="53"/>
      <c r="T4" s="53"/>
      <c r="U4" s="53"/>
    </row>
    <row r="5" spans="2:28">
      <c r="B5" s="9" t="s">
        <v>591</v>
      </c>
      <c r="C5" s="59">
        <v>45566</v>
      </c>
      <c r="F5" s="38"/>
      <c r="H5" s="13"/>
      <c r="N5" s="8"/>
      <c r="U5" s="14"/>
    </row>
    <row r="7" spans="2:28">
      <c r="B7" s="9" t="s">
        <v>92</v>
      </c>
      <c r="R7" s="15"/>
      <c r="S7" s="15"/>
    </row>
    <row r="8" spans="2:28">
      <c r="B8" s="9" t="s">
        <v>93</v>
      </c>
      <c r="D8" s="14">
        <v>1.5</v>
      </c>
      <c r="K8" s="9"/>
      <c r="O8" s="16"/>
      <c r="Q8" s="9"/>
      <c r="R8" s="15"/>
    </row>
    <row r="9" spans="2:28">
      <c r="B9" s="9" t="s">
        <v>94</v>
      </c>
      <c r="D9" s="14">
        <v>0.5</v>
      </c>
      <c r="S9" s="15"/>
    </row>
    <row r="10" spans="2:28">
      <c r="B10" s="9" t="s">
        <v>95</v>
      </c>
      <c r="K10" s="17"/>
      <c r="R10" s="15"/>
    </row>
    <row r="11" spans="2:28">
      <c r="B11" s="9" t="s">
        <v>96</v>
      </c>
      <c r="C11" s="15"/>
      <c r="E11" s="39"/>
      <c r="F11" s="15"/>
      <c r="G11" s="15"/>
    </row>
    <row r="12" spans="2:28">
      <c r="C12" s="15"/>
      <c r="E12" s="39"/>
      <c r="F12" s="15"/>
      <c r="G12" s="15"/>
      <c r="K12" s="9"/>
      <c r="O12" s="9"/>
      <c r="Q12" s="9"/>
    </row>
    <row r="14" spans="2:28" s="11" customFormat="1" ht="30">
      <c r="B14" s="11" t="s">
        <v>0</v>
      </c>
      <c r="C14" s="18" t="s">
        <v>118</v>
      </c>
      <c r="D14" s="18" t="s">
        <v>117</v>
      </c>
      <c r="E14" s="40" t="s">
        <v>554</v>
      </c>
      <c r="F14" s="18" t="s">
        <v>550</v>
      </c>
      <c r="G14" s="18" t="str">
        <f>$E$106</f>
        <v>губернатор</v>
      </c>
      <c r="H14" s="18" t="str">
        <f>$E$107</f>
        <v>не губернатор</v>
      </c>
      <c r="I14" s="18" t="str">
        <f>$E$108</f>
        <v>выборы</v>
      </c>
      <c r="J14" s="18" t="str">
        <f>$E$109</f>
        <v>не создан</v>
      </c>
      <c r="K14" s="10"/>
      <c r="L14" s="10"/>
      <c r="M14" s="10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</row>
    <row r="15" spans="2:28" s="11" customFormat="1">
      <c r="B15" s="11" t="s">
        <v>105</v>
      </c>
      <c r="C15" s="20"/>
      <c r="D15" s="20"/>
      <c r="E15" s="41" t="str">
        <f>_xlfn.TEXTJOIN(,0,COUNTIF(E16:E104,$E$106),"/",COUNTIF(E16:E104,$E$107),"/",COUNTIF(E16:E104,$E$108),"/",COUNTIF(E16:E104,$E$109))</f>
        <v>36/14/15/24</v>
      </c>
      <c r="F15" s="20"/>
      <c r="G15" s="20">
        <f>COUNTIF(G$16:G$104,"✔️")</f>
        <v>36</v>
      </c>
      <c r="H15" s="20">
        <f t="shared" ref="H15:J15" si="0">COUNTIF(H$16:H$104,"✔️")</f>
        <v>14</v>
      </c>
      <c r="I15" s="20">
        <f t="shared" si="0"/>
        <v>15</v>
      </c>
      <c r="J15" s="20">
        <f t="shared" si="0"/>
        <v>24</v>
      </c>
      <c r="K15" s="21"/>
      <c r="L15" s="21"/>
      <c r="M15" s="21"/>
      <c r="N15" s="22"/>
      <c r="O15" s="22"/>
      <c r="P15" s="22"/>
      <c r="Q15" s="22"/>
      <c r="R15" s="23"/>
      <c r="S15" s="23"/>
      <c r="T15" s="23"/>
      <c r="AB15" s="9"/>
    </row>
    <row r="16" spans="2:28" ht="15.6">
      <c r="B16" s="12" t="s">
        <v>1</v>
      </c>
      <c r="C16" s="20">
        <f>IF(OR(G16=2,D16&gt;$D$8),2,IF(OR(G16=1,D16&gt;$D$9),1,0))</f>
        <v>0</v>
      </c>
      <c r="D16" s="20">
        <f>IF(E16=$E$106,0,IF(OR(E16=$E$107,E16=$E$108),1,2))</f>
        <v>0</v>
      </c>
      <c r="E16" s="73" t="s">
        <v>555</v>
      </c>
      <c r="F16" s="20" t="str">
        <f>IF(E16=$E$106,"Штаб возглавляет губернатор",IF(E16=$E$107,"Штаб возглавляет не губернатор",IF(E16=$E$108,"Штаб не создан в связи с выборами","Штаб не создан")))</f>
        <v>Штаб возглавляет губернатор</v>
      </c>
      <c r="G16" s="20" t="str">
        <f>IF($E16=G$14,"✔️","")</f>
        <v>✔️</v>
      </c>
      <c r="H16" s="20" t="str">
        <f t="shared" ref="H16:J31" si="1">IF($E16=H$14,"✔️","")</f>
        <v/>
      </c>
      <c r="I16" s="20" t="str">
        <f t="shared" si="1"/>
        <v/>
      </c>
      <c r="J16" s="20" t="str">
        <f t="shared" si="1"/>
        <v/>
      </c>
      <c r="K16" s="21"/>
      <c r="L16" s="21"/>
      <c r="M16" s="21"/>
      <c r="N16" s="22"/>
      <c r="O16" s="22"/>
      <c r="P16" s="22"/>
      <c r="Q16" s="22"/>
      <c r="R16" s="23"/>
      <c r="S16" s="23"/>
      <c r="T16" s="9"/>
      <c r="V16" s="25"/>
    </row>
    <row r="17" spans="2:22" ht="15.6">
      <c r="B17" s="12" t="s">
        <v>9</v>
      </c>
      <c r="C17" s="20">
        <f t="shared" ref="C17:C83" si="2">IF(OR(G17=2,D17&gt;$D$8),2,IF(OR(G17=1,D17&gt;$D$9),1,0))</f>
        <v>0</v>
      </c>
      <c r="D17" s="20">
        <f t="shared" ref="D17:D80" si="3">IF(E17=$E$106,0,IF(OR(E17=$E$107,E17=$E$108),1,2))</f>
        <v>0</v>
      </c>
      <c r="E17" s="73" t="s">
        <v>555</v>
      </c>
      <c r="F17" s="20" t="str">
        <f t="shared" ref="F17:F80" si="4">IF(E17=$E$106,"Штаб возглавляет губернатор",IF(E17=$E$107,"Штаб возглавляет не губернатор",IF(E17=$E$108,"Штаб не создан в связи с выборами","Штаб не создан")))</f>
        <v>Штаб возглавляет губернатор</v>
      </c>
      <c r="G17" s="20" t="str">
        <f t="shared" ref="G17:J48" si="5">IF($E17=G$14,"✔️","")</f>
        <v>✔️</v>
      </c>
      <c r="H17" s="20" t="str">
        <f t="shared" si="1"/>
        <v/>
      </c>
      <c r="I17" s="20" t="str">
        <f t="shared" si="1"/>
        <v/>
      </c>
      <c r="J17" s="20" t="str">
        <f t="shared" si="1"/>
        <v/>
      </c>
      <c r="K17" s="21"/>
      <c r="L17" s="21"/>
      <c r="M17" s="21"/>
      <c r="N17" s="22"/>
      <c r="O17" s="22"/>
      <c r="P17" s="22"/>
      <c r="Q17" s="22"/>
      <c r="R17" s="23"/>
      <c r="S17" s="23"/>
      <c r="T17" s="9"/>
      <c r="V17" s="25"/>
    </row>
    <row r="18" spans="2:22" ht="15.6">
      <c r="B18" s="12" t="s">
        <v>10</v>
      </c>
      <c r="C18" s="20">
        <f t="shared" si="2"/>
        <v>0</v>
      </c>
      <c r="D18" s="20">
        <f t="shared" si="3"/>
        <v>0</v>
      </c>
      <c r="E18" s="73" t="s">
        <v>555</v>
      </c>
      <c r="F18" s="20" t="str">
        <f t="shared" si="4"/>
        <v>Штаб возглавляет губернатор</v>
      </c>
      <c r="G18" s="20" t="str">
        <f t="shared" si="5"/>
        <v>✔️</v>
      </c>
      <c r="H18" s="20" t="str">
        <f t="shared" si="1"/>
        <v/>
      </c>
      <c r="I18" s="20" t="str">
        <f t="shared" si="1"/>
        <v/>
      </c>
      <c r="J18" s="20" t="str">
        <f t="shared" si="1"/>
        <v/>
      </c>
      <c r="K18" s="21"/>
      <c r="L18" s="21"/>
      <c r="M18" s="21"/>
      <c r="N18" s="22"/>
      <c r="O18" s="22"/>
      <c r="P18" s="22"/>
      <c r="Q18" s="22"/>
      <c r="R18" s="23"/>
      <c r="S18" s="23"/>
      <c r="T18" s="9"/>
      <c r="V18" s="25"/>
    </row>
    <row r="19" spans="2:22" ht="15.6">
      <c r="B19" s="12" t="s">
        <v>2</v>
      </c>
      <c r="C19" s="20">
        <f t="shared" si="2"/>
        <v>1</v>
      </c>
      <c r="D19" s="20">
        <f t="shared" si="3"/>
        <v>1</v>
      </c>
      <c r="E19" s="73" t="s">
        <v>589</v>
      </c>
      <c r="F19" s="20" t="str">
        <f t="shared" si="4"/>
        <v>Штаб не создан в связи с выборами</v>
      </c>
      <c r="G19" s="20" t="str">
        <f t="shared" si="5"/>
        <v/>
      </c>
      <c r="H19" s="20" t="str">
        <f t="shared" si="1"/>
        <v/>
      </c>
      <c r="I19" s="20" t="str">
        <f t="shared" si="1"/>
        <v>✔️</v>
      </c>
      <c r="J19" s="20" t="str">
        <f t="shared" si="1"/>
        <v/>
      </c>
      <c r="K19" s="21"/>
      <c r="L19" s="21"/>
      <c r="M19" s="21"/>
      <c r="N19" s="22"/>
      <c r="O19" s="22"/>
      <c r="P19" s="22"/>
      <c r="Q19" s="22"/>
      <c r="R19" s="23"/>
      <c r="S19" s="23"/>
      <c r="T19" s="9"/>
      <c r="V19" s="25"/>
    </row>
    <row r="20" spans="2:22" ht="15.6">
      <c r="B20" s="12" t="s">
        <v>11</v>
      </c>
      <c r="C20" s="20">
        <f t="shared" si="2"/>
        <v>2</v>
      </c>
      <c r="D20" s="20">
        <f t="shared" si="3"/>
        <v>2</v>
      </c>
      <c r="E20" s="73" t="s">
        <v>556</v>
      </c>
      <c r="F20" s="20" t="str">
        <f t="shared" si="4"/>
        <v>Штаб не создан</v>
      </c>
      <c r="G20" s="20" t="str">
        <f t="shared" si="5"/>
        <v/>
      </c>
      <c r="H20" s="20" t="str">
        <f t="shared" si="1"/>
        <v/>
      </c>
      <c r="I20" s="20" t="str">
        <f t="shared" si="1"/>
        <v/>
      </c>
      <c r="J20" s="20" t="str">
        <f t="shared" si="1"/>
        <v>✔️</v>
      </c>
      <c r="K20" s="21"/>
      <c r="L20" s="21"/>
      <c r="M20" s="21"/>
      <c r="N20" s="22"/>
      <c r="O20" s="22"/>
      <c r="P20" s="22"/>
      <c r="Q20" s="22"/>
      <c r="R20" s="23"/>
      <c r="S20" s="23"/>
      <c r="T20" s="9"/>
      <c r="V20" s="25"/>
    </row>
    <row r="21" spans="2:22" ht="15.6">
      <c r="B21" s="12" t="s">
        <v>12</v>
      </c>
      <c r="C21" s="20">
        <f t="shared" si="2"/>
        <v>0</v>
      </c>
      <c r="D21" s="20">
        <f t="shared" si="3"/>
        <v>0</v>
      </c>
      <c r="E21" s="73" t="s">
        <v>555</v>
      </c>
      <c r="F21" s="20" t="str">
        <f t="shared" si="4"/>
        <v>Штаб возглавляет губернатор</v>
      </c>
      <c r="G21" s="20" t="str">
        <f t="shared" si="5"/>
        <v>✔️</v>
      </c>
      <c r="H21" s="20" t="str">
        <f t="shared" si="1"/>
        <v/>
      </c>
      <c r="I21" s="20" t="str">
        <f t="shared" si="1"/>
        <v/>
      </c>
      <c r="J21" s="20" t="str">
        <f t="shared" si="1"/>
        <v/>
      </c>
      <c r="K21" s="21"/>
      <c r="L21" s="21"/>
      <c r="M21" s="21"/>
      <c r="N21" s="22"/>
      <c r="O21" s="22"/>
      <c r="P21" s="22"/>
      <c r="Q21" s="22"/>
      <c r="R21" s="23"/>
      <c r="S21" s="23"/>
      <c r="T21" s="9"/>
      <c r="V21" s="25"/>
    </row>
    <row r="22" spans="2:22" ht="15.6">
      <c r="B22" s="12" t="s">
        <v>13</v>
      </c>
      <c r="C22" s="20">
        <f t="shared" si="2"/>
        <v>0</v>
      </c>
      <c r="D22" s="20">
        <f t="shared" si="3"/>
        <v>0</v>
      </c>
      <c r="E22" s="73" t="s">
        <v>555</v>
      </c>
      <c r="F22" s="20" t="str">
        <f t="shared" si="4"/>
        <v>Штаб возглавляет губернатор</v>
      </c>
      <c r="G22" s="20" t="str">
        <f t="shared" si="5"/>
        <v>✔️</v>
      </c>
      <c r="H22" s="20" t="str">
        <f t="shared" si="1"/>
        <v/>
      </c>
      <c r="I22" s="20" t="str">
        <f t="shared" si="1"/>
        <v/>
      </c>
      <c r="J22" s="20" t="str">
        <f t="shared" si="1"/>
        <v/>
      </c>
      <c r="K22" s="21"/>
      <c r="L22" s="21"/>
      <c r="M22" s="21"/>
      <c r="N22" s="22"/>
      <c r="O22" s="22"/>
      <c r="P22" s="22"/>
      <c r="Q22" s="22"/>
      <c r="R22" s="23"/>
      <c r="S22" s="23"/>
      <c r="T22" s="9"/>
      <c r="V22" s="25"/>
    </row>
    <row r="23" spans="2:22" ht="15.6">
      <c r="B23" s="12" t="s">
        <v>14</v>
      </c>
      <c r="C23" s="20">
        <f t="shared" si="2"/>
        <v>1</v>
      </c>
      <c r="D23" s="20">
        <f t="shared" si="3"/>
        <v>1</v>
      </c>
      <c r="E23" s="73" t="s">
        <v>589</v>
      </c>
      <c r="F23" s="20" t="str">
        <f t="shared" si="4"/>
        <v>Штаб не создан в связи с выборами</v>
      </c>
      <c r="G23" s="20" t="str">
        <f t="shared" si="5"/>
        <v/>
      </c>
      <c r="H23" s="20" t="str">
        <f t="shared" si="1"/>
        <v/>
      </c>
      <c r="I23" s="20" t="str">
        <f t="shared" si="1"/>
        <v>✔️</v>
      </c>
      <c r="J23" s="20" t="str">
        <f t="shared" si="1"/>
        <v/>
      </c>
      <c r="K23" s="21"/>
      <c r="L23" s="21"/>
      <c r="M23" s="21"/>
      <c r="N23" s="22"/>
      <c r="O23" s="22"/>
      <c r="P23" s="22"/>
      <c r="Q23" s="22"/>
      <c r="R23" s="23"/>
      <c r="S23" s="23"/>
      <c r="T23" s="9"/>
      <c r="V23" s="25"/>
    </row>
    <row r="24" spans="2:22" ht="15.6">
      <c r="B24" s="12" t="s">
        <v>15</v>
      </c>
      <c r="C24" s="20">
        <f t="shared" si="2"/>
        <v>1</v>
      </c>
      <c r="D24" s="20">
        <f t="shared" si="3"/>
        <v>1</v>
      </c>
      <c r="E24" s="73" t="s">
        <v>589</v>
      </c>
      <c r="F24" s="20" t="str">
        <f t="shared" si="4"/>
        <v>Штаб не создан в связи с выборами</v>
      </c>
      <c r="G24" s="20" t="str">
        <f t="shared" si="5"/>
        <v/>
      </c>
      <c r="H24" s="20" t="str">
        <f t="shared" si="1"/>
        <v/>
      </c>
      <c r="I24" s="20" t="str">
        <f t="shared" si="1"/>
        <v>✔️</v>
      </c>
      <c r="J24" s="20" t="str">
        <f t="shared" si="1"/>
        <v/>
      </c>
      <c r="K24" s="21"/>
      <c r="L24" s="21"/>
      <c r="M24" s="21"/>
      <c r="N24" s="22"/>
      <c r="O24" s="22"/>
      <c r="P24" s="22"/>
      <c r="Q24" s="22"/>
      <c r="R24" s="23"/>
      <c r="S24" s="23"/>
      <c r="T24" s="9"/>
      <c r="V24" s="25"/>
    </row>
    <row r="25" spans="2:22" ht="15.6">
      <c r="B25" s="12" t="s">
        <v>16</v>
      </c>
      <c r="C25" s="20">
        <f t="shared" si="2"/>
        <v>0</v>
      </c>
      <c r="D25" s="20">
        <f t="shared" si="3"/>
        <v>0</v>
      </c>
      <c r="E25" s="73" t="s">
        <v>555</v>
      </c>
      <c r="F25" s="20" t="str">
        <f t="shared" si="4"/>
        <v>Штаб возглавляет губернатор</v>
      </c>
      <c r="G25" s="20" t="str">
        <f t="shared" si="5"/>
        <v>✔️</v>
      </c>
      <c r="H25" s="20" t="str">
        <f t="shared" si="1"/>
        <v/>
      </c>
      <c r="I25" s="20" t="str">
        <f t="shared" si="1"/>
        <v/>
      </c>
      <c r="J25" s="20" t="str">
        <f t="shared" si="1"/>
        <v/>
      </c>
      <c r="K25" s="21"/>
      <c r="L25" s="21"/>
      <c r="M25" s="21"/>
      <c r="N25" s="22"/>
      <c r="O25" s="22"/>
      <c r="P25" s="22"/>
      <c r="Q25" s="22"/>
      <c r="R25" s="23"/>
      <c r="S25" s="23"/>
      <c r="T25" s="9"/>
      <c r="V25" s="25"/>
    </row>
    <row r="26" spans="2:22" ht="15.6">
      <c r="B26" s="12" t="s">
        <v>17</v>
      </c>
      <c r="C26" s="20">
        <f t="shared" si="2"/>
        <v>2</v>
      </c>
      <c r="D26" s="20">
        <f t="shared" si="3"/>
        <v>2</v>
      </c>
      <c r="E26" s="73" t="s">
        <v>556</v>
      </c>
      <c r="F26" s="20" t="str">
        <f t="shared" si="4"/>
        <v>Штаб не создан</v>
      </c>
      <c r="G26" s="20" t="str">
        <f t="shared" si="5"/>
        <v/>
      </c>
      <c r="H26" s="20" t="str">
        <f t="shared" si="1"/>
        <v/>
      </c>
      <c r="I26" s="20" t="str">
        <f t="shared" si="1"/>
        <v/>
      </c>
      <c r="J26" s="20" t="str">
        <f t="shared" si="1"/>
        <v>✔️</v>
      </c>
      <c r="K26" s="21"/>
      <c r="L26" s="21"/>
      <c r="M26" s="21"/>
      <c r="N26" s="22"/>
      <c r="O26" s="22"/>
      <c r="P26" s="22"/>
      <c r="Q26" s="22"/>
      <c r="R26" s="23"/>
      <c r="S26" s="23"/>
      <c r="T26" s="9"/>
      <c r="V26" s="25"/>
    </row>
    <row r="27" spans="2:22" ht="15.6">
      <c r="B27" s="12" t="s">
        <v>18</v>
      </c>
      <c r="C27" s="20">
        <f t="shared" si="2"/>
        <v>1</v>
      </c>
      <c r="D27" s="20">
        <f t="shared" si="3"/>
        <v>1</v>
      </c>
      <c r="E27" s="73" t="s">
        <v>590</v>
      </c>
      <c r="F27" s="20" t="str">
        <f t="shared" si="4"/>
        <v>Штаб возглавляет не губернатор</v>
      </c>
      <c r="G27" s="20" t="str">
        <f t="shared" si="5"/>
        <v/>
      </c>
      <c r="H27" s="20" t="str">
        <f t="shared" si="1"/>
        <v>✔️</v>
      </c>
      <c r="I27" s="20" t="str">
        <f t="shared" si="1"/>
        <v/>
      </c>
      <c r="J27" s="20" t="str">
        <f t="shared" si="1"/>
        <v/>
      </c>
      <c r="K27" s="21"/>
      <c r="L27" s="21"/>
      <c r="M27" s="21"/>
      <c r="N27" s="22"/>
      <c r="O27" s="22"/>
      <c r="P27" s="22"/>
      <c r="Q27" s="22"/>
      <c r="R27" s="23"/>
      <c r="S27" s="23"/>
      <c r="T27" s="9"/>
      <c r="V27" s="25"/>
    </row>
    <row r="28" spans="2:22" ht="15.6">
      <c r="B28" s="12" t="s">
        <v>19</v>
      </c>
      <c r="C28" s="20">
        <f t="shared" si="2"/>
        <v>2</v>
      </c>
      <c r="D28" s="20">
        <f t="shared" si="3"/>
        <v>2</v>
      </c>
      <c r="E28" s="73" t="s">
        <v>556</v>
      </c>
      <c r="F28" s="20" t="str">
        <f t="shared" si="4"/>
        <v>Штаб не создан</v>
      </c>
      <c r="G28" s="20" t="str">
        <f t="shared" si="5"/>
        <v/>
      </c>
      <c r="H28" s="20" t="str">
        <f t="shared" si="1"/>
        <v/>
      </c>
      <c r="I28" s="20" t="str">
        <f t="shared" si="1"/>
        <v/>
      </c>
      <c r="J28" s="20" t="str">
        <f t="shared" si="1"/>
        <v>✔️</v>
      </c>
      <c r="K28" s="21"/>
      <c r="L28" s="21"/>
      <c r="M28" s="21"/>
      <c r="N28" s="22"/>
      <c r="O28" s="22"/>
      <c r="P28" s="22"/>
      <c r="Q28" s="22"/>
      <c r="R28" s="23"/>
      <c r="S28" s="23"/>
      <c r="T28" s="9"/>
      <c r="V28" s="25"/>
    </row>
    <row r="29" spans="2:22" ht="15.6">
      <c r="B29" s="12" t="s">
        <v>580</v>
      </c>
      <c r="C29" s="20">
        <f t="shared" ref="C29" si="6">IF(OR(G29=2,D29&gt;$D$8),2,IF(OR(G29=1,D29&gt;$D$9),1,0))</f>
        <v>2</v>
      </c>
      <c r="D29" s="20">
        <f t="shared" si="3"/>
        <v>2</v>
      </c>
      <c r="E29" s="73" t="s">
        <v>556</v>
      </c>
      <c r="F29" s="20" t="str">
        <f t="shared" si="4"/>
        <v>Штаб не создан</v>
      </c>
      <c r="G29" s="20" t="str">
        <f t="shared" si="5"/>
        <v/>
      </c>
      <c r="H29" s="20" t="str">
        <f t="shared" si="1"/>
        <v/>
      </c>
      <c r="I29" s="20" t="str">
        <f t="shared" si="1"/>
        <v/>
      </c>
      <c r="J29" s="20" t="str">
        <f t="shared" si="1"/>
        <v>✔️</v>
      </c>
      <c r="K29" s="21"/>
      <c r="L29" s="21"/>
      <c r="M29" s="21"/>
      <c r="N29" s="22"/>
      <c r="O29" s="22"/>
      <c r="P29" s="22"/>
      <c r="Q29" s="22"/>
      <c r="R29" s="23"/>
      <c r="S29" s="23"/>
      <c r="T29" s="9"/>
      <c r="V29" s="25"/>
    </row>
    <row r="30" spans="2:22" ht="15.6">
      <c r="B30" s="12" t="s">
        <v>20</v>
      </c>
      <c r="C30" s="20">
        <f t="shared" si="2"/>
        <v>0</v>
      </c>
      <c r="D30" s="20">
        <f t="shared" si="3"/>
        <v>0</v>
      </c>
      <c r="E30" s="73" t="s">
        <v>555</v>
      </c>
      <c r="F30" s="20" t="str">
        <f t="shared" si="4"/>
        <v>Штаб возглавляет губернатор</v>
      </c>
      <c r="G30" s="20" t="str">
        <f t="shared" si="5"/>
        <v>✔️</v>
      </c>
      <c r="H30" s="20" t="str">
        <f t="shared" si="1"/>
        <v/>
      </c>
      <c r="I30" s="20" t="str">
        <f t="shared" si="1"/>
        <v/>
      </c>
      <c r="J30" s="20" t="str">
        <f t="shared" si="1"/>
        <v/>
      </c>
      <c r="K30" s="21"/>
      <c r="L30" s="21"/>
      <c r="M30" s="21"/>
      <c r="N30" s="22"/>
      <c r="O30" s="22"/>
      <c r="P30" s="22"/>
      <c r="Q30" s="22"/>
      <c r="R30" s="23"/>
      <c r="S30" s="23"/>
      <c r="T30" s="9"/>
      <c r="V30" s="25"/>
    </row>
    <row r="31" spans="2:22" ht="15.6">
      <c r="B31" s="12" t="s">
        <v>21</v>
      </c>
      <c r="C31" s="20">
        <f t="shared" si="2"/>
        <v>0</v>
      </c>
      <c r="D31" s="20">
        <f t="shared" si="3"/>
        <v>0</v>
      </c>
      <c r="E31" s="73" t="s">
        <v>555</v>
      </c>
      <c r="F31" s="20" t="str">
        <f t="shared" si="4"/>
        <v>Штаб возглавляет губернатор</v>
      </c>
      <c r="G31" s="20" t="str">
        <f t="shared" si="5"/>
        <v>✔️</v>
      </c>
      <c r="H31" s="20" t="str">
        <f t="shared" si="1"/>
        <v/>
      </c>
      <c r="I31" s="20" t="str">
        <f t="shared" si="1"/>
        <v/>
      </c>
      <c r="J31" s="20" t="str">
        <f t="shared" si="1"/>
        <v/>
      </c>
      <c r="K31" s="21"/>
      <c r="L31" s="21"/>
      <c r="M31" s="21"/>
      <c r="N31" s="22"/>
      <c r="O31" s="22"/>
      <c r="P31" s="22"/>
      <c r="Q31" s="22"/>
      <c r="R31" s="23"/>
      <c r="S31" s="23"/>
      <c r="T31" s="9"/>
      <c r="V31" s="25"/>
    </row>
    <row r="32" spans="2:22" ht="15.6">
      <c r="B32" s="12" t="s">
        <v>163</v>
      </c>
      <c r="C32" s="20">
        <f t="shared" ref="C32" si="7">IF(OR(G32=2,D32&gt;$D$8),2,IF(OR(G32=1,D32&gt;$D$9),1,0))</f>
        <v>2</v>
      </c>
      <c r="D32" s="20">
        <f t="shared" si="3"/>
        <v>2</v>
      </c>
      <c r="E32" s="73" t="s">
        <v>556</v>
      </c>
      <c r="F32" s="20" t="str">
        <f t="shared" si="4"/>
        <v>Штаб не создан</v>
      </c>
      <c r="G32" s="20" t="str">
        <f t="shared" si="5"/>
        <v/>
      </c>
      <c r="H32" s="20" t="str">
        <f t="shared" si="5"/>
        <v/>
      </c>
      <c r="I32" s="20" t="str">
        <f t="shared" si="5"/>
        <v/>
      </c>
      <c r="J32" s="20" t="str">
        <f t="shared" si="5"/>
        <v>✔️</v>
      </c>
      <c r="K32" s="21"/>
      <c r="L32" s="21"/>
      <c r="M32" s="21"/>
      <c r="N32" s="22"/>
      <c r="O32" s="22"/>
      <c r="P32" s="22"/>
      <c r="Q32" s="22"/>
      <c r="R32" s="23"/>
      <c r="S32" s="23"/>
      <c r="T32" s="9"/>
      <c r="V32" s="25"/>
    </row>
    <row r="33" spans="2:22" ht="15.6">
      <c r="B33" s="12" t="s">
        <v>22</v>
      </c>
      <c r="C33" s="20">
        <f t="shared" si="2"/>
        <v>0</v>
      </c>
      <c r="D33" s="20">
        <f t="shared" si="3"/>
        <v>0</v>
      </c>
      <c r="E33" s="73" t="s">
        <v>555</v>
      </c>
      <c r="F33" s="20" t="str">
        <f t="shared" si="4"/>
        <v>Штаб возглавляет губернатор</v>
      </c>
      <c r="G33" s="20" t="str">
        <f t="shared" si="5"/>
        <v>✔️</v>
      </c>
      <c r="H33" s="20" t="str">
        <f t="shared" si="5"/>
        <v/>
      </c>
      <c r="I33" s="20" t="str">
        <f t="shared" si="5"/>
        <v/>
      </c>
      <c r="J33" s="20" t="str">
        <f t="shared" si="5"/>
        <v/>
      </c>
      <c r="K33" s="21"/>
      <c r="L33" s="21"/>
      <c r="M33" s="21"/>
      <c r="N33" s="22"/>
      <c r="O33" s="22"/>
      <c r="P33" s="22"/>
      <c r="Q33" s="22"/>
      <c r="R33" s="23"/>
      <c r="S33" s="23"/>
      <c r="T33" s="9"/>
      <c r="V33" s="25"/>
    </row>
    <row r="34" spans="2:22" ht="15.6">
      <c r="B34" s="12" t="s">
        <v>23</v>
      </c>
      <c r="C34" s="20">
        <f t="shared" si="2"/>
        <v>0</v>
      </c>
      <c r="D34" s="20">
        <f t="shared" si="3"/>
        <v>0</v>
      </c>
      <c r="E34" s="73" t="s">
        <v>555</v>
      </c>
      <c r="F34" s="20" t="str">
        <f t="shared" si="4"/>
        <v>Штаб возглавляет губернатор</v>
      </c>
      <c r="G34" s="20" t="str">
        <f t="shared" si="5"/>
        <v>✔️</v>
      </c>
      <c r="H34" s="20" t="str">
        <f t="shared" si="5"/>
        <v/>
      </c>
      <c r="I34" s="20" t="str">
        <f t="shared" si="5"/>
        <v/>
      </c>
      <c r="J34" s="20" t="str">
        <f t="shared" si="5"/>
        <v/>
      </c>
      <c r="K34" s="21"/>
      <c r="L34" s="21"/>
      <c r="M34" s="21"/>
      <c r="N34" s="22"/>
      <c r="O34" s="22"/>
      <c r="P34" s="22"/>
      <c r="Q34" s="22"/>
      <c r="R34" s="23"/>
      <c r="S34" s="23"/>
      <c r="T34" s="9"/>
      <c r="V34" s="25"/>
    </row>
    <row r="35" spans="2:22" ht="15.6">
      <c r="B35" s="12" t="s">
        <v>24</v>
      </c>
      <c r="C35" s="20">
        <f t="shared" si="2"/>
        <v>1</v>
      </c>
      <c r="D35" s="20">
        <f t="shared" si="3"/>
        <v>1</v>
      </c>
      <c r="E35" s="73" t="s">
        <v>589</v>
      </c>
      <c r="F35" s="20" t="str">
        <f t="shared" si="4"/>
        <v>Штаб не создан в связи с выборами</v>
      </c>
      <c r="G35" s="20" t="str">
        <f t="shared" si="5"/>
        <v/>
      </c>
      <c r="H35" s="20" t="str">
        <f t="shared" si="5"/>
        <v/>
      </c>
      <c r="I35" s="20" t="str">
        <f t="shared" si="5"/>
        <v>✔️</v>
      </c>
      <c r="J35" s="20" t="str">
        <f t="shared" si="5"/>
        <v/>
      </c>
      <c r="K35" s="21"/>
      <c r="L35" s="21"/>
      <c r="M35" s="21"/>
      <c r="N35" s="22"/>
      <c r="O35" s="22"/>
      <c r="P35" s="22"/>
      <c r="Q35" s="22"/>
      <c r="R35" s="23"/>
      <c r="S35" s="23"/>
      <c r="T35" s="9"/>
      <c r="V35" s="25"/>
    </row>
    <row r="36" spans="2:22" ht="15.6">
      <c r="B36" s="12" t="s">
        <v>25</v>
      </c>
      <c r="C36" s="20">
        <f t="shared" si="2"/>
        <v>1</v>
      </c>
      <c r="D36" s="20">
        <f t="shared" si="3"/>
        <v>1</v>
      </c>
      <c r="E36" s="73" t="s">
        <v>589</v>
      </c>
      <c r="F36" s="20" t="str">
        <f t="shared" si="4"/>
        <v>Штаб не создан в связи с выборами</v>
      </c>
      <c r="G36" s="20" t="str">
        <f t="shared" si="5"/>
        <v/>
      </c>
      <c r="H36" s="20" t="str">
        <f t="shared" si="5"/>
        <v/>
      </c>
      <c r="I36" s="20" t="str">
        <f t="shared" si="5"/>
        <v>✔️</v>
      </c>
      <c r="J36" s="20" t="str">
        <f t="shared" si="5"/>
        <v/>
      </c>
      <c r="K36" s="21"/>
      <c r="L36" s="21"/>
      <c r="M36" s="21"/>
      <c r="N36" s="22"/>
      <c r="O36" s="22"/>
      <c r="P36" s="22"/>
      <c r="Q36" s="22"/>
      <c r="R36" s="23"/>
      <c r="S36" s="23"/>
      <c r="T36" s="9"/>
      <c r="V36" s="25"/>
    </row>
    <row r="37" spans="2:22" ht="15.6">
      <c r="B37" s="12" t="s">
        <v>26</v>
      </c>
      <c r="C37" s="20">
        <f t="shared" si="2"/>
        <v>0</v>
      </c>
      <c r="D37" s="20">
        <f t="shared" si="3"/>
        <v>0</v>
      </c>
      <c r="E37" s="73" t="s">
        <v>555</v>
      </c>
      <c r="F37" s="20" t="str">
        <f t="shared" si="4"/>
        <v>Штаб возглавляет губернатор</v>
      </c>
      <c r="G37" s="20" t="str">
        <f t="shared" si="5"/>
        <v>✔️</v>
      </c>
      <c r="H37" s="20" t="str">
        <f t="shared" si="5"/>
        <v/>
      </c>
      <c r="I37" s="20" t="str">
        <f t="shared" si="5"/>
        <v/>
      </c>
      <c r="J37" s="20" t="str">
        <f t="shared" si="5"/>
        <v/>
      </c>
      <c r="K37" s="21"/>
      <c r="L37" s="21"/>
      <c r="M37" s="21"/>
      <c r="N37" s="22"/>
      <c r="O37" s="22"/>
      <c r="P37" s="22"/>
      <c r="Q37" s="22"/>
      <c r="R37" s="23"/>
      <c r="S37" s="23"/>
      <c r="T37" s="9"/>
      <c r="V37" s="25"/>
    </row>
    <row r="38" spans="2:22" ht="15.6">
      <c r="B38" s="12" t="s">
        <v>27</v>
      </c>
      <c r="C38" s="20">
        <f t="shared" si="2"/>
        <v>0</v>
      </c>
      <c r="D38" s="20">
        <f t="shared" si="3"/>
        <v>0</v>
      </c>
      <c r="E38" s="73" t="s">
        <v>555</v>
      </c>
      <c r="F38" s="20" t="str">
        <f t="shared" si="4"/>
        <v>Штаб возглавляет губернатор</v>
      </c>
      <c r="G38" s="20" t="str">
        <f t="shared" si="5"/>
        <v>✔️</v>
      </c>
      <c r="H38" s="20" t="str">
        <f t="shared" si="5"/>
        <v/>
      </c>
      <c r="I38" s="20" t="str">
        <f t="shared" si="5"/>
        <v/>
      </c>
      <c r="J38" s="20" t="str">
        <f t="shared" si="5"/>
        <v/>
      </c>
      <c r="K38" s="21"/>
      <c r="L38" s="21"/>
      <c r="M38" s="21"/>
      <c r="N38" s="22"/>
      <c r="O38" s="22"/>
      <c r="P38" s="22"/>
      <c r="Q38" s="22"/>
      <c r="R38" s="23"/>
      <c r="S38" s="23"/>
      <c r="T38" s="9"/>
      <c r="V38" s="25"/>
    </row>
    <row r="39" spans="2:22" ht="15.6">
      <c r="B39" s="12" t="s">
        <v>28</v>
      </c>
      <c r="C39" s="20">
        <f t="shared" si="2"/>
        <v>0</v>
      </c>
      <c r="D39" s="20">
        <f t="shared" si="3"/>
        <v>0</v>
      </c>
      <c r="E39" s="73" t="s">
        <v>555</v>
      </c>
      <c r="F39" s="20" t="str">
        <f t="shared" si="4"/>
        <v>Штаб возглавляет губернатор</v>
      </c>
      <c r="G39" s="20" t="str">
        <f t="shared" si="5"/>
        <v>✔️</v>
      </c>
      <c r="H39" s="20" t="str">
        <f t="shared" si="5"/>
        <v/>
      </c>
      <c r="I39" s="20" t="str">
        <f t="shared" si="5"/>
        <v/>
      </c>
      <c r="J39" s="20" t="str">
        <f t="shared" si="5"/>
        <v/>
      </c>
      <c r="K39" s="21"/>
      <c r="L39" s="21"/>
      <c r="M39" s="21"/>
      <c r="N39" s="22"/>
      <c r="O39" s="22"/>
      <c r="P39" s="22"/>
      <c r="Q39" s="22"/>
      <c r="R39" s="23"/>
      <c r="S39" s="23"/>
      <c r="T39" s="9"/>
      <c r="V39" s="25"/>
    </row>
    <row r="40" spans="2:22" ht="15.6">
      <c r="B40" s="12" t="s">
        <v>29</v>
      </c>
      <c r="C40" s="20">
        <f t="shared" si="2"/>
        <v>1</v>
      </c>
      <c r="D40" s="20">
        <f t="shared" si="3"/>
        <v>1</v>
      </c>
      <c r="E40" s="73" t="s">
        <v>589</v>
      </c>
      <c r="F40" s="20" t="str">
        <f t="shared" si="4"/>
        <v>Штаб не создан в связи с выборами</v>
      </c>
      <c r="G40" s="20" t="str">
        <f t="shared" si="5"/>
        <v/>
      </c>
      <c r="H40" s="20" t="str">
        <f t="shared" si="5"/>
        <v/>
      </c>
      <c r="I40" s="20" t="str">
        <f t="shared" si="5"/>
        <v>✔️</v>
      </c>
      <c r="J40" s="20" t="str">
        <f t="shared" si="5"/>
        <v/>
      </c>
      <c r="K40" s="21"/>
      <c r="L40" s="21"/>
      <c r="M40" s="21"/>
      <c r="N40" s="22"/>
      <c r="O40" s="22"/>
      <c r="P40" s="22"/>
      <c r="Q40" s="22"/>
      <c r="R40" s="23"/>
      <c r="S40" s="23"/>
      <c r="T40" s="9"/>
      <c r="V40" s="25"/>
    </row>
    <row r="41" spans="2:22" ht="15.6">
      <c r="B41" s="12" t="s">
        <v>30</v>
      </c>
      <c r="C41" s="20">
        <f t="shared" si="2"/>
        <v>2</v>
      </c>
      <c r="D41" s="20">
        <f t="shared" si="3"/>
        <v>2</v>
      </c>
      <c r="E41" s="73" t="s">
        <v>556</v>
      </c>
      <c r="F41" s="20" t="str">
        <f t="shared" si="4"/>
        <v>Штаб не создан</v>
      </c>
      <c r="G41" s="20" t="str">
        <f t="shared" si="5"/>
        <v/>
      </c>
      <c r="H41" s="20" t="str">
        <f t="shared" si="5"/>
        <v/>
      </c>
      <c r="I41" s="20" t="str">
        <f t="shared" si="5"/>
        <v/>
      </c>
      <c r="J41" s="20" t="str">
        <f t="shared" si="5"/>
        <v>✔️</v>
      </c>
      <c r="K41" s="21"/>
      <c r="L41" s="21"/>
      <c r="M41" s="21"/>
      <c r="N41" s="22"/>
      <c r="O41" s="22"/>
      <c r="P41" s="22"/>
      <c r="Q41" s="22"/>
      <c r="R41" s="23"/>
      <c r="S41" s="23"/>
      <c r="T41" s="9"/>
      <c r="V41" s="25"/>
    </row>
    <row r="42" spans="2:22" ht="15.6">
      <c r="B42" s="12" t="s">
        <v>31</v>
      </c>
      <c r="C42" s="20">
        <f t="shared" si="2"/>
        <v>0</v>
      </c>
      <c r="D42" s="20">
        <f t="shared" si="3"/>
        <v>0</v>
      </c>
      <c r="E42" s="73" t="s">
        <v>555</v>
      </c>
      <c r="F42" s="20" t="str">
        <f t="shared" si="4"/>
        <v>Штаб возглавляет губернатор</v>
      </c>
      <c r="G42" s="20" t="str">
        <f t="shared" si="5"/>
        <v>✔️</v>
      </c>
      <c r="H42" s="20" t="str">
        <f t="shared" si="5"/>
        <v/>
      </c>
      <c r="I42" s="20" t="str">
        <f t="shared" si="5"/>
        <v/>
      </c>
      <c r="J42" s="20" t="str">
        <f t="shared" si="5"/>
        <v/>
      </c>
      <c r="K42" s="21"/>
      <c r="L42" s="21"/>
      <c r="M42" s="21"/>
      <c r="N42" s="22"/>
      <c r="O42" s="22"/>
      <c r="P42" s="22"/>
      <c r="Q42" s="22"/>
      <c r="R42" s="23"/>
      <c r="S42" s="23"/>
      <c r="T42" s="9"/>
      <c r="V42" s="25"/>
    </row>
    <row r="43" spans="2:22" ht="15.6">
      <c r="B43" s="12" t="s">
        <v>32</v>
      </c>
      <c r="C43" s="20">
        <f t="shared" si="2"/>
        <v>0</v>
      </c>
      <c r="D43" s="20">
        <f t="shared" si="3"/>
        <v>0</v>
      </c>
      <c r="E43" s="73" t="s">
        <v>555</v>
      </c>
      <c r="F43" s="20" t="str">
        <f t="shared" si="4"/>
        <v>Штаб возглавляет губернатор</v>
      </c>
      <c r="G43" s="20" t="str">
        <f t="shared" si="5"/>
        <v>✔️</v>
      </c>
      <c r="H43" s="20" t="str">
        <f t="shared" si="5"/>
        <v/>
      </c>
      <c r="I43" s="20" t="str">
        <f t="shared" si="5"/>
        <v/>
      </c>
      <c r="J43" s="20" t="str">
        <f t="shared" si="5"/>
        <v/>
      </c>
      <c r="K43" s="21"/>
      <c r="L43" s="21"/>
      <c r="M43" s="21"/>
      <c r="N43" s="22"/>
      <c r="O43" s="22"/>
      <c r="P43" s="22"/>
      <c r="Q43" s="22"/>
      <c r="R43" s="23"/>
      <c r="S43" s="23"/>
      <c r="T43" s="9"/>
      <c r="V43" s="25"/>
    </row>
    <row r="44" spans="2:22" ht="15.6">
      <c r="B44" s="12" t="s">
        <v>33</v>
      </c>
      <c r="C44" s="20">
        <f t="shared" si="2"/>
        <v>1</v>
      </c>
      <c r="D44" s="20">
        <f t="shared" si="3"/>
        <v>1</v>
      </c>
      <c r="E44" s="73" t="s">
        <v>590</v>
      </c>
      <c r="F44" s="20" t="str">
        <f t="shared" si="4"/>
        <v>Штаб возглавляет не губернатор</v>
      </c>
      <c r="G44" s="20" t="str">
        <f t="shared" si="5"/>
        <v/>
      </c>
      <c r="H44" s="20" t="str">
        <f t="shared" si="5"/>
        <v>✔️</v>
      </c>
      <c r="I44" s="20" t="str">
        <f t="shared" si="5"/>
        <v/>
      </c>
      <c r="J44" s="20" t="str">
        <f t="shared" si="5"/>
        <v/>
      </c>
      <c r="K44" s="21"/>
      <c r="L44" s="21"/>
      <c r="M44" s="21"/>
      <c r="N44" s="22"/>
      <c r="O44" s="22"/>
      <c r="P44" s="22"/>
      <c r="Q44" s="22"/>
      <c r="R44" s="23"/>
      <c r="S44" s="23"/>
      <c r="T44" s="9"/>
      <c r="V44" s="25"/>
    </row>
    <row r="45" spans="2:22" ht="15.6">
      <c r="B45" s="12" t="s">
        <v>34</v>
      </c>
      <c r="C45" s="20">
        <f t="shared" si="2"/>
        <v>1</v>
      </c>
      <c r="D45" s="20">
        <f t="shared" si="3"/>
        <v>1</v>
      </c>
      <c r="E45" s="73" t="s">
        <v>589</v>
      </c>
      <c r="F45" s="20" t="str">
        <f t="shared" si="4"/>
        <v>Штаб не создан в связи с выборами</v>
      </c>
      <c r="G45" s="20" t="str">
        <f t="shared" si="5"/>
        <v/>
      </c>
      <c r="H45" s="20" t="str">
        <f t="shared" si="5"/>
        <v/>
      </c>
      <c r="I45" s="20" t="str">
        <f t="shared" si="5"/>
        <v>✔️</v>
      </c>
      <c r="J45" s="20" t="str">
        <f t="shared" si="5"/>
        <v/>
      </c>
      <c r="K45" s="21"/>
      <c r="L45" s="21"/>
      <c r="M45" s="21"/>
      <c r="N45" s="22"/>
      <c r="O45" s="22"/>
      <c r="P45" s="22"/>
      <c r="Q45" s="22"/>
      <c r="R45" s="23"/>
      <c r="S45" s="23"/>
      <c r="T45" s="9"/>
      <c r="V45" s="25"/>
    </row>
    <row r="46" spans="2:22" ht="15.6">
      <c r="B46" s="12" t="s">
        <v>35</v>
      </c>
      <c r="C46" s="20">
        <f t="shared" si="2"/>
        <v>1</v>
      </c>
      <c r="D46" s="20">
        <f t="shared" si="3"/>
        <v>1</v>
      </c>
      <c r="E46" s="73" t="s">
        <v>589</v>
      </c>
      <c r="F46" s="20" t="str">
        <f t="shared" si="4"/>
        <v>Штаб не создан в связи с выборами</v>
      </c>
      <c r="G46" s="20" t="str">
        <f t="shared" si="5"/>
        <v/>
      </c>
      <c r="H46" s="20" t="str">
        <f t="shared" si="5"/>
        <v/>
      </c>
      <c r="I46" s="20" t="str">
        <f t="shared" si="5"/>
        <v>✔️</v>
      </c>
      <c r="J46" s="20" t="str">
        <f t="shared" si="5"/>
        <v/>
      </c>
      <c r="K46" s="21"/>
      <c r="L46" s="21"/>
      <c r="M46" s="21"/>
      <c r="N46" s="22"/>
      <c r="O46" s="22"/>
      <c r="P46" s="22"/>
      <c r="Q46" s="22"/>
      <c r="R46" s="23"/>
      <c r="S46" s="23"/>
      <c r="T46" s="9"/>
      <c r="V46" s="25"/>
    </row>
    <row r="47" spans="2:22" ht="15.6">
      <c r="B47" s="12" t="s">
        <v>36</v>
      </c>
      <c r="C47" s="20">
        <f t="shared" si="2"/>
        <v>2</v>
      </c>
      <c r="D47" s="20">
        <f t="shared" si="3"/>
        <v>2</v>
      </c>
      <c r="E47" s="73" t="s">
        <v>556</v>
      </c>
      <c r="F47" s="20" t="str">
        <f t="shared" si="4"/>
        <v>Штаб не создан</v>
      </c>
      <c r="G47" s="20" t="str">
        <f t="shared" si="5"/>
        <v/>
      </c>
      <c r="H47" s="20" t="str">
        <f t="shared" si="5"/>
        <v/>
      </c>
      <c r="I47" s="20" t="str">
        <f t="shared" si="5"/>
        <v/>
      </c>
      <c r="J47" s="20" t="str">
        <f t="shared" si="5"/>
        <v>✔️</v>
      </c>
      <c r="K47" s="21"/>
      <c r="L47" s="21"/>
      <c r="M47" s="21"/>
      <c r="N47" s="22"/>
      <c r="O47" s="22"/>
      <c r="P47" s="22"/>
      <c r="Q47" s="22"/>
      <c r="R47" s="23"/>
      <c r="S47" s="23"/>
      <c r="T47" s="9"/>
      <c r="V47" s="25"/>
    </row>
    <row r="48" spans="2:22" ht="15.6">
      <c r="B48" s="12" t="s">
        <v>37</v>
      </c>
      <c r="C48" s="20">
        <f t="shared" si="2"/>
        <v>1</v>
      </c>
      <c r="D48" s="20">
        <f t="shared" si="3"/>
        <v>1</v>
      </c>
      <c r="E48" s="73" t="s">
        <v>590</v>
      </c>
      <c r="F48" s="20" t="str">
        <f t="shared" si="4"/>
        <v>Штаб возглавляет не губернатор</v>
      </c>
      <c r="G48" s="20" t="str">
        <f t="shared" si="5"/>
        <v/>
      </c>
      <c r="H48" s="20" t="str">
        <f t="shared" si="5"/>
        <v>✔️</v>
      </c>
      <c r="I48" s="20" t="str">
        <f t="shared" si="5"/>
        <v/>
      </c>
      <c r="J48" s="20" t="str">
        <f t="shared" si="5"/>
        <v/>
      </c>
      <c r="K48" s="21"/>
      <c r="L48" s="21"/>
      <c r="M48" s="21"/>
      <c r="N48" s="22"/>
      <c r="O48" s="22"/>
      <c r="P48" s="22"/>
      <c r="Q48" s="22"/>
      <c r="R48" s="23"/>
      <c r="S48" s="23"/>
      <c r="T48" s="9"/>
      <c r="V48" s="25"/>
    </row>
    <row r="49" spans="2:22" ht="15.6">
      <c r="B49" s="12" t="s">
        <v>581</v>
      </c>
      <c r="C49" s="20">
        <f t="shared" ref="C49" si="8">IF(OR(G49=2,D49&gt;$D$8),2,IF(OR(G49=1,D49&gt;$D$9),1,0))</f>
        <v>2</v>
      </c>
      <c r="D49" s="20">
        <f t="shared" si="3"/>
        <v>2</v>
      </c>
      <c r="E49" s="73" t="s">
        <v>556</v>
      </c>
      <c r="F49" s="20" t="str">
        <f t="shared" si="4"/>
        <v>Штаб не создан</v>
      </c>
      <c r="G49" s="20" t="str">
        <f t="shared" ref="G49:J80" si="9">IF($E49=G$14,"✔️","")</f>
        <v/>
      </c>
      <c r="H49" s="20" t="str">
        <f t="shared" si="9"/>
        <v/>
      </c>
      <c r="I49" s="20" t="str">
        <f t="shared" si="9"/>
        <v/>
      </c>
      <c r="J49" s="20" t="str">
        <f t="shared" si="9"/>
        <v>✔️</v>
      </c>
      <c r="K49" s="21"/>
      <c r="L49" s="21"/>
      <c r="M49" s="21"/>
      <c r="N49" s="22"/>
      <c r="O49" s="22"/>
      <c r="P49" s="22"/>
      <c r="Q49" s="22"/>
      <c r="R49" s="23"/>
      <c r="S49" s="23"/>
      <c r="T49" s="9"/>
      <c r="V49" s="25"/>
    </row>
    <row r="50" spans="2:22" ht="15.6">
      <c r="B50" s="12" t="s">
        <v>38</v>
      </c>
      <c r="C50" s="20">
        <f t="shared" si="2"/>
        <v>2</v>
      </c>
      <c r="D50" s="20">
        <f t="shared" si="3"/>
        <v>2</v>
      </c>
      <c r="E50" s="73" t="s">
        <v>556</v>
      </c>
      <c r="F50" s="20" t="str">
        <f t="shared" si="4"/>
        <v>Штаб не создан</v>
      </c>
      <c r="G50" s="20" t="str">
        <f t="shared" si="9"/>
        <v/>
      </c>
      <c r="H50" s="20" t="str">
        <f t="shared" si="9"/>
        <v/>
      </c>
      <c r="I50" s="20" t="str">
        <f t="shared" si="9"/>
        <v/>
      </c>
      <c r="J50" s="20" t="str">
        <f t="shared" si="9"/>
        <v>✔️</v>
      </c>
      <c r="K50" s="21"/>
      <c r="L50" s="21"/>
      <c r="M50" s="21"/>
      <c r="N50" s="22"/>
      <c r="O50" s="22"/>
      <c r="P50" s="22"/>
      <c r="Q50" s="22"/>
      <c r="R50" s="23"/>
      <c r="S50" s="23"/>
      <c r="T50" s="9"/>
      <c r="V50" s="25"/>
    </row>
    <row r="51" spans="2:22" ht="15.6">
      <c r="B51" s="12" t="s">
        <v>39</v>
      </c>
      <c r="C51" s="20">
        <f t="shared" si="2"/>
        <v>2</v>
      </c>
      <c r="D51" s="20">
        <f t="shared" si="3"/>
        <v>2</v>
      </c>
      <c r="E51" s="73" t="s">
        <v>556</v>
      </c>
      <c r="F51" s="20" t="str">
        <f t="shared" si="4"/>
        <v>Штаб не создан</v>
      </c>
      <c r="G51" s="20" t="str">
        <f t="shared" si="9"/>
        <v/>
      </c>
      <c r="H51" s="20" t="str">
        <f t="shared" si="9"/>
        <v/>
      </c>
      <c r="I51" s="20" t="str">
        <f t="shared" si="9"/>
        <v/>
      </c>
      <c r="J51" s="20" t="str">
        <f t="shared" si="9"/>
        <v>✔️</v>
      </c>
      <c r="K51" s="21"/>
      <c r="L51" s="21"/>
      <c r="M51" s="21"/>
      <c r="N51" s="22"/>
      <c r="O51" s="22"/>
      <c r="P51" s="22"/>
      <c r="Q51" s="22"/>
      <c r="R51" s="23"/>
      <c r="S51" s="23"/>
      <c r="T51" s="9"/>
      <c r="V51" s="25"/>
    </row>
    <row r="52" spans="2:22" ht="15.6">
      <c r="B52" s="12" t="s">
        <v>40</v>
      </c>
      <c r="C52" s="20">
        <f t="shared" si="2"/>
        <v>1</v>
      </c>
      <c r="D52" s="20">
        <f t="shared" si="3"/>
        <v>1</v>
      </c>
      <c r="E52" s="73" t="s">
        <v>589</v>
      </c>
      <c r="F52" s="20" t="str">
        <f t="shared" si="4"/>
        <v>Штаб не создан в связи с выборами</v>
      </c>
      <c r="G52" s="20" t="str">
        <f t="shared" si="9"/>
        <v/>
      </c>
      <c r="H52" s="20" t="str">
        <f t="shared" si="9"/>
        <v/>
      </c>
      <c r="I52" s="20" t="str">
        <f t="shared" si="9"/>
        <v>✔️</v>
      </c>
      <c r="J52" s="20" t="str">
        <f t="shared" si="9"/>
        <v/>
      </c>
      <c r="K52" s="21"/>
      <c r="L52" s="21"/>
      <c r="M52" s="21"/>
      <c r="N52" s="22"/>
      <c r="O52" s="22"/>
      <c r="P52" s="22"/>
      <c r="Q52" s="22"/>
      <c r="R52" s="23"/>
      <c r="S52" s="23"/>
      <c r="T52" s="9"/>
      <c r="V52" s="25"/>
    </row>
    <row r="53" spans="2:22" ht="15.6">
      <c r="B53" s="12" t="s">
        <v>41</v>
      </c>
      <c r="C53" s="20">
        <f t="shared" si="2"/>
        <v>2</v>
      </c>
      <c r="D53" s="20">
        <f t="shared" si="3"/>
        <v>2</v>
      </c>
      <c r="E53" s="73" t="s">
        <v>556</v>
      </c>
      <c r="F53" s="20" t="str">
        <f t="shared" si="4"/>
        <v>Штаб не создан</v>
      </c>
      <c r="G53" s="20" t="str">
        <f t="shared" si="9"/>
        <v/>
      </c>
      <c r="H53" s="20" t="str">
        <f t="shared" si="9"/>
        <v/>
      </c>
      <c r="I53" s="20" t="str">
        <f t="shared" si="9"/>
        <v/>
      </c>
      <c r="J53" s="20" t="str">
        <f t="shared" si="9"/>
        <v>✔️</v>
      </c>
      <c r="K53" s="21"/>
      <c r="L53" s="21"/>
      <c r="M53" s="21"/>
      <c r="N53" s="22"/>
      <c r="O53" s="22"/>
      <c r="P53" s="22"/>
      <c r="Q53" s="22"/>
      <c r="R53" s="23"/>
      <c r="S53" s="23"/>
      <c r="T53" s="9"/>
      <c r="V53" s="25"/>
    </row>
    <row r="54" spans="2:22" ht="15.6">
      <c r="B54" s="12" t="s">
        <v>42</v>
      </c>
      <c r="C54" s="20">
        <f t="shared" si="2"/>
        <v>0</v>
      </c>
      <c r="D54" s="20">
        <f t="shared" si="3"/>
        <v>0</v>
      </c>
      <c r="E54" s="73" t="s">
        <v>555</v>
      </c>
      <c r="F54" s="20" t="str">
        <f t="shared" si="4"/>
        <v>Штаб возглавляет губернатор</v>
      </c>
      <c r="G54" s="20" t="str">
        <f t="shared" si="9"/>
        <v>✔️</v>
      </c>
      <c r="H54" s="20" t="str">
        <f t="shared" si="9"/>
        <v/>
      </c>
      <c r="I54" s="20" t="str">
        <f t="shared" si="9"/>
        <v/>
      </c>
      <c r="J54" s="20" t="str">
        <f t="shared" si="9"/>
        <v/>
      </c>
      <c r="K54" s="21"/>
      <c r="L54" s="21"/>
      <c r="M54" s="21"/>
      <c r="N54" s="22"/>
      <c r="O54" s="22"/>
      <c r="P54" s="22"/>
      <c r="Q54" s="22"/>
      <c r="R54" s="23"/>
      <c r="S54" s="23"/>
      <c r="T54" s="9"/>
      <c r="V54" s="25"/>
    </row>
    <row r="55" spans="2:22" ht="15.6">
      <c r="B55" s="12" t="s">
        <v>43</v>
      </c>
      <c r="C55" s="20">
        <f t="shared" si="2"/>
        <v>0</v>
      </c>
      <c r="D55" s="20">
        <f t="shared" si="3"/>
        <v>0</v>
      </c>
      <c r="E55" s="73" t="s">
        <v>555</v>
      </c>
      <c r="F55" s="20" t="str">
        <f t="shared" si="4"/>
        <v>Штаб возглавляет губернатор</v>
      </c>
      <c r="G55" s="20" t="str">
        <f t="shared" si="9"/>
        <v>✔️</v>
      </c>
      <c r="H55" s="20" t="str">
        <f t="shared" si="9"/>
        <v/>
      </c>
      <c r="I55" s="20" t="str">
        <f t="shared" si="9"/>
        <v/>
      </c>
      <c r="J55" s="20" t="str">
        <f t="shared" si="9"/>
        <v/>
      </c>
      <c r="K55" s="21"/>
      <c r="L55" s="21"/>
      <c r="M55" s="21"/>
      <c r="N55" s="22"/>
      <c r="O55" s="22"/>
      <c r="P55" s="22"/>
      <c r="Q55" s="22"/>
      <c r="R55" s="23"/>
      <c r="S55" s="23"/>
      <c r="T55" s="9"/>
      <c r="V55" s="25"/>
    </row>
    <row r="56" spans="2:22" ht="15.6">
      <c r="B56" s="12" t="s">
        <v>44</v>
      </c>
      <c r="C56" s="20">
        <f t="shared" si="2"/>
        <v>2</v>
      </c>
      <c r="D56" s="20">
        <f t="shared" si="3"/>
        <v>2</v>
      </c>
      <c r="E56" s="73" t="s">
        <v>556</v>
      </c>
      <c r="F56" s="20" t="str">
        <f t="shared" si="4"/>
        <v>Штаб не создан</v>
      </c>
      <c r="G56" s="20" t="str">
        <f t="shared" si="9"/>
        <v/>
      </c>
      <c r="H56" s="20" t="str">
        <f t="shared" si="9"/>
        <v/>
      </c>
      <c r="I56" s="20" t="str">
        <f t="shared" si="9"/>
        <v/>
      </c>
      <c r="J56" s="20" t="str">
        <f t="shared" si="9"/>
        <v>✔️</v>
      </c>
      <c r="K56" s="21"/>
      <c r="L56" s="21"/>
      <c r="M56" s="21"/>
      <c r="N56" s="22"/>
      <c r="O56" s="22"/>
      <c r="P56" s="22"/>
      <c r="Q56" s="22"/>
      <c r="R56" s="23"/>
      <c r="S56" s="23"/>
      <c r="T56" s="9"/>
      <c r="V56" s="25"/>
    </row>
    <row r="57" spans="2:22" ht="15.6">
      <c r="B57" s="12" t="s">
        <v>45</v>
      </c>
      <c r="C57" s="20">
        <f t="shared" si="2"/>
        <v>0</v>
      </c>
      <c r="D57" s="20">
        <f t="shared" si="3"/>
        <v>0</v>
      </c>
      <c r="E57" s="73" t="s">
        <v>555</v>
      </c>
      <c r="F57" s="20" t="str">
        <f t="shared" si="4"/>
        <v>Штаб возглавляет губернатор</v>
      </c>
      <c r="G57" s="20" t="str">
        <f t="shared" si="9"/>
        <v>✔️</v>
      </c>
      <c r="H57" s="20" t="str">
        <f t="shared" si="9"/>
        <v/>
      </c>
      <c r="I57" s="20" t="str">
        <f t="shared" si="9"/>
        <v/>
      </c>
      <c r="J57" s="20" t="str">
        <f t="shared" si="9"/>
        <v/>
      </c>
      <c r="K57" s="21"/>
      <c r="L57" s="21"/>
      <c r="M57" s="21"/>
      <c r="N57" s="22"/>
      <c r="O57" s="22"/>
      <c r="P57" s="22"/>
      <c r="Q57" s="22"/>
      <c r="R57" s="23"/>
      <c r="S57" s="23"/>
      <c r="T57" s="9"/>
      <c r="V57" s="25"/>
    </row>
    <row r="58" spans="2:22" ht="15.6">
      <c r="B58" s="12" t="s">
        <v>46</v>
      </c>
      <c r="C58" s="20">
        <f t="shared" si="2"/>
        <v>1</v>
      </c>
      <c r="D58" s="20">
        <f t="shared" si="3"/>
        <v>1</v>
      </c>
      <c r="E58" s="73" t="s">
        <v>589</v>
      </c>
      <c r="F58" s="20" t="str">
        <f t="shared" si="4"/>
        <v>Штаб не создан в связи с выборами</v>
      </c>
      <c r="G58" s="20" t="str">
        <f t="shared" si="9"/>
        <v/>
      </c>
      <c r="H58" s="20" t="str">
        <f t="shared" si="9"/>
        <v/>
      </c>
      <c r="I58" s="20" t="str">
        <f t="shared" si="9"/>
        <v>✔️</v>
      </c>
      <c r="J58" s="20" t="str">
        <f t="shared" si="9"/>
        <v/>
      </c>
      <c r="K58" s="21"/>
      <c r="L58" s="21"/>
      <c r="M58" s="21"/>
      <c r="N58" s="22"/>
      <c r="O58" s="22"/>
      <c r="P58" s="22"/>
      <c r="Q58" s="22"/>
      <c r="R58" s="23"/>
      <c r="S58" s="23"/>
      <c r="T58" s="9"/>
      <c r="V58" s="25"/>
    </row>
    <row r="59" spans="2:22" ht="15.6">
      <c r="B59" s="12" t="s">
        <v>47</v>
      </c>
      <c r="C59" s="20">
        <f t="shared" si="2"/>
        <v>0</v>
      </c>
      <c r="D59" s="20">
        <f t="shared" si="3"/>
        <v>0</v>
      </c>
      <c r="E59" s="73" t="s">
        <v>555</v>
      </c>
      <c r="F59" s="20" t="str">
        <f t="shared" si="4"/>
        <v>Штаб возглавляет губернатор</v>
      </c>
      <c r="G59" s="20" t="str">
        <f t="shared" si="9"/>
        <v>✔️</v>
      </c>
      <c r="H59" s="20" t="str">
        <f t="shared" si="9"/>
        <v/>
      </c>
      <c r="I59" s="20" t="str">
        <f t="shared" si="9"/>
        <v/>
      </c>
      <c r="J59" s="20" t="str">
        <f t="shared" si="9"/>
        <v/>
      </c>
      <c r="K59" s="21"/>
      <c r="L59" s="21"/>
      <c r="M59" s="21"/>
      <c r="N59" s="22"/>
      <c r="O59" s="22"/>
      <c r="P59" s="22"/>
      <c r="Q59" s="22"/>
      <c r="R59" s="23"/>
      <c r="S59" s="23"/>
      <c r="T59" s="9"/>
      <c r="V59" s="25"/>
    </row>
    <row r="60" spans="2:22" ht="15.6">
      <c r="B60" s="12" t="s">
        <v>48</v>
      </c>
      <c r="C60" s="20">
        <f t="shared" si="2"/>
        <v>0</v>
      </c>
      <c r="D60" s="20">
        <f t="shared" si="3"/>
        <v>0</v>
      </c>
      <c r="E60" s="73" t="s">
        <v>555</v>
      </c>
      <c r="F60" s="20" t="str">
        <f t="shared" si="4"/>
        <v>Штаб возглавляет губернатор</v>
      </c>
      <c r="G60" s="20" t="str">
        <f t="shared" si="9"/>
        <v>✔️</v>
      </c>
      <c r="H60" s="20" t="str">
        <f t="shared" si="9"/>
        <v/>
      </c>
      <c r="I60" s="20" t="str">
        <f t="shared" si="9"/>
        <v/>
      </c>
      <c r="J60" s="20" t="str">
        <f t="shared" si="9"/>
        <v/>
      </c>
      <c r="K60" s="21"/>
      <c r="L60" s="21"/>
      <c r="M60" s="21"/>
      <c r="N60" s="22"/>
      <c r="O60" s="22"/>
      <c r="P60" s="22"/>
      <c r="Q60" s="22"/>
      <c r="R60" s="23"/>
      <c r="S60" s="23"/>
      <c r="T60" s="9"/>
      <c r="V60" s="25"/>
    </row>
    <row r="61" spans="2:22" ht="15.6">
      <c r="B61" s="12" t="s">
        <v>49</v>
      </c>
      <c r="C61" s="20">
        <f t="shared" si="2"/>
        <v>2</v>
      </c>
      <c r="D61" s="20">
        <f t="shared" si="3"/>
        <v>2</v>
      </c>
      <c r="E61" s="73" t="s">
        <v>556</v>
      </c>
      <c r="F61" s="20" t="str">
        <f t="shared" si="4"/>
        <v>Штаб не создан</v>
      </c>
      <c r="G61" s="20" t="str">
        <f t="shared" si="9"/>
        <v/>
      </c>
      <c r="H61" s="20" t="str">
        <f t="shared" si="9"/>
        <v/>
      </c>
      <c r="I61" s="20" t="str">
        <f t="shared" si="9"/>
        <v/>
      </c>
      <c r="J61" s="20" t="str">
        <f t="shared" si="9"/>
        <v>✔️</v>
      </c>
      <c r="K61" s="21"/>
      <c r="L61" s="21"/>
      <c r="M61" s="21"/>
      <c r="N61" s="22"/>
      <c r="O61" s="22"/>
      <c r="P61" s="22"/>
      <c r="Q61" s="22"/>
      <c r="R61" s="23"/>
      <c r="S61" s="23"/>
      <c r="T61" s="9"/>
      <c r="V61" s="25"/>
    </row>
    <row r="62" spans="2:22" ht="15.6">
      <c r="B62" s="12" t="s">
        <v>50</v>
      </c>
      <c r="C62" s="20">
        <f t="shared" si="2"/>
        <v>0</v>
      </c>
      <c r="D62" s="20">
        <f t="shared" si="3"/>
        <v>0</v>
      </c>
      <c r="E62" s="73" t="s">
        <v>555</v>
      </c>
      <c r="F62" s="20" t="str">
        <f t="shared" si="4"/>
        <v>Штаб возглавляет губернатор</v>
      </c>
      <c r="G62" s="20" t="str">
        <f t="shared" si="9"/>
        <v>✔️</v>
      </c>
      <c r="H62" s="20" t="str">
        <f t="shared" si="9"/>
        <v/>
      </c>
      <c r="I62" s="20" t="str">
        <f t="shared" si="9"/>
        <v/>
      </c>
      <c r="J62" s="20" t="str">
        <f t="shared" si="9"/>
        <v/>
      </c>
      <c r="K62" s="21"/>
      <c r="L62" s="21"/>
      <c r="M62" s="21"/>
      <c r="N62" s="22"/>
      <c r="O62" s="22"/>
      <c r="P62" s="22"/>
      <c r="Q62" s="22"/>
      <c r="R62" s="23"/>
      <c r="S62" s="23"/>
      <c r="T62" s="9"/>
      <c r="V62" s="25"/>
    </row>
    <row r="63" spans="2:22" ht="15.6">
      <c r="B63" s="12" t="s">
        <v>51</v>
      </c>
      <c r="C63" s="20">
        <f t="shared" si="2"/>
        <v>2</v>
      </c>
      <c r="D63" s="20">
        <f t="shared" si="3"/>
        <v>2</v>
      </c>
      <c r="E63" s="73" t="s">
        <v>556</v>
      </c>
      <c r="F63" s="20" t="str">
        <f t="shared" si="4"/>
        <v>Штаб не создан</v>
      </c>
      <c r="G63" s="20" t="str">
        <f t="shared" si="9"/>
        <v/>
      </c>
      <c r="H63" s="20" t="str">
        <f t="shared" si="9"/>
        <v/>
      </c>
      <c r="I63" s="20" t="str">
        <f t="shared" si="9"/>
        <v/>
      </c>
      <c r="J63" s="20" t="str">
        <f t="shared" si="9"/>
        <v>✔️</v>
      </c>
      <c r="K63" s="21"/>
      <c r="L63" s="21"/>
      <c r="M63" s="21"/>
      <c r="N63" s="22"/>
      <c r="O63" s="22"/>
      <c r="P63" s="22"/>
      <c r="Q63" s="22"/>
      <c r="R63" s="23"/>
      <c r="S63" s="23"/>
      <c r="T63" s="9"/>
      <c r="V63" s="25"/>
    </row>
    <row r="64" spans="2:22" ht="15.6">
      <c r="B64" s="12" t="s">
        <v>52</v>
      </c>
      <c r="C64" s="20">
        <f t="shared" si="2"/>
        <v>1</v>
      </c>
      <c r="D64" s="20">
        <f t="shared" si="3"/>
        <v>1</v>
      </c>
      <c r="E64" s="73" t="s">
        <v>590</v>
      </c>
      <c r="F64" s="20" t="str">
        <f t="shared" si="4"/>
        <v>Штаб возглавляет не губернатор</v>
      </c>
      <c r="G64" s="20" t="str">
        <f t="shared" si="9"/>
        <v/>
      </c>
      <c r="H64" s="20" t="str">
        <f t="shared" si="9"/>
        <v>✔️</v>
      </c>
      <c r="I64" s="20" t="str">
        <f t="shared" si="9"/>
        <v/>
      </c>
      <c r="J64" s="20" t="str">
        <f t="shared" si="9"/>
        <v/>
      </c>
      <c r="K64" s="21"/>
      <c r="L64" s="21"/>
      <c r="M64" s="21"/>
      <c r="N64" s="22"/>
      <c r="O64" s="22"/>
      <c r="P64" s="22"/>
      <c r="Q64" s="22"/>
      <c r="R64" s="23"/>
      <c r="S64" s="23"/>
      <c r="T64" s="9"/>
      <c r="V64" s="25"/>
    </row>
    <row r="65" spans="2:22" ht="15.6">
      <c r="B65" s="12" t="s">
        <v>53</v>
      </c>
      <c r="C65" s="20">
        <f t="shared" si="2"/>
        <v>1</v>
      </c>
      <c r="D65" s="20">
        <f t="shared" si="3"/>
        <v>1</v>
      </c>
      <c r="E65" s="73" t="s">
        <v>589</v>
      </c>
      <c r="F65" s="20" t="str">
        <f t="shared" si="4"/>
        <v>Штаб не создан в связи с выборами</v>
      </c>
      <c r="G65" s="20" t="str">
        <f t="shared" si="9"/>
        <v/>
      </c>
      <c r="H65" s="20" t="str">
        <f t="shared" si="9"/>
        <v/>
      </c>
      <c r="I65" s="20" t="str">
        <f t="shared" si="9"/>
        <v>✔️</v>
      </c>
      <c r="J65" s="20" t="str">
        <f t="shared" si="9"/>
        <v/>
      </c>
      <c r="K65" s="21"/>
      <c r="L65" s="21"/>
      <c r="M65" s="21"/>
      <c r="N65" s="22"/>
      <c r="O65" s="22"/>
      <c r="P65" s="22"/>
      <c r="Q65" s="22"/>
      <c r="R65" s="23"/>
      <c r="S65" s="23"/>
      <c r="T65" s="9"/>
      <c r="V65" s="25"/>
    </row>
    <row r="66" spans="2:22" ht="15.6">
      <c r="B66" s="12" t="s">
        <v>3</v>
      </c>
      <c r="C66" s="20">
        <f t="shared" si="2"/>
        <v>1</v>
      </c>
      <c r="D66" s="20">
        <f t="shared" si="3"/>
        <v>1</v>
      </c>
      <c r="E66" s="73" t="s">
        <v>589</v>
      </c>
      <c r="F66" s="20" t="str">
        <f t="shared" si="4"/>
        <v>Штаб не создан в связи с выборами</v>
      </c>
      <c r="G66" s="20" t="str">
        <f t="shared" si="9"/>
        <v/>
      </c>
      <c r="H66" s="20" t="str">
        <f t="shared" si="9"/>
        <v/>
      </c>
      <c r="I66" s="20" t="str">
        <f t="shared" si="9"/>
        <v>✔️</v>
      </c>
      <c r="J66" s="20" t="str">
        <f t="shared" si="9"/>
        <v/>
      </c>
      <c r="K66" s="21"/>
      <c r="L66" s="21"/>
      <c r="M66" s="21"/>
      <c r="N66" s="22"/>
      <c r="O66" s="22"/>
      <c r="P66" s="22"/>
      <c r="Q66" s="22"/>
      <c r="R66" s="23"/>
      <c r="S66" s="23"/>
      <c r="T66" s="9"/>
      <c r="V66" s="25"/>
    </row>
    <row r="67" spans="2:22" ht="15.6">
      <c r="B67" s="12" t="s">
        <v>54</v>
      </c>
      <c r="C67" s="20">
        <f t="shared" si="2"/>
        <v>2</v>
      </c>
      <c r="D67" s="20">
        <f t="shared" si="3"/>
        <v>2</v>
      </c>
      <c r="E67" s="73" t="s">
        <v>556</v>
      </c>
      <c r="F67" s="20" t="str">
        <f t="shared" si="4"/>
        <v>Штаб не создан</v>
      </c>
      <c r="G67" s="20" t="str">
        <f t="shared" si="9"/>
        <v/>
      </c>
      <c r="H67" s="20" t="str">
        <f t="shared" si="9"/>
        <v/>
      </c>
      <c r="I67" s="20" t="str">
        <f t="shared" si="9"/>
        <v/>
      </c>
      <c r="J67" s="20" t="str">
        <f t="shared" si="9"/>
        <v>✔️</v>
      </c>
      <c r="K67" s="21"/>
      <c r="L67" s="21"/>
      <c r="M67" s="21"/>
      <c r="N67" s="22"/>
      <c r="O67" s="22"/>
      <c r="P67" s="22"/>
      <c r="Q67" s="22"/>
      <c r="R67" s="23"/>
      <c r="S67" s="23"/>
      <c r="T67" s="9"/>
      <c r="V67" s="25"/>
    </row>
    <row r="68" spans="2:22" ht="15.6">
      <c r="B68" s="12" t="s">
        <v>55</v>
      </c>
      <c r="C68" s="20">
        <f t="shared" si="2"/>
        <v>2</v>
      </c>
      <c r="D68" s="20">
        <f t="shared" si="3"/>
        <v>2</v>
      </c>
      <c r="E68" s="73" t="s">
        <v>556</v>
      </c>
      <c r="F68" s="20" t="str">
        <f t="shared" si="4"/>
        <v>Штаб не создан</v>
      </c>
      <c r="G68" s="20" t="str">
        <f t="shared" si="9"/>
        <v/>
      </c>
      <c r="H68" s="20" t="str">
        <f t="shared" si="9"/>
        <v/>
      </c>
      <c r="I68" s="20" t="str">
        <f t="shared" si="9"/>
        <v/>
      </c>
      <c r="J68" s="20" t="str">
        <f t="shared" si="9"/>
        <v>✔️</v>
      </c>
      <c r="K68" s="21"/>
      <c r="L68" s="21"/>
      <c r="M68" s="21"/>
      <c r="N68" s="22"/>
      <c r="O68" s="22"/>
      <c r="P68" s="22"/>
      <c r="Q68" s="22"/>
      <c r="R68" s="23"/>
      <c r="S68" s="23"/>
      <c r="T68" s="9"/>
      <c r="V68" s="25"/>
    </row>
    <row r="69" spans="2:22" ht="15.6">
      <c r="B69" s="12" t="s">
        <v>56</v>
      </c>
      <c r="C69" s="20">
        <f t="shared" si="2"/>
        <v>0</v>
      </c>
      <c r="D69" s="20">
        <f t="shared" si="3"/>
        <v>0</v>
      </c>
      <c r="E69" s="73" t="s">
        <v>555</v>
      </c>
      <c r="F69" s="20" t="str">
        <f t="shared" si="4"/>
        <v>Штаб возглавляет губернатор</v>
      </c>
      <c r="G69" s="20" t="str">
        <f t="shared" si="9"/>
        <v>✔️</v>
      </c>
      <c r="H69" s="20" t="str">
        <f t="shared" si="9"/>
        <v/>
      </c>
      <c r="I69" s="20" t="str">
        <f t="shared" si="9"/>
        <v/>
      </c>
      <c r="J69" s="20" t="str">
        <f t="shared" si="9"/>
        <v/>
      </c>
      <c r="K69" s="21"/>
      <c r="L69" s="21"/>
      <c r="M69" s="21"/>
      <c r="N69" s="22"/>
      <c r="O69" s="22"/>
      <c r="P69" s="22"/>
      <c r="Q69" s="22"/>
      <c r="R69" s="23"/>
      <c r="S69" s="23"/>
      <c r="T69" s="9"/>
      <c r="V69" s="25"/>
    </row>
    <row r="70" spans="2:22" ht="15.6">
      <c r="B70" s="12" t="s">
        <v>57</v>
      </c>
      <c r="C70" s="20">
        <f t="shared" si="2"/>
        <v>1</v>
      </c>
      <c r="D70" s="20">
        <f t="shared" si="3"/>
        <v>1</v>
      </c>
      <c r="E70" s="73" t="s">
        <v>589</v>
      </c>
      <c r="F70" s="20" t="str">
        <f t="shared" si="4"/>
        <v>Штаб не создан в связи с выборами</v>
      </c>
      <c r="G70" s="20" t="str">
        <f t="shared" si="9"/>
        <v/>
      </c>
      <c r="H70" s="20" t="str">
        <f t="shared" si="9"/>
        <v/>
      </c>
      <c r="I70" s="20" t="str">
        <f t="shared" si="9"/>
        <v>✔️</v>
      </c>
      <c r="J70" s="20" t="str">
        <f t="shared" si="9"/>
        <v/>
      </c>
      <c r="K70" s="21"/>
      <c r="L70" s="21"/>
      <c r="M70" s="21"/>
      <c r="N70" s="22"/>
      <c r="O70" s="22"/>
      <c r="P70" s="22"/>
      <c r="Q70" s="22"/>
      <c r="R70" s="23"/>
      <c r="S70" s="23"/>
      <c r="T70" s="9"/>
      <c r="V70" s="25"/>
    </row>
    <row r="71" spans="2:22" ht="15.6">
      <c r="B71" s="12" t="s">
        <v>58</v>
      </c>
      <c r="C71" s="20">
        <f t="shared" si="2"/>
        <v>0</v>
      </c>
      <c r="D71" s="20">
        <f t="shared" si="3"/>
        <v>0</v>
      </c>
      <c r="E71" s="73" t="s">
        <v>555</v>
      </c>
      <c r="F71" s="20" t="str">
        <f t="shared" si="4"/>
        <v>Штаб возглавляет губернатор</v>
      </c>
      <c r="G71" s="20" t="str">
        <f t="shared" si="9"/>
        <v>✔️</v>
      </c>
      <c r="H71" s="20" t="str">
        <f t="shared" si="9"/>
        <v/>
      </c>
      <c r="I71" s="20" t="str">
        <f t="shared" si="9"/>
        <v/>
      </c>
      <c r="J71" s="20" t="str">
        <f t="shared" si="9"/>
        <v/>
      </c>
      <c r="K71" s="21"/>
      <c r="L71" s="21"/>
      <c r="M71" s="21"/>
      <c r="N71" s="22"/>
      <c r="O71" s="22"/>
      <c r="P71" s="22"/>
      <c r="Q71" s="22"/>
      <c r="R71" s="23"/>
      <c r="S71" s="23"/>
      <c r="T71" s="9"/>
      <c r="V71" s="25"/>
    </row>
    <row r="72" spans="2:22" ht="15.6">
      <c r="B72" s="12" t="s">
        <v>59</v>
      </c>
      <c r="C72" s="20">
        <f t="shared" si="2"/>
        <v>1</v>
      </c>
      <c r="D72" s="20">
        <f t="shared" si="3"/>
        <v>1</v>
      </c>
      <c r="E72" s="73" t="s">
        <v>590</v>
      </c>
      <c r="F72" s="20" t="str">
        <f t="shared" si="4"/>
        <v>Штаб возглавляет не губернатор</v>
      </c>
      <c r="G72" s="20" t="str">
        <f t="shared" si="9"/>
        <v/>
      </c>
      <c r="H72" s="20" t="str">
        <f t="shared" si="9"/>
        <v>✔️</v>
      </c>
      <c r="I72" s="20" t="str">
        <f t="shared" si="9"/>
        <v/>
      </c>
      <c r="J72" s="20" t="str">
        <f t="shared" si="9"/>
        <v/>
      </c>
      <c r="K72" s="21"/>
      <c r="L72" s="21"/>
      <c r="M72" s="21"/>
      <c r="N72" s="22"/>
      <c r="O72" s="22"/>
      <c r="P72" s="22"/>
      <c r="Q72" s="22"/>
      <c r="R72" s="23"/>
      <c r="S72" s="23"/>
      <c r="T72" s="9"/>
      <c r="V72" s="25"/>
    </row>
    <row r="73" spans="2:22" ht="15.6">
      <c r="B73" s="12" t="s">
        <v>60</v>
      </c>
      <c r="C73" s="20">
        <f t="shared" si="2"/>
        <v>0</v>
      </c>
      <c r="D73" s="20">
        <f t="shared" si="3"/>
        <v>0</v>
      </c>
      <c r="E73" s="73" t="s">
        <v>555</v>
      </c>
      <c r="F73" s="20" t="str">
        <f t="shared" si="4"/>
        <v>Штаб возглавляет губернатор</v>
      </c>
      <c r="G73" s="20" t="str">
        <f t="shared" si="9"/>
        <v>✔️</v>
      </c>
      <c r="H73" s="20" t="str">
        <f t="shared" si="9"/>
        <v/>
      </c>
      <c r="I73" s="20" t="str">
        <f t="shared" si="9"/>
        <v/>
      </c>
      <c r="J73" s="20" t="str">
        <f t="shared" si="9"/>
        <v/>
      </c>
      <c r="K73" s="21"/>
      <c r="L73" s="21"/>
      <c r="M73" s="21"/>
      <c r="N73" s="22"/>
      <c r="O73" s="22"/>
      <c r="P73" s="22"/>
      <c r="Q73" s="22"/>
      <c r="R73" s="23"/>
      <c r="S73" s="23"/>
      <c r="T73" s="9"/>
      <c r="V73" s="25"/>
    </row>
    <row r="74" spans="2:22" ht="15.6">
      <c r="B74" s="12" t="s">
        <v>61</v>
      </c>
      <c r="C74" s="20">
        <f t="shared" si="2"/>
        <v>0</v>
      </c>
      <c r="D74" s="20">
        <f t="shared" si="3"/>
        <v>0</v>
      </c>
      <c r="E74" s="73" t="s">
        <v>555</v>
      </c>
      <c r="F74" s="20" t="str">
        <f t="shared" si="4"/>
        <v>Штаб возглавляет губернатор</v>
      </c>
      <c r="G74" s="20" t="str">
        <f t="shared" si="9"/>
        <v>✔️</v>
      </c>
      <c r="H74" s="20" t="str">
        <f t="shared" si="9"/>
        <v/>
      </c>
      <c r="I74" s="20" t="str">
        <f t="shared" si="9"/>
        <v/>
      </c>
      <c r="J74" s="20" t="str">
        <f t="shared" si="9"/>
        <v/>
      </c>
      <c r="K74" s="21"/>
      <c r="L74" s="21"/>
      <c r="M74" s="21"/>
      <c r="N74" s="22"/>
      <c r="O74" s="22"/>
      <c r="P74" s="22"/>
      <c r="Q74" s="22"/>
      <c r="R74" s="23"/>
      <c r="S74" s="23"/>
      <c r="T74" s="9"/>
      <c r="V74" s="25"/>
    </row>
    <row r="75" spans="2:22" ht="15.6">
      <c r="B75" s="12" t="s">
        <v>62</v>
      </c>
      <c r="C75" s="20">
        <f t="shared" si="2"/>
        <v>1</v>
      </c>
      <c r="D75" s="20">
        <f t="shared" si="3"/>
        <v>1</v>
      </c>
      <c r="E75" s="73" t="s">
        <v>590</v>
      </c>
      <c r="F75" s="20" t="str">
        <f t="shared" si="4"/>
        <v>Штаб возглавляет не губернатор</v>
      </c>
      <c r="G75" s="20" t="str">
        <f t="shared" si="9"/>
        <v/>
      </c>
      <c r="H75" s="20" t="str">
        <f t="shared" si="9"/>
        <v>✔️</v>
      </c>
      <c r="I75" s="20" t="str">
        <f t="shared" si="9"/>
        <v/>
      </c>
      <c r="J75" s="20" t="str">
        <f t="shared" si="9"/>
        <v/>
      </c>
      <c r="K75" s="21"/>
      <c r="L75" s="21"/>
      <c r="M75" s="21"/>
      <c r="N75" s="22"/>
      <c r="O75" s="22"/>
      <c r="P75" s="22"/>
      <c r="Q75" s="22"/>
      <c r="R75" s="23"/>
      <c r="S75" s="23"/>
      <c r="T75" s="9"/>
      <c r="V75" s="25"/>
    </row>
    <row r="76" spans="2:22" ht="15.6">
      <c r="B76" s="12" t="s">
        <v>63</v>
      </c>
      <c r="C76" s="20">
        <f t="shared" si="2"/>
        <v>1</v>
      </c>
      <c r="D76" s="20">
        <f t="shared" si="3"/>
        <v>1</v>
      </c>
      <c r="E76" s="73" t="s">
        <v>590</v>
      </c>
      <c r="F76" s="20" t="str">
        <f t="shared" si="4"/>
        <v>Штаб возглавляет не губернатор</v>
      </c>
      <c r="G76" s="20" t="str">
        <f t="shared" si="9"/>
        <v/>
      </c>
      <c r="H76" s="20" t="str">
        <f t="shared" si="9"/>
        <v>✔️</v>
      </c>
      <c r="I76" s="20" t="str">
        <f t="shared" si="9"/>
        <v/>
      </c>
      <c r="J76" s="20" t="str">
        <f t="shared" si="9"/>
        <v/>
      </c>
      <c r="K76" s="21"/>
      <c r="L76" s="21"/>
      <c r="M76" s="21"/>
      <c r="N76" s="22"/>
      <c r="O76" s="22"/>
      <c r="P76" s="22"/>
      <c r="Q76" s="22"/>
      <c r="R76" s="23"/>
      <c r="S76" s="23"/>
      <c r="T76" s="9"/>
      <c r="V76" s="25"/>
    </row>
    <row r="77" spans="2:22" ht="15.6">
      <c r="B77" s="12" t="s">
        <v>64</v>
      </c>
      <c r="C77" s="20">
        <f t="shared" si="2"/>
        <v>2</v>
      </c>
      <c r="D77" s="20">
        <f t="shared" si="3"/>
        <v>2</v>
      </c>
      <c r="E77" s="73" t="s">
        <v>556</v>
      </c>
      <c r="F77" s="20" t="str">
        <f t="shared" si="4"/>
        <v>Штаб не создан</v>
      </c>
      <c r="G77" s="20" t="str">
        <f t="shared" si="9"/>
        <v/>
      </c>
      <c r="H77" s="20" t="str">
        <f t="shared" si="9"/>
        <v/>
      </c>
      <c r="I77" s="20" t="str">
        <f t="shared" si="9"/>
        <v/>
      </c>
      <c r="J77" s="20" t="str">
        <f t="shared" si="9"/>
        <v>✔️</v>
      </c>
      <c r="K77" s="21"/>
      <c r="L77" s="21"/>
      <c r="M77" s="21"/>
      <c r="N77" s="22"/>
      <c r="O77" s="22"/>
      <c r="P77" s="22"/>
      <c r="Q77" s="22"/>
      <c r="R77" s="23"/>
      <c r="S77" s="23"/>
      <c r="T77" s="9"/>
      <c r="V77" s="25"/>
    </row>
    <row r="78" spans="2:22" ht="15.6">
      <c r="B78" s="12" t="s">
        <v>65</v>
      </c>
      <c r="C78" s="20">
        <f t="shared" si="2"/>
        <v>1</v>
      </c>
      <c r="D78" s="20">
        <f t="shared" si="3"/>
        <v>1</v>
      </c>
      <c r="E78" s="73" t="s">
        <v>590</v>
      </c>
      <c r="F78" s="20" t="str">
        <f t="shared" si="4"/>
        <v>Штаб возглавляет не губернатор</v>
      </c>
      <c r="G78" s="20" t="str">
        <f t="shared" si="9"/>
        <v/>
      </c>
      <c r="H78" s="20" t="str">
        <f t="shared" si="9"/>
        <v>✔️</v>
      </c>
      <c r="I78" s="20" t="str">
        <f t="shared" si="9"/>
        <v/>
      </c>
      <c r="J78" s="20" t="str">
        <f t="shared" si="9"/>
        <v/>
      </c>
      <c r="K78" s="21"/>
      <c r="L78" s="21"/>
      <c r="M78" s="21"/>
      <c r="N78" s="22"/>
      <c r="O78" s="22"/>
      <c r="P78" s="22"/>
      <c r="Q78" s="22"/>
      <c r="R78" s="23"/>
      <c r="S78" s="23"/>
      <c r="T78" s="9"/>
      <c r="V78" s="25"/>
    </row>
    <row r="79" spans="2:22" ht="15.6">
      <c r="B79" s="12" t="s">
        <v>66</v>
      </c>
      <c r="C79" s="20">
        <f t="shared" si="2"/>
        <v>2</v>
      </c>
      <c r="D79" s="20">
        <f t="shared" si="3"/>
        <v>2</v>
      </c>
      <c r="E79" s="73" t="s">
        <v>556</v>
      </c>
      <c r="F79" s="20" t="str">
        <f t="shared" si="4"/>
        <v>Штаб не создан</v>
      </c>
      <c r="G79" s="20" t="str">
        <f t="shared" si="9"/>
        <v/>
      </c>
      <c r="H79" s="20" t="str">
        <f t="shared" si="9"/>
        <v/>
      </c>
      <c r="I79" s="20" t="str">
        <f t="shared" si="9"/>
        <v/>
      </c>
      <c r="J79" s="20" t="str">
        <f t="shared" si="9"/>
        <v>✔️</v>
      </c>
      <c r="K79" s="21"/>
      <c r="L79" s="21"/>
      <c r="M79" s="21"/>
      <c r="N79" s="22"/>
      <c r="O79" s="22"/>
      <c r="P79" s="22"/>
      <c r="Q79" s="22"/>
      <c r="R79" s="23"/>
      <c r="S79" s="23"/>
      <c r="T79" s="9"/>
      <c r="V79" s="25"/>
    </row>
    <row r="80" spans="2:22" ht="15.6">
      <c r="B80" s="12" t="s">
        <v>67</v>
      </c>
      <c r="C80" s="20">
        <f t="shared" si="2"/>
        <v>0</v>
      </c>
      <c r="D80" s="20">
        <f t="shared" si="3"/>
        <v>0</v>
      </c>
      <c r="E80" s="73" t="s">
        <v>555</v>
      </c>
      <c r="F80" s="20" t="str">
        <f t="shared" si="4"/>
        <v>Штаб возглавляет губернатор</v>
      </c>
      <c r="G80" s="20" t="str">
        <f t="shared" si="9"/>
        <v>✔️</v>
      </c>
      <c r="H80" s="20" t="str">
        <f t="shared" si="9"/>
        <v/>
      </c>
      <c r="I80" s="20" t="str">
        <f t="shared" si="9"/>
        <v/>
      </c>
      <c r="J80" s="20" t="str">
        <f t="shared" si="9"/>
        <v/>
      </c>
      <c r="K80" s="21"/>
      <c r="L80" s="21"/>
      <c r="M80" s="21"/>
      <c r="N80" s="22"/>
      <c r="O80" s="22"/>
      <c r="P80" s="22"/>
      <c r="Q80" s="22"/>
      <c r="R80" s="23"/>
      <c r="S80" s="23"/>
      <c r="T80" s="9"/>
      <c r="V80" s="25"/>
    </row>
    <row r="81" spans="2:22" ht="15.6">
      <c r="B81" s="12" t="s">
        <v>68</v>
      </c>
      <c r="C81" s="20">
        <f t="shared" si="2"/>
        <v>0</v>
      </c>
      <c r="D81" s="20">
        <f t="shared" ref="D81:D104" si="10">IF(E81=$E$106,0,IF(OR(E81=$E$107,E81=$E$108),1,2))</f>
        <v>0</v>
      </c>
      <c r="E81" s="73" t="s">
        <v>555</v>
      </c>
      <c r="F81" s="20" t="str">
        <f t="shared" ref="F81:F104" si="11">IF(E81=$E$106,"Штаб возглавляет губернатор",IF(E81=$E$107,"Штаб возглавляет не губернатор",IF(E81=$E$108,"Штаб не создан в связи с выборами","Штаб не создан")))</f>
        <v>Штаб возглавляет губернатор</v>
      </c>
      <c r="G81" s="20" t="str">
        <f t="shared" ref="G81:J104" si="12">IF($E81=G$14,"✔️","")</f>
        <v>✔️</v>
      </c>
      <c r="H81" s="20" t="str">
        <f t="shared" si="12"/>
        <v/>
      </c>
      <c r="I81" s="20" t="str">
        <f t="shared" si="12"/>
        <v/>
      </c>
      <c r="J81" s="20" t="str">
        <f t="shared" si="12"/>
        <v/>
      </c>
      <c r="K81" s="21"/>
      <c r="L81" s="21"/>
      <c r="M81" s="21"/>
      <c r="N81" s="22"/>
      <c r="O81" s="22"/>
      <c r="P81" s="22"/>
      <c r="Q81" s="22"/>
      <c r="R81" s="23"/>
      <c r="S81" s="23"/>
      <c r="T81" s="9"/>
      <c r="V81" s="25"/>
    </row>
    <row r="82" spans="2:22" ht="15.6">
      <c r="B82" s="12" t="s">
        <v>69</v>
      </c>
      <c r="C82" s="20">
        <f t="shared" si="2"/>
        <v>2</v>
      </c>
      <c r="D82" s="20">
        <f t="shared" si="10"/>
        <v>2</v>
      </c>
      <c r="E82" s="73" t="s">
        <v>556</v>
      </c>
      <c r="F82" s="20" t="str">
        <f t="shared" si="11"/>
        <v>Штаб не создан</v>
      </c>
      <c r="G82" s="20" t="str">
        <f t="shared" si="12"/>
        <v/>
      </c>
      <c r="H82" s="20" t="str">
        <f t="shared" si="12"/>
        <v/>
      </c>
      <c r="I82" s="20" t="str">
        <f t="shared" si="12"/>
        <v/>
      </c>
      <c r="J82" s="20" t="str">
        <f t="shared" si="12"/>
        <v>✔️</v>
      </c>
      <c r="K82" s="21"/>
      <c r="L82" s="21"/>
      <c r="M82" s="21"/>
      <c r="N82" s="22"/>
      <c r="O82" s="22"/>
      <c r="P82" s="22"/>
      <c r="Q82" s="22"/>
      <c r="R82" s="23"/>
      <c r="S82" s="23"/>
      <c r="T82" s="9"/>
      <c r="V82" s="25"/>
    </row>
    <row r="83" spans="2:22" ht="15.6">
      <c r="B83" s="12" t="s">
        <v>70</v>
      </c>
      <c r="C83" s="20">
        <f t="shared" si="2"/>
        <v>1</v>
      </c>
      <c r="D83" s="20">
        <f t="shared" si="10"/>
        <v>1</v>
      </c>
      <c r="E83" s="73" t="s">
        <v>590</v>
      </c>
      <c r="F83" s="20" t="str">
        <f t="shared" si="11"/>
        <v>Штаб возглавляет не губернатор</v>
      </c>
      <c r="G83" s="20" t="str">
        <f t="shared" si="12"/>
        <v/>
      </c>
      <c r="H83" s="20" t="str">
        <f t="shared" si="12"/>
        <v>✔️</v>
      </c>
      <c r="I83" s="20" t="str">
        <f t="shared" si="12"/>
        <v/>
      </c>
      <c r="J83" s="20" t="str">
        <f t="shared" si="12"/>
        <v/>
      </c>
      <c r="K83" s="21"/>
      <c r="L83" s="21"/>
      <c r="M83" s="21"/>
      <c r="N83" s="22"/>
      <c r="O83" s="22"/>
      <c r="P83" s="22"/>
      <c r="Q83" s="22"/>
      <c r="R83" s="23"/>
      <c r="S83" s="23"/>
      <c r="T83" s="9"/>
      <c r="V83" s="25"/>
    </row>
    <row r="84" spans="2:22" ht="15.6">
      <c r="B84" s="12" t="s">
        <v>71</v>
      </c>
      <c r="C84" s="20">
        <f t="shared" ref="C84:C104" si="13">IF(OR(G84=2,D84&gt;$D$8),2,IF(OR(G84=1,D84&gt;$D$9),1,0))</f>
        <v>2</v>
      </c>
      <c r="D84" s="20">
        <f t="shared" si="10"/>
        <v>2</v>
      </c>
      <c r="E84" s="73" t="s">
        <v>556</v>
      </c>
      <c r="F84" s="20" t="str">
        <f t="shared" si="11"/>
        <v>Штаб не создан</v>
      </c>
      <c r="G84" s="20" t="str">
        <f t="shared" si="12"/>
        <v/>
      </c>
      <c r="H84" s="20" t="str">
        <f t="shared" si="12"/>
        <v/>
      </c>
      <c r="I84" s="20" t="str">
        <f t="shared" si="12"/>
        <v/>
      </c>
      <c r="J84" s="20" t="str">
        <f t="shared" si="12"/>
        <v>✔️</v>
      </c>
      <c r="K84" s="21"/>
      <c r="L84" s="21"/>
      <c r="M84" s="21"/>
      <c r="N84" s="22"/>
      <c r="O84" s="22"/>
      <c r="P84" s="22"/>
      <c r="Q84" s="22"/>
      <c r="R84" s="23"/>
      <c r="S84" s="23"/>
      <c r="T84" s="9"/>
      <c r="V84" s="25"/>
    </row>
    <row r="85" spans="2:22" ht="15.6">
      <c r="B85" s="12" t="s">
        <v>72</v>
      </c>
      <c r="C85" s="20">
        <f t="shared" si="13"/>
        <v>0</v>
      </c>
      <c r="D85" s="20">
        <f t="shared" si="10"/>
        <v>0</v>
      </c>
      <c r="E85" s="73" t="s">
        <v>555</v>
      </c>
      <c r="F85" s="20" t="str">
        <f t="shared" si="11"/>
        <v>Штаб возглавляет губернатор</v>
      </c>
      <c r="G85" s="20" t="str">
        <f t="shared" si="12"/>
        <v>✔️</v>
      </c>
      <c r="H85" s="20" t="str">
        <f t="shared" si="12"/>
        <v/>
      </c>
      <c r="I85" s="20" t="str">
        <f t="shared" si="12"/>
        <v/>
      </c>
      <c r="J85" s="20" t="str">
        <f t="shared" si="12"/>
        <v/>
      </c>
      <c r="K85" s="21"/>
      <c r="L85" s="21"/>
      <c r="M85" s="21"/>
      <c r="N85" s="22"/>
      <c r="O85" s="22"/>
      <c r="P85" s="22"/>
      <c r="Q85" s="22"/>
      <c r="R85" s="23"/>
      <c r="S85" s="23"/>
      <c r="T85" s="9"/>
      <c r="V85" s="25"/>
    </row>
    <row r="86" spans="2:22" ht="15.6">
      <c r="B86" s="12" t="s">
        <v>73</v>
      </c>
      <c r="C86" s="20">
        <f t="shared" si="13"/>
        <v>1</v>
      </c>
      <c r="D86" s="20">
        <f t="shared" si="10"/>
        <v>1</v>
      </c>
      <c r="E86" s="73" t="s">
        <v>590</v>
      </c>
      <c r="F86" s="20" t="str">
        <f t="shared" si="11"/>
        <v>Штаб возглавляет не губернатор</v>
      </c>
      <c r="G86" s="20" t="str">
        <f t="shared" si="12"/>
        <v/>
      </c>
      <c r="H86" s="20" t="str">
        <f t="shared" si="12"/>
        <v>✔️</v>
      </c>
      <c r="I86" s="20" t="str">
        <f t="shared" si="12"/>
        <v/>
      </c>
      <c r="J86" s="20" t="str">
        <f t="shared" si="12"/>
        <v/>
      </c>
      <c r="K86" s="21"/>
      <c r="L86" s="21"/>
      <c r="M86" s="21"/>
      <c r="N86" s="22"/>
      <c r="O86" s="22"/>
      <c r="P86" s="22"/>
      <c r="Q86" s="22"/>
      <c r="R86" s="23"/>
      <c r="S86" s="23"/>
      <c r="T86" s="9"/>
      <c r="V86" s="25"/>
    </row>
    <row r="87" spans="2:22" ht="15.6">
      <c r="B87" s="12" t="s">
        <v>74</v>
      </c>
      <c r="C87" s="20">
        <f t="shared" si="13"/>
        <v>2</v>
      </c>
      <c r="D87" s="20">
        <f t="shared" si="10"/>
        <v>2</v>
      </c>
      <c r="E87" s="73" t="s">
        <v>556</v>
      </c>
      <c r="F87" s="20" t="str">
        <f t="shared" si="11"/>
        <v>Штаб не создан</v>
      </c>
      <c r="G87" s="20" t="str">
        <f t="shared" si="12"/>
        <v/>
      </c>
      <c r="H87" s="20" t="str">
        <f t="shared" si="12"/>
        <v/>
      </c>
      <c r="I87" s="20" t="str">
        <f t="shared" si="12"/>
        <v/>
      </c>
      <c r="J87" s="20" t="str">
        <f t="shared" si="12"/>
        <v>✔️</v>
      </c>
      <c r="K87" s="21"/>
      <c r="L87" s="21"/>
      <c r="M87" s="21"/>
      <c r="N87" s="22"/>
      <c r="O87" s="22"/>
      <c r="P87" s="22"/>
      <c r="Q87" s="22"/>
      <c r="R87" s="23"/>
      <c r="S87" s="23"/>
      <c r="T87" s="9"/>
      <c r="V87" s="25"/>
    </row>
    <row r="88" spans="2:22" ht="15.6">
      <c r="B88" s="12" t="s">
        <v>75</v>
      </c>
      <c r="C88" s="20">
        <f t="shared" si="13"/>
        <v>1</v>
      </c>
      <c r="D88" s="20">
        <f t="shared" si="10"/>
        <v>1</v>
      </c>
      <c r="E88" s="73" t="s">
        <v>589</v>
      </c>
      <c r="F88" s="20" t="str">
        <f t="shared" si="11"/>
        <v>Штаб не создан в связи с выборами</v>
      </c>
      <c r="G88" s="20" t="str">
        <f t="shared" si="12"/>
        <v/>
      </c>
      <c r="H88" s="20" t="str">
        <f t="shared" si="12"/>
        <v/>
      </c>
      <c r="I88" s="20" t="str">
        <f t="shared" si="12"/>
        <v>✔️</v>
      </c>
      <c r="J88" s="20" t="str">
        <f t="shared" si="12"/>
        <v/>
      </c>
      <c r="K88" s="21"/>
      <c r="L88" s="21"/>
      <c r="M88" s="21"/>
      <c r="N88" s="22"/>
      <c r="O88" s="22"/>
      <c r="P88" s="22"/>
      <c r="Q88" s="22"/>
      <c r="R88" s="23"/>
      <c r="S88" s="23"/>
      <c r="T88" s="9"/>
      <c r="V88" s="25"/>
    </row>
    <row r="89" spans="2:22" ht="15.6">
      <c r="B89" s="12" t="s">
        <v>76</v>
      </c>
      <c r="C89" s="20">
        <f t="shared" si="13"/>
        <v>0</v>
      </c>
      <c r="D89" s="20">
        <f t="shared" si="10"/>
        <v>0</v>
      </c>
      <c r="E89" s="73" t="s">
        <v>555</v>
      </c>
      <c r="F89" s="20" t="str">
        <f t="shared" si="11"/>
        <v>Штаб возглавляет губернатор</v>
      </c>
      <c r="G89" s="20" t="str">
        <f t="shared" si="12"/>
        <v>✔️</v>
      </c>
      <c r="H89" s="20" t="str">
        <f t="shared" si="12"/>
        <v/>
      </c>
      <c r="I89" s="20" t="str">
        <f t="shared" si="12"/>
        <v/>
      </c>
      <c r="J89" s="20" t="str">
        <f t="shared" si="12"/>
        <v/>
      </c>
      <c r="K89" s="21"/>
      <c r="L89" s="21"/>
      <c r="M89" s="21"/>
      <c r="N89" s="22"/>
      <c r="O89" s="22"/>
      <c r="P89" s="22"/>
      <c r="Q89" s="22"/>
      <c r="R89" s="23"/>
      <c r="S89" s="23"/>
      <c r="T89" s="9"/>
      <c r="V89" s="25"/>
    </row>
    <row r="90" spans="2:22" ht="15.6">
      <c r="B90" s="12" t="s">
        <v>77</v>
      </c>
      <c r="C90" s="20">
        <f t="shared" si="13"/>
        <v>1</v>
      </c>
      <c r="D90" s="20">
        <f t="shared" si="10"/>
        <v>1</v>
      </c>
      <c r="E90" s="73" t="s">
        <v>590</v>
      </c>
      <c r="F90" s="20" t="str">
        <f t="shared" si="11"/>
        <v>Штаб возглавляет не губернатор</v>
      </c>
      <c r="G90" s="20" t="str">
        <f t="shared" si="12"/>
        <v/>
      </c>
      <c r="H90" s="20" t="str">
        <f t="shared" si="12"/>
        <v>✔️</v>
      </c>
      <c r="I90" s="20" t="str">
        <f t="shared" si="12"/>
        <v/>
      </c>
      <c r="J90" s="20" t="str">
        <f t="shared" si="12"/>
        <v/>
      </c>
      <c r="K90" s="21"/>
      <c r="L90" s="21"/>
      <c r="M90" s="21"/>
      <c r="N90" s="22"/>
      <c r="O90" s="22"/>
      <c r="P90" s="22"/>
      <c r="Q90" s="22"/>
      <c r="R90" s="23"/>
      <c r="S90" s="23"/>
      <c r="T90" s="9"/>
      <c r="V90" s="25"/>
    </row>
    <row r="91" spans="2:22" ht="15.6">
      <c r="B91" s="12" t="s">
        <v>78</v>
      </c>
      <c r="C91" s="20">
        <f t="shared" si="13"/>
        <v>1</v>
      </c>
      <c r="D91" s="20">
        <f t="shared" si="10"/>
        <v>1</v>
      </c>
      <c r="E91" s="73" t="s">
        <v>590</v>
      </c>
      <c r="F91" s="20" t="str">
        <f t="shared" si="11"/>
        <v>Штаб возглавляет не губернатор</v>
      </c>
      <c r="G91" s="20" t="str">
        <f t="shared" si="12"/>
        <v/>
      </c>
      <c r="H91" s="20" t="str">
        <f t="shared" si="12"/>
        <v>✔️</v>
      </c>
      <c r="I91" s="20" t="str">
        <f t="shared" si="12"/>
        <v/>
      </c>
      <c r="J91" s="20" t="str">
        <f t="shared" si="12"/>
        <v/>
      </c>
      <c r="K91" s="21"/>
      <c r="L91" s="21"/>
      <c r="M91" s="21"/>
      <c r="N91" s="22"/>
      <c r="O91" s="22"/>
      <c r="P91" s="22"/>
      <c r="Q91" s="22"/>
      <c r="R91" s="23"/>
      <c r="S91" s="23"/>
      <c r="T91" s="9"/>
      <c r="V91" s="25"/>
    </row>
    <row r="92" spans="2:22" ht="15.6">
      <c r="B92" s="12" t="s">
        <v>79</v>
      </c>
      <c r="C92" s="20">
        <f t="shared" si="13"/>
        <v>1</v>
      </c>
      <c r="D92" s="20">
        <f t="shared" si="10"/>
        <v>1</v>
      </c>
      <c r="E92" s="73" t="s">
        <v>590</v>
      </c>
      <c r="F92" s="20" t="str">
        <f t="shared" si="11"/>
        <v>Штаб возглавляет не губернатор</v>
      </c>
      <c r="G92" s="20" t="str">
        <f t="shared" si="12"/>
        <v/>
      </c>
      <c r="H92" s="20" t="str">
        <f t="shared" si="12"/>
        <v>✔️</v>
      </c>
      <c r="I92" s="20" t="str">
        <f t="shared" si="12"/>
        <v/>
      </c>
      <c r="J92" s="20" t="str">
        <f t="shared" si="12"/>
        <v/>
      </c>
      <c r="K92" s="21"/>
      <c r="L92" s="21"/>
      <c r="M92" s="21"/>
      <c r="N92" s="22"/>
      <c r="O92" s="22"/>
      <c r="P92" s="22"/>
      <c r="Q92" s="22"/>
      <c r="R92" s="23"/>
      <c r="S92" s="23"/>
      <c r="T92" s="9"/>
      <c r="V92" s="25"/>
    </row>
    <row r="93" spans="2:22" ht="15.6">
      <c r="B93" s="12" t="s">
        <v>80</v>
      </c>
      <c r="C93" s="20">
        <f t="shared" si="13"/>
        <v>0</v>
      </c>
      <c r="D93" s="20">
        <f t="shared" si="10"/>
        <v>0</v>
      </c>
      <c r="E93" s="73" t="s">
        <v>555</v>
      </c>
      <c r="F93" s="20" t="str">
        <f t="shared" si="11"/>
        <v>Штаб возглавляет губернатор</v>
      </c>
      <c r="G93" s="20" t="str">
        <f t="shared" si="12"/>
        <v>✔️</v>
      </c>
      <c r="H93" s="20" t="str">
        <f t="shared" si="12"/>
        <v/>
      </c>
      <c r="I93" s="20" t="str">
        <f t="shared" si="12"/>
        <v/>
      </c>
      <c r="J93" s="20" t="str">
        <f t="shared" si="12"/>
        <v/>
      </c>
      <c r="K93" s="21"/>
      <c r="L93" s="21"/>
      <c r="M93" s="21"/>
      <c r="N93" s="22"/>
      <c r="O93" s="22"/>
      <c r="P93" s="22"/>
      <c r="Q93" s="22"/>
      <c r="R93" s="23"/>
      <c r="S93" s="23"/>
      <c r="T93" s="9"/>
      <c r="V93" s="25"/>
    </row>
    <row r="94" spans="2:22" ht="15.6">
      <c r="B94" s="12" t="s">
        <v>81</v>
      </c>
      <c r="C94" s="20">
        <f t="shared" si="13"/>
        <v>2</v>
      </c>
      <c r="D94" s="20">
        <f t="shared" si="10"/>
        <v>2</v>
      </c>
      <c r="E94" s="73" t="s">
        <v>556</v>
      </c>
      <c r="F94" s="20" t="str">
        <f t="shared" si="11"/>
        <v>Штаб не создан</v>
      </c>
      <c r="G94" s="20" t="str">
        <f t="shared" si="12"/>
        <v/>
      </c>
      <c r="H94" s="20" t="str">
        <f t="shared" si="12"/>
        <v/>
      </c>
      <c r="I94" s="20" t="str">
        <f t="shared" si="12"/>
        <v/>
      </c>
      <c r="J94" s="20" t="str">
        <f t="shared" si="12"/>
        <v>✔️</v>
      </c>
      <c r="K94" s="21"/>
      <c r="L94" s="21"/>
      <c r="M94" s="21"/>
      <c r="N94" s="22"/>
      <c r="O94" s="22"/>
      <c r="P94" s="22"/>
      <c r="Q94" s="22"/>
      <c r="R94" s="23"/>
      <c r="S94" s="23"/>
      <c r="T94" s="9"/>
      <c r="V94" s="25"/>
    </row>
    <row r="95" spans="2:22" ht="15.6">
      <c r="B95" s="12" t="s">
        <v>82</v>
      </c>
      <c r="C95" s="20">
        <f t="shared" si="13"/>
        <v>0</v>
      </c>
      <c r="D95" s="20">
        <f t="shared" si="10"/>
        <v>0</v>
      </c>
      <c r="E95" s="73" t="s">
        <v>555</v>
      </c>
      <c r="F95" s="20" t="str">
        <f t="shared" si="11"/>
        <v>Штаб возглавляет губернатор</v>
      </c>
      <c r="G95" s="20" t="str">
        <f t="shared" si="12"/>
        <v>✔️</v>
      </c>
      <c r="H95" s="20" t="str">
        <f t="shared" si="12"/>
        <v/>
      </c>
      <c r="I95" s="20" t="str">
        <f t="shared" si="12"/>
        <v/>
      </c>
      <c r="J95" s="20" t="str">
        <f t="shared" si="12"/>
        <v/>
      </c>
      <c r="K95" s="21"/>
      <c r="L95" s="21"/>
      <c r="M95" s="21"/>
      <c r="N95" s="22"/>
      <c r="O95" s="22"/>
      <c r="P95" s="22"/>
      <c r="Q95" s="22"/>
      <c r="R95" s="23"/>
      <c r="S95" s="23"/>
      <c r="T95" s="9"/>
      <c r="V95" s="25"/>
    </row>
    <row r="96" spans="2:22" ht="15.6">
      <c r="B96" s="12" t="s">
        <v>83</v>
      </c>
      <c r="C96" s="20">
        <f t="shared" si="13"/>
        <v>1</v>
      </c>
      <c r="D96" s="20">
        <f t="shared" si="10"/>
        <v>1</v>
      </c>
      <c r="E96" s="73" t="s">
        <v>589</v>
      </c>
      <c r="F96" s="20" t="str">
        <f t="shared" si="11"/>
        <v>Штаб не создан в связи с выборами</v>
      </c>
      <c r="G96" s="20" t="str">
        <f t="shared" si="12"/>
        <v/>
      </c>
      <c r="H96" s="20" t="str">
        <f t="shared" si="12"/>
        <v/>
      </c>
      <c r="I96" s="20" t="str">
        <f t="shared" si="12"/>
        <v>✔️</v>
      </c>
      <c r="J96" s="20" t="str">
        <f t="shared" si="12"/>
        <v/>
      </c>
      <c r="K96" s="21"/>
      <c r="L96" s="21"/>
      <c r="M96" s="21"/>
      <c r="N96" s="22"/>
      <c r="O96" s="22"/>
      <c r="P96" s="22"/>
      <c r="Q96" s="22"/>
      <c r="R96" s="23"/>
      <c r="S96" s="23"/>
      <c r="T96" s="9"/>
      <c r="V96" s="25"/>
    </row>
    <row r="97" spans="2:22" ht="15.6">
      <c r="B97" s="12" t="s">
        <v>84</v>
      </c>
      <c r="C97" s="20">
        <f t="shared" si="13"/>
        <v>0</v>
      </c>
      <c r="D97" s="20">
        <f t="shared" si="10"/>
        <v>0</v>
      </c>
      <c r="E97" s="73" t="s">
        <v>555</v>
      </c>
      <c r="F97" s="20" t="str">
        <f t="shared" si="11"/>
        <v>Штаб возглавляет губернатор</v>
      </c>
      <c r="G97" s="20" t="str">
        <f t="shared" si="12"/>
        <v>✔️</v>
      </c>
      <c r="H97" s="20" t="str">
        <f t="shared" si="12"/>
        <v/>
      </c>
      <c r="I97" s="20" t="str">
        <f t="shared" si="12"/>
        <v/>
      </c>
      <c r="J97" s="20" t="str">
        <f t="shared" si="12"/>
        <v/>
      </c>
      <c r="K97" s="21"/>
      <c r="L97" s="21"/>
      <c r="M97" s="21"/>
      <c r="N97" s="22"/>
      <c r="O97" s="22"/>
      <c r="P97" s="22"/>
      <c r="Q97" s="22"/>
      <c r="R97" s="23"/>
      <c r="S97" s="23"/>
      <c r="T97" s="9"/>
      <c r="V97" s="25"/>
    </row>
    <row r="98" spans="2:22" ht="15.6">
      <c r="B98" s="12" t="s">
        <v>166</v>
      </c>
      <c r="C98" s="20">
        <f t="shared" ref="C98" si="14">IF(OR(G98=2,D98&gt;$D$8),2,IF(OR(G98=1,D98&gt;$D$9),1,0))</f>
        <v>2</v>
      </c>
      <c r="D98" s="20">
        <f t="shared" si="10"/>
        <v>2</v>
      </c>
      <c r="E98" s="73" t="s">
        <v>556</v>
      </c>
      <c r="F98" s="20" t="str">
        <f t="shared" si="11"/>
        <v>Штаб не создан</v>
      </c>
      <c r="G98" s="20" t="str">
        <f t="shared" si="12"/>
        <v/>
      </c>
      <c r="H98" s="20" t="str">
        <f t="shared" si="12"/>
        <v/>
      </c>
      <c r="I98" s="20" t="str">
        <f t="shared" si="12"/>
        <v/>
      </c>
      <c r="J98" s="20" t="str">
        <f t="shared" si="12"/>
        <v>✔️</v>
      </c>
      <c r="K98" s="21"/>
      <c r="L98" s="21"/>
      <c r="M98" s="21"/>
      <c r="N98" s="22"/>
      <c r="O98" s="22"/>
      <c r="P98" s="22"/>
      <c r="Q98" s="22"/>
      <c r="R98" s="23"/>
      <c r="S98" s="23"/>
      <c r="T98" s="9"/>
      <c r="V98" s="25"/>
    </row>
    <row r="99" spans="2:22" ht="15.6">
      <c r="B99" s="12" t="s">
        <v>85</v>
      </c>
      <c r="C99" s="20">
        <f t="shared" si="13"/>
        <v>0</v>
      </c>
      <c r="D99" s="20">
        <f t="shared" si="10"/>
        <v>0</v>
      </c>
      <c r="E99" s="73" t="s">
        <v>555</v>
      </c>
      <c r="F99" s="20" t="str">
        <f t="shared" si="11"/>
        <v>Штаб возглавляет губернатор</v>
      </c>
      <c r="G99" s="20" t="str">
        <f t="shared" si="12"/>
        <v>✔️</v>
      </c>
      <c r="H99" s="20" t="str">
        <f t="shared" si="12"/>
        <v/>
      </c>
      <c r="I99" s="20" t="str">
        <f t="shared" si="12"/>
        <v/>
      </c>
      <c r="J99" s="20" t="str">
        <f t="shared" si="12"/>
        <v/>
      </c>
      <c r="K99" s="21"/>
      <c r="L99" s="21"/>
      <c r="M99" s="21"/>
      <c r="N99" s="22"/>
      <c r="O99" s="22"/>
      <c r="P99" s="22"/>
      <c r="Q99" s="22"/>
      <c r="R99" s="23"/>
      <c r="S99" s="23"/>
      <c r="T99" s="9"/>
      <c r="V99" s="25"/>
    </row>
    <row r="100" spans="2:22" ht="15.6">
      <c r="B100" s="12" t="s">
        <v>86</v>
      </c>
      <c r="C100" s="20">
        <f t="shared" si="13"/>
        <v>1</v>
      </c>
      <c r="D100" s="20">
        <f t="shared" si="10"/>
        <v>1</v>
      </c>
      <c r="E100" s="73" t="s">
        <v>590</v>
      </c>
      <c r="F100" s="20" t="str">
        <f t="shared" si="11"/>
        <v>Штаб возглавляет не губернатор</v>
      </c>
      <c r="G100" s="20" t="str">
        <f t="shared" si="12"/>
        <v/>
      </c>
      <c r="H100" s="20" t="str">
        <f t="shared" si="12"/>
        <v>✔️</v>
      </c>
      <c r="I100" s="20" t="str">
        <f t="shared" si="12"/>
        <v/>
      </c>
      <c r="J100" s="20" t="str">
        <f t="shared" si="12"/>
        <v/>
      </c>
      <c r="K100" s="21"/>
      <c r="L100" s="21"/>
      <c r="M100" s="21"/>
      <c r="N100" s="22"/>
      <c r="O100" s="22"/>
      <c r="P100" s="22"/>
      <c r="Q100" s="22"/>
      <c r="R100" s="23"/>
      <c r="S100" s="23"/>
      <c r="T100" s="9"/>
      <c r="V100" s="25"/>
    </row>
    <row r="101" spans="2:22" ht="15.6">
      <c r="B101" s="12" t="s">
        <v>87</v>
      </c>
      <c r="C101" s="20">
        <f t="shared" si="13"/>
        <v>0</v>
      </c>
      <c r="D101" s="20">
        <f t="shared" si="10"/>
        <v>0</v>
      </c>
      <c r="E101" s="73" t="s">
        <v>555</v>
      </c>
      <c r="F101" s="20" t="str">
        <f t="shared" si="11"/>
        <v>Штаб возглавляет губернатор</v>
      </c>
      <c r="G101" s="20" t="str">
        <f t="shared" si="12"/>
        <v>✔️</v>
      </c>
      <c r="H101" s="20" t="str">
        <f t="shared" si="12"/>
        <v/>
      </c>
      <c r="I101" s="20" t="str">
        <f t="shared" si="12"/>
        <v/>
      </c>
      <c r="J101" s="20" t="str">
        <f t="shared" si="12"/>
        <v/>
      </c>
      <c r="K101" s="21"/>
      <c r="L101" s="21"/>
      <c r="M101" s="21"/>
      <c r="N101" s="22"/>
      <c r="O101" s="22"/>
      <c r="P101" s="22"/>
      <c r="Q101" s="22"/>
      <c r="R101" s="23"/>
      <c r="S101" s="23"/>
      <c r="T101" s="9"/>
      <c r="V101" s="25"/>
    </row>
    <row r="102" spans="2:22" ht="15.6">
      <c r="B102" s="12" t="s">
        <v>88</v>
      </c>
      <c r="C102" s="20">
        <f t="shared" si="13"/>
        <v>0</v>
      </c>
      <c r="D102" s="20">
        <f t="shared" si="10"/>
        <v>0</v>
      </c>
      <c r="E102" s="73" t="s">
        <v>555</v>
      </c>
      <c r="F102" s="20" t="str">
        <f t="shared" si="11"/>
        <v>Штаб возглавляет губернатор</v>
      </c>
      <c r="G102" s="20" t="str">
        <f t="shared" si="12"/>
        <v>✔️</v>
      </c>
      <c r="H102" s="20" t="str">
        <f t="shared" si="12"/>
        <v/>
      </c>
      <c r="I102" s="20" t="str">
        <f t="shared" si="12"/>
        <v/>
      </c>
      <c r="J102" s="20" t="str">
        <f t="shared" si="12"/>
        <v/>
      </c>
      <c r="K102" s="21"/>
      <c r="L102" s="21"/>
      <c r="M102" s="21"/>
      <c r="N102" s="22"/>
      <c r="O102" s="22"/>
      <c r="P102" s="22"/>
      <c r="Q102" s="22"/>
      <c r="R102" s="23"/>
      <c r="S102" s="23"/>
      <c r="T102" s="9"/>
      <c r="V102" s="25"/>
    </row>
    <row r="103" spans="2:22" ht="15.6">
      <c r="B103" s="12" t="s">
        <v>89</v>
      </c>
      <c r="C103" s="20">
        <f t="shared" si="13"/>
        <v>0</v>
      </c>
      <c r="D103" s="20">
        <f t="shared" si="10"/>
        <v>0</v>
      </c>
      <c r="E103" s="73" t="s">
        <v>555</v>
      </c>
      <c r="F103" s="20" t="str">
        <f t="shared" si="11"/>
        <v>Штаб возглавляет губернатор</v>
      </c>
      <c r="G103" s="20" t="str">
        <f t="shared" si="12"/>
        <v>✔️</v>
      </c>
      <c r="H103" s="20" t="str">
        <f t="shared" si="12"/>
        <v/>
      </c>
      <c r="I103" s="20" t="str">
        <f t="shared" si="12"/>
        <v/>
      </c>
      <c r="J103" s="20" t="str">
        <f t="shared" si="12"/>
        <v/>
      </c>
      <c r="K103" s="21"/>
      <c r="L103" s="21"/>
      <c r="M103" s="21"/>
      <c r="N103" s="22"/>
      <c r="O103" s="22"/>
      <c r="P103" s="22"/>
      <c r="Q103" s="22"/>
      <c r="R103" s="23"/>
      <c r="S103" s="23"/>
      <c r="T103" s="9"/>
      <c r="V103" s="25"/>
    </row>
    <row r="104" spans="2:22" ht="15.6">
      <c r="B104" s="12" t="s">
        <v>90</v>
      </c>
      <c r="C104" s="20">
        <f t="shared" si="13"/>
        <v>2</v>
      </c>
      <c r="D104" s="20">
        <f t="shared" si="10"/>
        <v>2</v>
      </c>
      <c r="E104" s="73" t="s">
        <v>556</v>
      </c>
      <c r="F104" s="20" t="str">
        <f t="shared" si="11"/>
        <v>Штаб не создан</v>
      </c>
      <c r="G104" s="20" t="str">
        <f t="shared" si="12"/>
        <v/>
      </c>
      <c r="H104" s="20" t="str">
        <f t="shared" si="12"/>
        <v/>
      </c>
      <c r="I104" s="20" t="str">
        <f t="shared" si="12"/>
        <v/>
      </c>
      <c r="J104" s="20" t="str">
        <f t="shared" si="12"/>
        <v>✔️</v>
      </c>
      <c r="K104" s="21"/>
      <c r="L104" s="21"/>
      <c r="M104" s="21"/>
      <c r="N104" s="22"/>
      <c r="O104" s="22"/>
      <c r="P104" s="22"/>
      <c r="Q104" s="22"/>
      <c r="R104" s="23"/>
      <c r="S104" s="23"/>
      <c r="T104" s="9"/>
      <c r="V104" s="25"/>
    </row>
    <row r="106" spans="2:22">
      <c r="E106" s="38" t="s">
        <v>555</v>
      </c>
    </row>
    <row r="107" spans="2:22">
      <c r="B107" s="12"/>
      <c r="E107" s="38" t="s">
        <v>590</v>
      </c>
      <c r="V107" s="12"/>
    </row>
    <row r="108" spans="2:22">
      <c r="B108" s="12"/>
      <c r="E108" s="38" t="s">
        <v>589</v>
      </c>
      <c r="V108" s="12"/>
    </row>
    <row r="109" spans="2:22">
      <c r="E109" s="38" t="s">
        <v>556</v>
      </c>
      <c r="H109" s="17"/>
      <c r="V109" s="12"/>
    </row>
  </sheetData>
  <autoFilter ref="B15:J104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J89"/>
  <sheetViews>
    <sheetView topLeftCell="A16" workbookViewId="0">
      <selection activeCell="C34" sqref="C34"/>
    </sheetView>
  </sheetViews>
  <sheetFormatPr defaultColWidth="8.8984375" defaultRowHeight="15.6"/>
  <cols>
    <col min="1" max="1" width="9" style="269"/>
    <col min="2" max="2" width="28.3984375" style="270" customWidth="1"/>
    <col min="3" max="3" width="12.5" style="270" customWidth="1"/>
    <col min="4" max="4" width="13.5" customWidth="1"/>
    <col min="7" max="7" width="42.8984375" bestFit="1" customWidth="1"/>
  </cols>
  <sheetData>
    <row r="1" spans="1:7">
      <c r="A1" s="383" t="s">
        <v>663</v>
      </c>
      <c r="B1" s="384"/>
      <c r="C1" s="384"/>
    </row>
    <row r="2" spans="1:7" ht="30">
      <c r="A2" s="264" t="s">
        <v>664</v>
      </c>
      <c r="B2" s="265" t="s">
        <v>169</v>
      </c>
      <c r="C2" s="265" t="s">
        <v>665</v>
      </c>
      <c r="D2" s="10" t="s">
        <v>6</v>
      </c>
    </row>
    <row r="3" spans="1:7">
      <c r="A3" s="266">
        <v>1</v>
      </c>
      <c r="B3" s="267" t="s">
        <v>1</v>
      </c>
      <c r="C3" s="267">
        <v>44</v>
      </c>
      <c r="D3">
        <f>VLOOKUP(B3,Контейнеры!B16:$H$104,7,0)</f>
        <v>2115308</v>
      </c>
      <c r="E3">
        <f>C3/D3*1000</f>
        <v>2.0800753365467346E-2</v>
      </c>
      <c r="G3" s="12"/>
    </row>
    <row r="4" spans="1:7">
      <c r="A4" s="266">
        <v>2</v>
      </c>
      <c r="B4" s="267" t="s">
        <v>9</v>
      </c>
      <c r="C4" s="267">
        <v>3523</v>
      </c>
      <c r="D4">
        <f>VLOOKUP(B4,Контейнеры!B17:$H$104,7,0)</f>
        <v>750083</v>
      </c>
      <c r="E4">
        <f t="shared" ref="E4:E66" si="0">C4/D4*1000</f>
        <v>4.6968135526335084</v>
      </c>
      <c r="G4" s="12"/>
    </row>
    <row r="5" spans="1:7">
      <c r="A5" s="266">
        <v>3</v>
      </c>
      <c r="B5" s="267" t="s">
        <v>10</v>
      </c>
      <c r="C5" s="267">
        <v>17</v>
      </c>
      <c r="D5">
        <f>VLOOKUP(B5,Контейнеры!B18:$H$104,7,0)</f>
        <v>955848</v>
      </c>
      <c r="E5">
        <f t="shared" si="0"/>
        <v>1.7785254559302313E-2</v>
      </c>
      <c r="G5" s="12"/>
    </row>
    <row r="6" spans="1:7">
      <c r="A6" s="266">
        <v>4</v>
      </c>
      <c r="B6" s="267" t="s">
        <v>2</v>
      </c>
      <c r="C6" s="267">
        <v>141</v>
      </c>
      <c r="D6">
        <f>VLOOKUP(B6,Контейнеры!B19:$H$104,7,0)</f>
        <v>946429</v>
      </c>
      <c r="E6">
        <f t="shared" si="0"/>
        <v>0.14898106461234809</v>
      </c>
      <c r="G6" s="12"/>
    </row>
    <row r="7" spans="1:7">
      <c r="A7" s="266">
        <v>5</v>
      </c>
      <c r="B7" s="267" t="s">
        <v>11</v>
      </c>
      <c r="C7" s="267">
        <v>447</v>
      </c>
      <c r="D7">
        <f>VLOOKUP(B7,Контейнеры!B20:$H$104,7,0)</f>
        <v>1500659</v>
      </c>
      <c r="E7">
        <f t="shared" si="0"/>
        <v>0.29786913615951394</v>
      </c>
      <c r="G7" s="12"/>
    </row>
    <row r="8" spans="1:7">
      <c r="A8" s="266">
        <v>6</v>
      </c>
      <c r="B8" s="267" t="s">
        <v>12</v>
      </c>
      <c r="C8" s="267">
        <v>110</v>
      </c>
      <c r="D8">
        <f>VLOOKUP(B8,Контейнеры!B21:$H$104,7,0)</f>
        <v>1142404</v>
      </c>
      <c r="E8">
        <f t="shared" si="0"/>
        <v>9.6288178262681157E-2</v>
      </c>
      <c r="G8" s="12"/>
    </row>
    <row r="9" spans="1:7">
      <c r="A9" s="266">
        <v>7</v>
      </c>
      <c r="B9" s="267" t="s">
        <v>13</v>
      </c>
      <c r="C9" s="267">
        <v>407</v>
      </c>
      <c r="D9">
        <f>VLOOKUP(B9,Контейнеры!B22:$H$104,7,0)</f>
        <v>1309942</v>
      </c>
      <c r="E9">
        <f t="shared" si="0"/>
        <v>0.31070077911846478</v>
      </c>
      <c r="G9" s="12"/>
    </row>
    <row r="10" spans="1:7">
      <c r="A10" s="266">
        <v>8</v>
      </c>
      <c r="B10" s="267" t="s">
        <v>14</v>
      </c>
      <c r="C10" s="267">
        <v>177</v>
      </c>
      <c r="D10">
        <f>VLOOKUP(B10,Контейнеры!B23:$H$104,7,0)</f>
        <v>2453898</v>
      </c>
      <c r="E10">
        <f t="shared" si="0"/>
        <v>7.2130137438475433E-2</v>
      </c>
      <c r="G10" s="12"/>
    </row>
    <row r="11" spans="1:7">
      <c r="A11" s="266">
        <v>9</v>
      </c>
      <c r="B11" s="267" t="s">
        <v>15</v>
      </c>
      <c r="C11" s="267">
        <v>58</v>
      </c>
      <c r="D11">
        <f>VLOOKUP(B11,Контейнеры!B24:$H$104,7,0)</f>
        <v>1121343</v>
      </c>
      <c r="E11">
        <f t="shared" si="0"/>
        <v>5.1723692037137607E-2</v>
      </c>
      <c r="G11" s="12"/>
    </row>
    <row r="12" spans="1:7">
      <c r="A12" s="266">
        <v>10</v>
      </c>
      <c r="B12" s="267" t="s">
        <v>16</v>
      </c>
      <c r="C12" s="267">
        <v>178</v>
      </c>
      <c r="D12">
        <f>VLOOKUP(B12,Контейнеры!B25:$H$104,7,0)</f>
        <v>2273417</v>
      </c>
      <c r="E12">
        <f t="shared" si="0"/>
        <v>7.8296238657492231E-2</v>
      </c>
      <c r="G12" s="12"/>
    </row>
    <row r="13" spans="1:7">
      <c r="A13" s="266">
        <v>11</v>
      </c>
      <c r="B13" s="267" t="s">
        <v>17</v>
      </c>
      <c r="C13" s="267">
        <v>415</v>
      </c>
      <c r="D13">
        <f>VLOOKUP(B13,Контейнеры!B26:$H$104,7,0)</f>
        <v>13149803</v>
      </c>
      <c r="E13">
        <f t="shared" si="0"/>
        <v>3.1559408152350268E-2</v>
      </c>
      <c r="G13" s="12"/>
    </row>
    <row r="14" spans="1:7">
      <c r="A14" s="266">
        <v>12</v>
      </c>
      <c r="B14" s="267" t="s">
        <v>18</v>
      </c>
      <c r="C14" s="267">
        <v>579</v>
      </c>
      <c r="D14">
        <f>VLOOKUP(B14,Контейнеры!B27:$H$104,7,0)</f>
        <v>5597763</v>
      </c>
      <c r="E14">
        <f t="shared" si="0"/>
        <v>0.1034341754018525</v>
      </c>
      <c r="G14" s="12"/>
    </row>
    <row r="15" spans="1:7">
      <c r="A15" s="266">
        <v>13</v>
      </c>
      <c r="B15" s="267" t="s">
        <v>19</v>
      </c>
      <c r="C15" s="267">
        <v>20</v>
      </c>
      <c r="D15">
        <f>VLOOKUP(B15,Контейнеры!B28:$H$104,7,0)</f>
        <v>561374</v>
      </c>
      <c r="E15">
        <f t="shared" si="0"/>
        <v>3.5626872637493007E-2</v>
      </c>
      <c r="G15" s="12"/>
    </row>
    <row r="16" spans="1:7">
      <c r="A16" s="266">
        <v>14</v>
      </c>
      <c r="B16" s="267" t="s">
        <v>20</v>
      </c>
      <c r="C16" s="267">
        <v>3</v>
      </c>
      <c r="D16">
        <f>VLOOKUP(B16,Контейнеры!B29:$H$104,7,0)</f>
        <v>145802</v>
      </c>
      <c r="E16">
        <f t="shared" si="0"/>
        <v>2.0575849439651031E-2</v>
      </c>
      <c r="G16" s="12"/>
    </row>
    <row r="17" spans="1:7">
      <c r="A17" s="266">
        <v>15</v>
      </c>
      <c r="B17" s="267" t="s">
        <v>21</v>
      </c>
      <c r="C17" s="267">
        <v>19</v>
      </c>
      <c r="D17">
        <f>VLOOKUP(B17,Контейнеры!B30:$H$104,7,0)</f>
        <v>984395</v>
      </c>
      <c r="E17">
        <f t="shared" si="0"/>
        <v>1.9301195150320756E-2</v>
      </c>
      <c r="G17" s="12"/>
    </row>
    <row r="18" spans="1:7">
      <c r="A18" s="266">
        <v>16</v>
      </c>
      <c r="B18" s="267" t="s">
        <v>22</v>
      </c>
      <c r="C18" s="267">
        <v>127</v>
      </c>
      <c r="D18">
        <f>VLOOKUP(B18,Контейнеры!B31:$H$104,7,0)</f>
        <v>905900</v>
      </c>
      <c r="E18">
        <f t="shared" si="0"/>
        <v>0.14019207418037311</v>
      </c>
      <c r="G18" s="12"/>
    </row>
    <row r="19" spans="1:7">
      <c r="A19" s="266">
        <v>17</v>
      </c>
      <c r="B19" s="267" t="s">
        <v>23</v>
      </c>
      <c r="C19" s="267">
        <v>49</v>
      </c>
      <c r="D19">
        <f>VLOOKUP(B19,Контейнеры!B32:$H$104,7,0)</f>
        <v>2330537</v>
      </c>
      <c r="E19">
        <f t="shared" si="0"/>
        <v>2.1025197197040855E-2</v>
      </c>
      <c r="G19" s="12"/>
    </row>
    <row r="20" spans="1:7">
      <c r="A20" s="266">
        <v>18</v>
      </c>
      <c r="B20" s="267" t="s">
        <v>164</v>
      </c>
      <c r="C20" s="267">
        <v>19</v>
      </c>
      <c r="D20">
        <f>VLOOKUP(B20,Контейнеры!B33:$H$104,7,0)</f>
        <v>905464</v>
      </c>
      <c r="E20">
        <f t="shared" si="0"/>
        <v>2.0983716635890548E-2</v>
      </c>
      <c r="G20" s="12"/>
    </row>
    <row r="21" spans="1:7">
      <c r="A21" s="266">
        <v>19</v>
      </c>
      <c r="B21" s="267" t="s">
        <v>25</v>
      </c>
      <c r="C21" s="267">
        <v>69</v>
      </c>
      <c r="D21">
        <f>VLOOKUP(B21,Контейнеры!B34:$H$104,7,0)</f>
        <v>1033914</v>
      </c>
      <c r="E21">
        <f t="shared" si="0"/>
        <v>6.6736691833169867E-2</v>
      </c>
      <c r="G21" s="12"/>
    </row>
    <row r="22" spans="1:7">
      <c r="A22" s="266">
        <v>20</v>
      </c>
      <c r="B22" s="267" t="s">
        <v>26</v>
      </c>
      <c r="C22" s="267">
        <v>169</v>
      </c>
      <c r="D22">
        <f>VLOOKUP(B22,Контейнеры!B35:$H$104,7,0)</f>
        <v>1068410</v>
      </c>
      <c r="E22">
        <f t="shared" si="0"/>
        <v>0.15817897623571475</v>
      </c>
      <c r="G22" s="12"/>
    </row>
    <row r="23" spans="1:7">
      <c r="A23" s="266">
        <v>21</v>
      </c>
      <c r="B23" s="267" t="s">
        <v>27</v>
      </c>
      <c r="C23" s="267">
        <v>22</v>
      </c>
      <c r="D23">
        <f>VLOOKUP(B23,Контейнеры!B36:$H$104,7,0)</f>
        <v>288947</v>
      </c>
      <c r="E23">
        <f t="shared" si="0"/>
        <v>7.6138530595576348E-2</v>
      </c>
      <c r="G23" s="12"/>
    </row>
    <row r="24" spans="1:7">
      <c r="A24" s="266">
        <v>22</v>
      </c>
      <c r="B24" s="267" t="s">
        <v>28</v>
      </c>
      <c r="C24" s="267">
        <v>26</v>
      </c>
      <c r="D24">
        <f>VLOOKUP(B24,Контейнеры!B37:$H$104,7,0)</f>
        <v>468322</v>
      </c>
      <c r="E24">
        <f t="shared" si="0"/>
        <v>5.5517357715418027E-2</v>
      </c>
      <c r="G24" s="12"/>
    </row>
    <row r="25" spans="1:7">
      <c r="A25" s="266">
        <v>23</v>
      </c>
      <c r="B25" s="267" t="s">
        <v>29</v>
      </c>
      <c r="C25" s="267">
        <v>94</v>
      </c>
      <c r="D25">
        <f>VLOOKUP(B25,Контейнеры!B38:$H$104,7,0)</f>
        <v>2547684</v>
      </c>
      <c r="E25">
        <f t="shared" si="0"/>
        <v>3.6896255579577375E-2</v>
      </c>
      <c r="G25" s="12"/>
    </row>
    <row r="26" spans="1:7">
      <c r="A26" s="266">
        <v>24</v>
      </c>
      <c r="B26" s="267" t="s">
        <v>30</v>
      </c>
      <c r="C26" s="267">
        <v>37</v>
      </c>
      <c r="D26">
        <f>VLOOKUP(B26,Контейнеры!B39:$H$104,7,0)</f>
        <v>1129935</v>
      </c>
      <c r="E26">
        <f t="shared" si="0"/>
        <v>3.2745246407979219E-2</v>
      </c>
      <c r="G26" s="12"/>
    </row>
    <row r="27" spans="1:7">
      <c r="A27" s="266">
        <v>25</v>
      </c>
      <c r="B27" s="267" t="s">
        <v>31</v>
      </c>
      <c r="C27" s="267">
        <v>33</v>
      </c>
      <c r="D27">
        <f>VLOOKUP(B27,Контейнеры!B40:$H$104,7,0)</f>
        <v>566266</v>
      </c>
      <c r="E27">
        <f t="shared" si="0"/>
        <v>5.8276499030490973E-2</v>
      </c>
      <c r="G27" s="12"/>
    </row>
    <row r="28" spans="1:7">
      <c r="A28" s="266">
        <v>26</v>
      </c>
      <c r="B28" s="267" t="s">
        <v>32</v>
      </c>
      <c r="C28" s="267">
        <v>634</v>
      </c>
      <c r="D28">
        <f>VLOOKUP(B28,Контейнеры!B41:$H$104,7,0)</f>
        <v>5833002</v>
      </c>
      <c r="E28">
        <f t="shared" si="0"/>
        <v>0.10869188798495183</v>
      </c>
      <c r="G28" s="12"/>
    </row>
    <row r="29" spans="1:7">
      <c r="A29" s="266">
        <v>27</v>
      </c>
      <c r="B29" s="267" t="s">
        <v>33</v>
      </c>
      <c r="C29" s="267">
        <v>90</v>
      </c>
      <c r="D29">
        <f>VLOOKUP(B29,Контейнеры!B42:$H$104,7,0)</f>
        <v>2846120</v>
      </c>
      <c r="E29">
        <f t="shared" si="0"/>
        <v>3.1621997666999281E-2</v>
      </c>
      <c r="G29" s="12"/>
    </row>
    <row r="30" spans="1:7">
      <c r="A30" s="266">
        <v>28</v>
      </c>
      <c r="B30" s="267" t="s">
        <v>34</v>
      </c>
      <c r="C30" s="267">
        <v>34</v>
      </c>
      <c r="D30">
        <f>VLOOKUP(B30,Контейнеры!B43:$H$104,7,0)</f>
        <v>753002</v>
      </c>
      <c r="E30">
        <f t="shared" si="0"/>
        <v>4.515260251632798E-2</v>
      </c>
      <c r="G30" s="12"/>
    </row>
    <row r="31" spans="1:7">
      <c r="A31" s="266">
        <v>29</v>
      </c>
      <c r="B31" s="267" t="s">
        <v>35</v>
      </c>
      <c r="C31" s="267">
        <v>53</v>
      </c>
      <c r="D31">
        <f>VLOOKUP(B31,Контейнеры!B44:$H$104,7,0)</f>
        <v>1060892</v>
      </c>
      <c r="E31">
        <f t="shared" si="0"/>
        <v>4.9957959905438061E-2</v>
      </c>
      <c r="G31" s="12"/>
    </row>
    <row r="32" spans="1:7">
      <c r="A32" s="266">
        <v>30</v>
      </c>
      <c r="B32" s="267" t="s">
        <v>36</v>
      </c>
      <c r="C32" s="267">
        <v>409</v>
      </c>
      <c r="D32">
        <f>VLOOKUP(B32,Контейнеры!B45:$H$104,7,0)</f>
        <v>2035762</v>
      </c>
      <c r="E32">
        <f t="shared" si="0"/>
        <v>0.20090757171024903</v>
      </c>
      <c r="G32" s="12"/>
    </row>
    <row r="33" spans="1:10">
      <c r="A33" s="266">
        <v>31</v>
      </c>
      <c r="B33" s="267" t="s">
        <v>37</v>
      </c>
      <c r="C33" s="267">
        <v>94</v>
      </c>
      <c r="D33">
        <f>VLOOKUP(B33,Контейнеры!B46:$H$104,7,0)</f>
        <v>1116265</v>
      </c>
      <c r="E33">
        <f t="shared" si="0"/>
        <v>8.4209394722579323E-2</v>
      </c>
      <c r="G33" s="12"/>
    </row>
    <row r="34" spans="1:10">
      <c r="A34" s="266">
        <v>32</v>
      </c>
      <c r="B34" s="267" t="s">
        <v>38</v>
      </c>
      <c r="C34" s="267">
        <v>3</v>
      </c>
      <c r="D34">
        <f>VLOOKUP(B34,Контейнеры!B47:$H$104,7,0)</f>
        <v>133387</v>
      </c>
      <c r="E34">
        <f t="shared" si="0"/>
        <v>2.2490947393674045E-2</v>
      </c>
      <c r="G34" s="12"/>
    </row>
    <row r="35" spans="1:10">
      <c r="A35" s="266">
        <v>33</v>
      </c>
      <c r="B35" s="267" t="s">
        <v>39</v>
      </c>
      <c r="C35" s="267">
        <v>943</v>
      </c>
      <c r="D35">
        <f>VLOOKUP(B35,Контейнеры!B48:$H$104,7,0)</f>
        <v>8651260</v>
      </c>
      <c r="E35">
        <f t="shared" si="0"/>
        <v>0.10900146337065353</v>
      </c>
      <c r="G35" s="12"/>
    </row>
    <row r="36" spans="1:10">
      <c r="A36" s="266">
        <v>34</v>
      </c>
      <c r="B36" s="267" t="s">
        <v>40</v>
      </c>
      <c r="C36" s="267">
        <v>43</v>
      </c>
      <c r="D36">
        <f>VLOOKUP(B36,Контейнеры!B49:$H$104,7,0)</f>
        <v>656438</v>
      </c>
      <c r="E36">
        <f t="shared" si="0"/>
        <v>6.5505043888379411E-2</v>
      </c>
      <c r="G36" s="12"/>
    </row>
    <row r="37" spans="1:10">
      <c r="A37" s="266">
        <v>35</v>
      </c>
      <c r="B37" s="267" t="s">
        <v>42</v>
      </c>
      <c r="C37" s="267">
        <v>306</v>
      </c>
      <c r="D37">
        <f>VLOOKUP(B37,Контейнеры!B50:$H$104,7,0)</f>
        <v>3060335</v>
      </c>
      <c r="E37">
        <f t="shared" si="0"/>
        <v>9.9989053485974574E-2</v>
      </c>
      <c r="G37" s="12"/>
      <c r="J37" s="12"/>
    </row>
    <row r="38" spans="1:10">
      <c r="A38" s="266">
        <v>36</v>
      </c>
      <c r="B38" s="267" t="s">
        <v>43</v>
      </c>
      <c r="C38" s="267">
        <v>26</v>
      </c>
      <c r="D38">
        <f>VLOOKUP(B38,Контейнеры!B51:$H$104,7,0)</f>
        <v>571447</v>
      </c>
      <c r="E38">
        <f t="shared" si="0"/>
        <v>4.5498532672321318E-2</v>
      </c>
      <c r="G38" s="12"/>
    </row>
    <row r="39" spans="1:10">
      <c r="A39" s="266">
        <v>37</v>
      </c>
      <c r="B39" s="267" t="s">
        <v>44</v>
      </c>
      <c r="C39" s="267">
        <v>115</v>
      </c>
      <c r="D39">
        <f>VLOOKUP(B39,Контейнеры!B52:$H$104,7,0)</f>
        <v>2789532</v>
      </c>
      <c r="E39">
        <f t="shared" si="0"/>
        <v>4.1225553246924576E-2</v>
      </c>
      <c r="G39" s="12"/>
    </row>
    <row r="40" spans="1:10">
      <c r="A40" s="266">
        <v>38</v>
      </c>
      <c r="B40" s="267" t="s">
        <v>45</v>
      </c>
      <c r="C40" s="267">
        <v>91</v>
      </c>
      <c r="D40">
        <f>VLOOKUP(B40,Контейнеры!B53:$H$104,7,0)</f>
        <v>1818093</v>
      </c>
      <c r="E40">
        <f t="shared" si="0"/>
        <v>5.0052445061941273E-2</v>
      </c>
      <c r="G40" s="12"/>
    </row>
    <row r="41" spans="1:10">
      <c r="A41" s="266">
        <v>39</v>
      </c>
      <c r="B41" s="267" t="s">
        <v>46</v>
      </c>
      <c r="C41" s="267">
        <v>302</v>
      </c>
      <c r="D41">
        <f>VLOOKUP(B41,Контейнеры!B54:$H$104,7,0)</f>
        <v>1828656</v>
      </c>
      <c r="E41">
        <f t="shared" si="0"/>
        <v>0.16514861187670071</v>
      </c>
      <c r="G41" s="12"/>
    </row>
    <row r="42" spans="1:10">
      <c r="A42" s="266">
        <v>40</v>
      </c>
      <c r="B42" s="267" t="s">
        <v>47</v>
      </c>
      <c r="C42" s="267">
        <v>201</v>
      </c>
      <c r="D42">
        <f>VLOOKUP(B42,Контейнеры!B55:$H$104,7,0)</f>
        <v>692486</v>
      </c>
      <c r="E42">
        <f t="shared" si="0"/>
        <v>0.29025857562463359</v>
      </c>
      <c r="G42" s="12"/>
    </row>
    <row r="43" spans="1:10">
      <c r="A43" s="266">
        <v>41</v>
      </c>
      <c r="B43" s="267" t="s">
        <v>48</v>
      </c>
      <c r="C43" s="267">
        <v>75</v>
      </c>
      <c r="D43">
        <f>VLOOKUP(B43,Контейнеры!B56:$H$104,7,0)</f>
        <v>1236113</v>
      </c>
      <c r="E43">
        <f t="shared" si="0"/>
        <v>6.0674064587946247E-2</v>
      </c>
      <c r="G43" s="12"/>
    </row>
    <row r="44" spans="1:10">
      <c r="A44" s="266">
        <v>42</v>
      </c>
      <c r="B44" s="267" t="s">
        <v>49</v>
      </c>
      <c r="C44" s="267">
        <v>111</v>
      </c>
      <c r="D44">
        <f>VLOOKUP(B44,Контейнеры!B57:$H$104,7,0)</f>
        <v>2495266</v>
      </c>
      <c r="E44">
        <f t="shared" si="0"/>
        <v>4.4484235348055082E-2</v>
      </c>
      <c r="G44" s="12"/>
    </row>
    <row r="45" spans="1:10">
      <c r="A45" s="266">
        <v>43</v>
      </c>
      <c r="B45" s="267" t="s">
        <v>50</v>
      </c>
      <c r="C45" s="267">
        <v>181</v>
      </c>
      <c r="D45">
        <f>VLOOKUP(B45,Контейнеры!B58:$H$104,7,0)</f>
        <v>1806393</v>
      </c>
      <c r="E45">
        <f t="shared" si="0"/>
        <v>0.10019967969317863</v>
      </c>
      <c r="G45" s="12"/>
    </row>
    <row r="46" spans="1:10">
      <c r="A46" s="266">
        <v>44</v>
      </c>
      <c r="B46" s="267" t="s">
        <v>51</v>
      </c>
      <c r="C46" s="267">
        <v>99</v>
      </c>
      <c r="D46">
        <f>VLOOKUP(B46,Контейнеры!B59:$H$104,7,0)</f>
        <v>581147</v>
      </c>
      <c r="E46">
        <f t="shared" si="0"/>
        <v>0.17035276788833117</v>
      </c>
      <c r="G46" s="12"/>
    </row>
    <row r="47" spans="1:10">
      <c r="A47" s="266">
        <v>45</v>
      </c>
      <c r="B47" s="267" t="s">
        <v>52</v>
      </c>
      <c r="C47" s="267">
        <v>15</v>
      </c>
      <c r="D47">
        <f>VLOOKUP(B47,Контейнеры!B60:$H$104,7,0)</f>
        <v>500591</v>
      </c>
      <c r="E47">
        <f t="shared" si="0"/>
        <v>2.9964581864236475E-2</v>
      </c>
      <c r="G47" s="12"/>
    </row>
    <row r="48" spans="1:10">
      <c r="A48" s="266">
        <v>46</v>
      </c>
      <c r="B48" s="267" t="s">
        <v>53</v>
      </c>
      <c r="C48" s="267">
        <v>46</v>
      </c>
      <c r="D48">
        <f>VLOOKUP(B48,Контейнеры!B61:$H$104,7,0)</f>
        <v>210765</v>
      </c>
      <c r="E48">
        <f t="shared" si="0"/>
        <v>0.21825255616444855</v>
      </c>
      <c r="G48" s="12"/>
    </row>
    <row r="49" spans="1:7">
      <c r="A49" s="266">
        <v>47</v>
      </c>
      <c r="B49" s="267" t="s">
        <v>3</v>
      </c>
      <c r="C49" s="267">
        <v>190</v>
      </c>
      <c r="D49">
        <f>VLOOKUP(B49,Контейнеры!B62:$H$104,7,0)</f>
        <v>4064361</v>
      </c>
      <c r="E49">
        <f t="shared" si="0"/>
        <v>4.6747815954340674E-2</v>
      </c>
      <c r="G49" s="12"/>
    </row>
    <row r="50" spans="1:7">
      <c r="A50" s="266">
        <v>48</v>
      </c>
      <c r="B50" s="267" t="s">
        <v>54</v>
      </c>
      <c r="C50" s="267">
        <v>12</v>
      </c>
      <c r="D50">
        <f>VLOOKUP(B50,Контейнеры!B63:$H$104,7,0)</f>
        <v>971922</v>
      </c>
      <c r="E50">
        <f t="shared" si="0"/>
        <v>1.2346669794489682E-2</v>
      </c>
      <c r="G50" s="12"/>
    </row>
    <row r="51" spans="1:7">
      <c r="A51" s="266">
        <v>49</v>
      </c>
      <c r="B51" s="267" t="s">
        <v>55</v>
      </c>
      <c r="C51" s="267">
        <v>89</v>
      </c>
      <c r="D51">
        <f>VLOOKUP(B51,Контейнеры!B64:$H$104,7,0)</f>
        <v>3232224</v>
      </c>
      <c r="E51">
        <f t="shared" si="0"/>
        <v>2.7535220331264168E-2</v>
      </c>
      <c r="G51" s="12"/>
    </row>
    <row r="52" spans="1:7">
      <c r="A52" s="266">
        <v>50</v>
      </c>
      <c r="B52" s="267" t="s">
        <v>56</v>
      </c>
      <c r="C52" s="267">
        <v>2</v>
      </c>
      <c r="D52">
        <f>VLOOKUP(B52,Контейнеры!B65:$H$104,7,0)</f>
        <v>527220</v>
      </c>
      <c r="E52">
        <f t="shared" si="0"/>
        <v>3.7934827965555177E-3</v>
      </c>
      <c r="G52" s="12"/>
    </row>
    <row r="53" spans="1:7">
      <c r="A53" s="266">
        <v>51</v>
      </c>
      <c r="B53" s="267" t="s">
        <v>57</v>
      </c>
      <c r="C53" s="267">
        <v>26</v>
      </c>
      <c r="D53">
        <f>VLOOKUP(B53,Контейнеры!B66:$H$104,7,0)</f>
        <v>266770</v>
      </c>
      <c r="E53">
        <f t="shared" si="0"/>
        <v>9.7462233384563474E-2</v>
      </c>
      <c r="G53" s="12"/>
    </row>
    <row r="54" spans="1:7">
      <c r="A54" s="266">
        <v>52</v>
      </c>
      <c r="B54" s="267" t="s">
        <v>58</v>
      </c>
      <c r="C54" s="267">
        <v>79</v>
      </c>
      <c r="D54">
        <f>VLOOKUP(B54,Контейнеры!B67:$H$104,7,0)</f>
        <v>523856</v>
      </c>
      <c r="E54">
        <f t="shared" si="0"/>
        <v>0.15080480131944657</v>
      </c>
      <c r="G54" s="12"/>
    </row>
    <row r="55" spans="1:7">
      <c r="A55" s="266">
        <v>53</v>
      </c>
      <c r="B55" s="267" t="s">
        <v>59</v>
      </c>
      <c r="C55" s="267">
        <v>44</v>
      </c>
      <c r="D55">
        <f>VLOOKUP(B55,Контейнеры!B68:$H$104,7,0)</f>
        <v>720610</v>
      </c>
      <c r="E55">
        <f t="shared" si="0"/>
        <v>6.1059380247290497E-2</v>
      </c>
      <c r="G55" s="12"/>
    </row>
    <row r="56" spans="1:7">
      <c r="A56" s="266">
        <v>54</v>
      </c>
      <c r="B56" s="267" t="s">
        <v>60</v>
      </c>
      <c r="C56" s="267">
        <v>47</v>
      </c>
      <c r="D56">
        <f>VLOOKUP(B56,Контейнеры!B69:$H$104,7,0)</f>
        <v>1909499</v>
      </c>
      <c r="E56">
        <f t="shared" si="0"/>
        <v>2.4613786129241227E-2</v>
      </c>
      <c r="G56" s="12"/>
    </row>
    <row r="57" spans="1:7">
      <c r="A57" s="266">
        <v>55</v>
      </c>
      <c r="B57" s="267" t="s">
        <v>61</v>
      </c>
      <c r="C57" s="267">
        <v>63</v>
      </c>
      <c r="D57">
        <f>VLOOKUP(B57,Контейнеры!B70:$H$104,7,0)</f>
        <v>669854</v>
      </c>
      <c r="E57">
        <f t="shared" si="0"/>
        <v>9.4050345299124885E-2</v>
      </c>
      <c r="G57" s="12"/>
    </row>
    <row r="58" spans="1:7">
      <c r="A58" s="266">
        <v>56</v>
      </c>
      <c r="B58" s="267" t="s">
        <v>62</v>
      </c>
      <c r="C58" s="267">
        <v>16</v>
      </c>
      <c r="D58">
        <f>VLOOKUP(B58,Контейнеры!B71:$H$104,7,0)</f>
        <v>765891</v>
      </c>
      <c r="E58">
        <f t="shared" si="0"/>
        <v>2.0890701157214277E-2</v>
      </c>
      <c r="G58" s="12"/>
    </row>
    <row r="59" spans="1:7">
      <c r="A59" s="266">
        <v>57</v>
      </c>
      <c r="B59" s="267" t="s">
        <v>63</v>
      </c>
      <c r="C59" s="267">
        <v>16</v>
      </c>
      <c r="D59">
        <f>VLOOKUP(B59,Контейнеры!B72:$H$104,7,0)</f>
        <v>1001664</v>
      </c>
      <c r="E59">
        <f t="shared" si="0"/>
        <v>1.5973420228739377E-2</v>
      </c>
      <c r="G59" s="12"/>
    </row>
    <row r="60" spans="1:7">
      <c r="A60" s="266">
        <v>58</v>
      </c>
      <c r="B60" s="267" t="s">
        <v>64</v>
      </c>
      <c r="C60" s="267">
        <v>10</v>
      </c>
      <c r="D60">
        <f>VLOOKUP(B60,Контейнеры!B73:$H$104,7,0)</f>
        <v>678879</v>
      </c>
      <c r="E60">
        <f t="shared" si="0"/>
        <v>1.4730165463948657E-2</v>
      </c>
      <c r="G60" s="12"/>
    </row>
    <row r="61" spans="1:7">
      <c r="A61" s="266">
        <v>59</v>
      </c>
      <c r="B61" s="267" t="s">
        <v>65</v>
      </c>
      <c r="C61" s="267">
        <v>463</v>
      </c>
      <c r="D61">
        <f>VLOOKUP(B61,Контейнеры!B74:$H$104,7,0)</f>
        <v>4003016</v>
      </c>
      <c r="E61">
        <f t="shared" si="0"/>
        <v>0.11566279025614687</v>
      </c>
      <c r="G61" s="12"/>
    </row>
    <row r="62" spans="1:7">
      <c r="A62" s="266">
        <v>60</v>
      </c>
      <c r="B62" s="267" t="s">
        <v>66</v>
      </c>
      <c r="C62" s="267">
        <v>8</v>
      </c>
      <c r="D62">
        <f>VLOOKUP(B62,Контейнеры!B75:$H$104,7,0)</f>
        <v>337544</v>
      </c>
      <c r="E62">
        <f t="shared" si="0"/>
        <v>2.3700613845898607E-2</v>
      </c>
      <c r="G62" s="12"/>
    </row>
    <row r="63" spans="1:7">
      <c r="A63" s="266">
        <v>61</v>
      </c>
      <c r="B63" s="267" t="s">
        <v>67</v>
      </c>
      <c r="C63" s="267">
        <v>187</v>
      </c>
      <c r="D63">
        <f>VLOOKUP(B63,Контейнеры!B76:$H$104,7,0)</f>
        <v>528175</v>
      </c>
      <c r="E63">
        <f t="shared" si="0"/>
        <v>0.35404932077436452</v>
      </c>
      <c r="G63" s="12"/>
    </row>
    <row r="64" spans="1:7">
      <c r="A64" s="266">
        <v>62</v>
      </c>
      <c r="B64" s="267" t="s">
        <v>68</v>
      </c>
      <c r="C64" s="267">
        <v>387</v>
      </c>
      <c r="D64">
        <f>VLOOKUP(B64,Контейнеры!B77:$H$104,7,0)</f>
        <v>4152518</v>
      </c>
      <c r="E64">
        <f t="shared" si="0"/>
        <v>9.3196465373539622E-2</v>
      </c>
      <c r="G64" s="12"/>
    </row>
    <row r="65" spans="1:7">
      <c r="A65" s="266">
        <v>63</v>
      </c>
      <c r="B65" s="267" t="s">
        <v>69</v>
      </c>
      <c r="C65" s="267">
        <v>107</v>
      </c>
      <c r="D65">
        <f>VLOOKUP(B65,Контейнеры!B78:$H$104,7,0)</f>
        <v>1082231</v>
      </c>
      <c r="E65">
        <f t="shared" si="0"/>
        <v>9.8869834628651371E-2</v>
      </c>
      <c r="G65" s="12"/>
    </row>
    <row r="66" spans="1:7">
      <c r="A66" s="266">
        <v>64</v>
      </c>
      <c r="B66" s="267" t="s">
        <v>70</v>
      </c>
      <c r="C66" s="267">
        <v>560</v>
      </c>
      <c r="D66">
        <f>VLOOKUP(B66,Контейнеры!B79:$H$104,7,0)</f>
        <v>3127842</v>
      </c>
      <c r="E66">
        <f t="shared" si="0"/>
        <v>0.17903717643026726</v>
      </c>
      <c r="G66" s="12"/>
    </row>
    <row r="67" spans="1:7">
      <c r="A67" s="266">
        <v>65</v>
      </c>
      <c r="B67" s="267" t="s">
        <v>18</v>
      </c>
      <c r="C67" s="267">
        <v>1</v>
      </c>
    </row>
    <row r="68" spans="1:7">
      <c r="A68" s="266">
        <v>66</v>
      </c>
      <c r="B68" s="267" t="s">
        <v>71</v>
      </c>
      <c r="C68" s="267">
        <v>169</v>
      </c>
      <c r="D68">
        <f>VLOOKUP(B68,Контейнеры!B81:$H$104,7,0)</f>
        <v>2385163</v>
      </c>
      <c r="E68">
        <f t="shared" ref="E68:E88" si="1">C68/D68*1000</f>
        <v>7.0854696303774625E-2</v>
      </c>
      <c r="G68" s="12"/>
    </row>
    <row r="69" spans="1:7">
      <c r="A69" s="266">
        <v>67</v>
      </c>
      <c r="B69" s="267" t="s">
        <v>72</v>
      </c>
      <c r="C69" s="267">
        <v>8</v>
      </c>
      <c r="D69">
        <f>VLOOKUP(B69,Контейнеры!B82:$H$104,7,0)</f>
        <v>457590</v>
      </c>
      <c r="E69">
        <f t="shared" si="1"/>
        <v>1.7482899538888527E-2</v>
      </c>
      <c r="G69" s="12"/>
    </row>
    <row r="70" spans="1:7">
      <c r="A70" s="266">
        <v>68</v>
      </c>
      <c r="B70" s="267" t="s">
        <v>666</v>
      </c>
      <c r="C70" s="267">
        <v>10</v>
      </c>
    </row>
    <row r="71" spans="1:7">
      <c r="A71" s="266">
        <v>69</v>
      </c>
      <c r="B71" s="267" t="s">
        <v>73</v>
      </c>
      <c r="C71" s="267">
        <v>541</v>
      </c>
      <c r="D71">
        <f>VLOOKUP(B71,Контейнеры!B84:$H$104,7,0)</f>
        <v>4222695</v>
      </c>
      <c r="E71">
        <f t="shared" si="1"/>
        <v>0.12811723318875742</v>
      </c>
      <c r="G71" s="12"/>
    </row>
    <row r="72" spans="1:7">
      <c r="A72" s="266">
        <v>70</v>
      </c>
      <c r="B72" s="267" t="s">
        <v>74</v>
      </c>
      <c r="C72" s="267">
        <v>51</v>
      </c>
      <c r="D72">
        <f>VLOOKUP(B72,Контейнеры!B85:$H$104,7,0)</f>
        <v>863987</v>
      </c>
      <c r="E72">
        <f t="shared" si="1"/>
        <v>5.9028665940575493E-2</v>
      </c>
      <c r="G72" s="12"/>
    </row>
    <row r="73" spans="1:7">
      <c r="A73" s="266">
        <v>71</v>
      </c>
      <c r="B73" s="267" t="s">
        <v>75</v>
      </c>
      <c r="C73" s="267">
        <v>51</v>
      </c>
      <c r="D73">
        <f>VLOOKUP(B73,Контейнеры!B86:$H$104,7,0)</f>
        <v>2886108</v>
      </c>
      <c r="E73">
        <f t="shared" si="1"/>
        <v>1.7670856392068487E-2</v>
      </c>
      <c r="G73" s="12"/>
    </row>
    <row r="74" spans="1:7">
      <c r="A74" s="266">
        <v>72</v>
      </c>
      <c r="B74" s="267" t="s">
        <v>76</v>
      </c>
      <c r="C74" s="267">
        <v>109</v>
      </c>
      <c r="D74">
        <f>VLOOKUP(B74,Контейнеры!B87:$H$104,7,0)</f>
        <v>956292</v>
      </c>
      <c r="E74">
        <f t="shared" si="1"/>
        <v>0.11398192183977279</v>
      </c>
      <c r="G74" s="12"/>
    </row>
    <row r="75" spans="1:7">
      <c r="A75" s="266">
        <v>73</v>
      </c>
      <c r="B75" s="267" t="s">
        <v>77</v>
      </c>
      <c r="C75" s="267">
        <v>196</v>
      </c>
      <c r="D75">
        <f>VLOOKUP(B75,Контейнеры!B88:$H$104,7,0)</f>
        <v>1199747</v>
      </c>
      <c r="E75">
        <f t="shared" si="1"/>
        <v>0.16336777670625555</v>
      </c>
      <c r="G75" s="12"/>
    </row>
    <row r="76" spans="1:7">
      <c r="A76" s="266">
        <v>74</v>
      </c>
      <c r="B76" s="267" t="s">
        <v>78</v>
      </c>
      <c r="C76" s="267">
        <v>45</v>
      </c>
      <c r="D76">
        <f>VLOOKUP(B76,Контейнеры!B89:$H$104,7,0)</f>
        <v>1043385</v>
      </c>
      <c r="E76">
        <f t="shared" si="1"/>
        <v>4.3128854641383572E-2</v>
      </c>
      <c r="G76" s="12"/>
    </row>
    <row r="77" spans="1:7">
      <c r="A77" s="266">
        <v>75</v>
      </c>
      <c r="B77" s="267" t="s">
        <v>79</v>
      </c>
      <c r="C77" s="267">
        <v>89</v>
      </c>
      <c r="D77">
        <f>VLOOKUP(B77,Контейнеры!B90:$H$104,7,0)</f>
        <v>1471140</v>
      </c>
      <c r="E77">
        <f t="shared" si="1"/>
        <v>6.0497301412510029E-2</v>
      </c>
      <c r="G77" s="12"/>
    </row>
    <row r="78" spans="1:7">
      <c r="A78" s="266">
        <v>76</v>
      </c>
      <c r="B78" s="267" t="s">
        <v>80</v>
      </c>
      <c r="C78" s="267">
        <v>50</v>
      </c>
      <c r="D78">
        <f>VLOOKUP(B78,Контейнеры!B91:$H$104,7,0)</f>
        <v>1615454</v>
      </c>
      <c r="E78">
        <f t="shared" si="1"/>
        <v>3.0951051531024718E-2</v>
      </c>
      <c r="G78" s="12"/>
    </row>
    <row r="79" spans="1:7">
      <c r="A79" s="266">
        <v>77</v>
      </c>
      <c r="B79" s="267" t="s">
        <v>81</v>
      </c>
      <c r="C79" s="267">
        <v>107</v>
      </c>
      <c r="D79">
        <f>VLOOKUP(B79,Контейнеры!B92:$H$104,7,0)</f>
        <v>1434557</v>
      </c>
      <c r="E79">
        <f t="shared" si="1"/>
        <v>7.4587485892857519E-2</v>
      </c>
      <c r="G79" s="12"/>
    </row>
    <row r="80" spans="1:7">
      <c r="A80" s="266">
        <v>78</v>
      </c>
      <c r="B80" s="267" t="s">
        <v>82</v>
      </c>
      <c r="C80" s="267">
        <v>63</v>
      </c>
      <c r="D80">
        <f>VLOOKUP(B80,Контейнеры!B93:$H$104,7,0)</f>
        <v>1172782</v>
      </c>
      <c r="E80">
        <f t="shared" si="1"/>
        <v>5.3718423372800743E-2</v>
      </c>
      <c r="G80" s="12"/>
    </row>
    <row r="81" spans="1:7">
      <c r="A81" s="266">
        <v>79</v>
      </c>
      <c r="B81" s="267" t="s">
        <v>165</v>
      </c>
      <c r="C81" s="267">
        <v>11</v>
      </c>
      <c r="D81">
        <f>VLOOKUP(B81,Контейнеры!B94:$H$104,7,0)</f>
        <v>1278132</v>
      </c>
      <c r="E81">
        <f t="shared" si="1"/>
        <v>8.6063098334131366E-3</v>
      </c>
      <c r="G81" s="12"/>
    </row>
    <row r="82" spans="1:7">
      <c r="A82" s="266">
        <v>80</v>
      </c>
      <c r="B82" s="267" t="s">
        <v>84</v>
      </c>
      <c r="C82" s="267">
        <v>54</v>
      </c>
      <c r="D82">
        <f>VLOOKUP(B82,Контейнеры!B95:$H$104,7,0)</f>
        <v>1759386</v>
      </c>
      <c r="E82">
        <f t="shared" si="1"/>
        <v>3.069252568793886E-2</v>
      </c>
      <c r="G82" s="12"/>
    </row>
    <row r="83" spans="1:7">
      <c r="A83" s="266">
        <v>81</v>
      </c>
      <c r="B83" s="267" t="s">
        <v>85</v>
      </c>
      <c r="C83" s="267">
        <v>345</v>
      </c>
      <c r="D83">
        <f>VLOOKUP(B83,Контейнеры!B96:$H$104,7,0)</f>
        <v>3395798</v>
      </c>
      <c r="E83">
        <f t="shared" si="1"/>
        <v>0.10159614912312218</v>
      </c>
      <c r="G83" s="12"/>
    </row>
    <row r="84" spans="1:7">
      <c r="A84" s="266">
        <v>82</v>
      </c>
      <c r="B84" s="267" t="s">
        <v>667</v>
      </c>
      <c r="C84" s="267">
        <v>1</v>
      </c>
      <c r="D84">
        <f>VLOOKUP(B84,Контейнеры!B97:$H$104,7,0)</f>
        <v>1552866</v>
      </c>
      <c r="E84">
        <f t="shared" si="1"/>
        <v>6.4397056796916151E-4</v>
      </c>
      <c r="G84" s="12"/>
    </row>
    <row r="85" spans="1:7">
      <c r="A85" s="266">
        <v>83</v>
      </c>
      <c r="B85" s="267" t="s">
        <v>87</v>
      </c>
      <c r="C85" s="267">
        <v>142</v>
      </c>
      <c r="D85">
        <f>VLOOKUP(B85,Контейнеры!B98:$H$104,7,0)</f>
        <v>1167061</v>
      </c>
      <c r="E85">
        <f t="shared" si="1"/>
        <v>0.1216731601861428</v>
      </c>
      <c r="G85" s="12"/>
    </row>
    <row r="86" spans="1:7">
      <c r="A86" s="266">
        <v>84</v>
      </c>
      <c r="B86" s="267" t="s">
        <v>89</v>
      </c>
      <c r="C86" s="267">
        <v>19</v>
      </c>
      <c r="D86">
        <f>VLOOKUP(B86,Контейнеры!B99:$H$104,7,0)</f>
        <v>515960</v>
      </c>
      <c r="E86">
        <f t="shared" si="1"/>
        <v>3.6824560043414216E-2</v>
      </c>
      <c r="G86" s="12"/>
    </row>
    <row r="87" spans="1:7">
      <c r="A87" s="266">
        <v>85</v>
      </c>
      <c r="B87" s="267" t="s">
        <v>90</v>
      </c>
      <c r="C87" s="267">
        <v>160</v>
      </c>
      <c r="D87">
        <f>VLOOKUP(B87,Контейнеры!B100:$H$104,7,0)</f>
        <v>1187558</v>
      </c>
      <c r="E87">
        <f t="shared" si="1"/>
        <v>0.13473026159564416</v>
      </c>
      <c r="G87" s="12"/>
    </row>
    <row r="88" spans="1:7">
      <c r="A88" s="266"/>
      <c r="B88" s="267" t="s">
        <v>668</v>
      </c>
      <c r="C88" s="267">
        <v>15182</v>
      </c>
      <c r="D88">
        <f>SUM(D3:D87)</f>
        <v>146060536</v>
      </c>
      <c r="E88">
        <f t="shared" si="1"/>
        <v>0.10394320338520462</v>
      </c>
      <c r="G88" s="12"/>
    </row>
    <row r="89" spans="1:7" ht="42">
      <c r="A89" s="266"/>
      <c r="B89" s="268" t="s">
        <v>669</v>
      </c>
      <c r="C89" s="267">
        <v>16068</v>
      </c>
    </row>
  </sheetData>
  <mergeCells count="1">
    <mergeCell ref="A1:C1"/>
  </mergeCells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2:U107"/>
  <sheetViews>
    <sheetView workbookViewId="0">
      <pane xSplit="2" ySplit="15" topLeftCell="C55" activePane="bottomRight" state="frozen"/>
      <selection pane="topRight"/>
      <selection pane="bottomLeft"/>
      <selection pane="bottomRight" activeCell="K27" sqref="K27"/>
    </sheetView>
  </sheetViews>
  <sheetFormatPr defaultColWidth="10.8984375" defaultRowHeight="15.6"/>
  <cols>
    <col min="1" max="1" width="10.8984375" style="2"/>
    <col min="2" max="2" width="30.59765625" style="2" customWidth="1"/>
    <col min="3" max="12" width="13.5" style="4" customWidth="1"/>
    <col min="13" max="13" width="46.3984375" style="2" customWidth="1"/>
    <col min="14" max="14" width="32" style="2" customWidth="1"/>
    <col min="15" max="16384" width="10.8984375" style="2"/>
  </cols>
  <sheetData>
    <row r="2" spans="2:21">
      <c r="B2" s="1" t="s">
        <v>541</v>
      </c>
    </row>
    <row r="4" spans="2:21" s="7" customFormat="1">
      <c r="B4" s="7" t="s">
        <v>574</v>
      </c>
      <c r="C4" s="50" t="s">
        <v>573</v>
      </c>
      <c r="D4" s="50"/>
      <c r="E4" s="51"/>
      <c r="F4" s="51"/>
      <c r="G4" s="50"/>
      <c r="H4" s="50"/>
      <c r="I4" s="52"/>
      <c r="J4" s="52"/>
      <c r="K4" s="52"/>
      <c r="L4" s="52"/>
      <c r="M4" s="52"/>
      <c r="N4" s="52"/>
      <c r="O4" s="53"/>
      <c r="P4" s="53"/>
      <c r="Q4" s="53"/>
      <c r="R4" s="53"/>
      <c r="S4" s="53"/>
      <c r="T4" s="53"/>
      <c r="U4" s="53"/>
    </row>
    <row r="5" spans="2:21" s="9" customFormat="1" ht="15">
      <c r="B5" s="9" t="str">
        <f>'РО - зоны'!C5</f>
        <v>Кудрявцева</v>
      </c>
      <c r="C5" s="59">
        <f>'РО - зоны'!D5</f>
        <v>47757</v>
      </c>
      <c r="D5" s="13"/>
      <c r="E5" s="38"/>
      <c r="F5" s="38"/>
      <c r="G5" s="13"/>
      <c r="H5" s="13"/>
      <c r="I5" s="8"/>
      <c r="J5" s="8"/>
      <c r="K5" s="8"/>
      <c r="L5" s="8"/>
      <c r="M5" s="8"/>
      <c r="N5" s="8"/>
      <c r="O5" s="14"/>
      <c r="P5" s="14"/>
      <c r="Q5" s="14"/>
      <c r="R5" s="14"/>
      <c r="S5" s="14"/>
      <c r="T5" s="14"/>
      <c r="U5" s="14"/>
    </row>
    <row r="7" spans="2:21">
      <c r="B7" s="2" t="s">
        <v>92</v>
      </c>
    </row>
    <row r="8" spans="2:21">
      <c r="B8" s="2" t="s">
        <v>93</v>
      </c>
      <c r="D8" s="3">
        <v>1.5</v>
      </c>
    </row>
    <row r="9" spans="2:21">
      <c r="B9" s="2" t="s">
        <v>94</v>
      </c>
      <c r="D9" s="3">
        <v>0.5</v>
      </c>
    </row>
    <row r="10" spans="2:21">
      <c r="B10" s="2" t="s">
        <v>95</v>
      </c>
    </row>
    <row r="11" spans="2:21">
      <c r="B11" s="2" t="s">
        <v>96</v>
      </c>
      <c r="C11" s="5"/>
      <c r="E11" s="5"/>
      <c r="F11" s="5"/>
      <c r="G11" s="5"/>
      <c r="H11" s="5"/>
      <c r="I11" s="5"/>
      <c r="J11" s="5"/>
      <c r="K11" s="5"/>
      <c r="L11" s="5"/>
    </row>
    <row r="12" spans="2:21">
      <c r="C12" s="5"/>
      <c r="E12" s="5"/>
      <c r="F12" s="5"/>
      <c r="G12" s="5"/>
      <c r="H12" s="5"/>
      <c r="I12" s="5"/>
      <c r="J12" s="5"/>
      <c r="K12" s="5"/>
      <c r="L12" s="5"/>
    </row>
    <row r="14" spans="2:21" s="43" customFormat="1" ht="46.8">
      <c r="B14" s="43" t="s">
        <v>0</v>
      </c>
      <c r="C14" s="44" t="s">
        <v>118</v>
      </c>
      <c r="D14" s="44" t="s">
        <v>117</v>
      </c>
      <c r="E14" s="44" t="s">
        <v>544</v>
      </c>
      <c r="F14" s="44" t="s">
        <v>542</v>
      </c>
      <c r="G14" s="44" t="s">
        <v>543</v>
      </c>
      <c r="H14" s="44" t="s">
        <v>545</v>
      </c>
      <c r="I14" s="44" t="s">
        <v>546</v>
      </c>
      <c r="J14" s="44" t="s">
        <v>547</v>
      </c>
      <c r="K14" s="44" t="s">
        <v>551</v>
      </c>
      <c r="L14" s="44" t="s">
        <v>567</v>
      </c>
      <c r="M14" s="43" t="s">
        <v>575</v>
      </c>
      <c r="N14" s="43" t="s">
        <v>552</v>
      </c>
    </row>
    <row r="15" spans="2:21" s="43" customFormat="1">
      <c r="B15" s="43" t="s">
        <v>105</v>
      </c>
      <c r="C15" s="45"/>
      <c r="D15" s="45"/>
      <c r="E15" s="45">
        <f>SUM(E16:E104)</f>
        <v>159</v>
      </c>
      <c r="F15" s="45">
        <f>SUM(F16:F104)</f>
        <v>97</v>
      </c>
      <c r="G15" s="45">
        <f>SUM(G16:G104)</f>
        <v>4</v>
      </c>
      <c r="H15" s="45">
        <f>SUM(H16:H104)</f>
        <v>260</v>
      </c>
      <c r="I15" s="46" t="str">
        <f>_xlfn.TEXTJOIN(,0,G15,"/",F15,"/",E15)</f>
        <v>4/97/159</v>
      </c>
      <c r="J15" s="45">
        <f>SUM(J16:J104)</f>
        <v>9</v>
      </c>
      <c r="K15" s="46" t="str">
        <f>_xlfn.TEXTJOIN(,0,COUNTIF(K16:K104,"Подписана")," из ",COUNTIF(K16:K104,"Не подписана"))</f>
        <v>7 из 37</v>
      </c>
      <c r="L15" s="46"/>
    </row>
    <row r="16" spans="2:21">
      <c r="B16" s="48" t="s">
        <v>1</v>
      </c>
      <c r="C16" s="45">
        <f>IF(D16&gt;$D$8,2,IF(D16&gt;$D$9,1,0))</f>
        <v>1</v>
      </c>
      <c r="D16" s="45">
        <f>IF(G16&gt;0,2,IF(F16&gt;0,1,0))</f>
        <v>1</v>
      </c>
      <c r="E16" s="45">
        <f>H16-F16-G16</f>
        <v>3</v>
      </c>
      <c r="F16" s="45">
        <f>SUMIFS('РО - зоны'!$H$8:$H$266,'РО - зоны'!$D$8:$D$266,B16)</f>
        <v>4</v>
      </c>
      <c r="G16" s="45">
        <f>SUMIFS('РО - зоны'!$I$8:$I$266,'РО - зоны'!$D$8:$D$266,B16)/2</f>
        <v>0</v>
      </c>
      <c r="H16" s="45">
        <f>SUMIFS('РО - зоны'!$J$8:$J$266,'РО - зоны'!$D$8:$D$266,B16)</f>
        <v>7</v>
      </c>
      <c r="I16" s="46" t="str">
        <f>_xlfn.TEXTJOIN(,0,G16," / ",F16," / ",E16," из ",E16+F16+G16)</f>
        <v>0 / 4 / 3 из 7</v>
      </c>
      <c r="J16" s="47">
        <v>0</v>
      </c>
      <c r="K16" s="46" t="str">
        <f>IF(F16+G16&gt;0,IF(J16=0,"не подписана","подписана"),"не требуется")</f>
        <v>не подписана</v>
      </c>
      <c r="L16" s="47">
        <f>IF(J16&lt;F16+G16,2,0)</f>
        <v>2</v>
      </c>
      <c r="M16" s="2" t="str">
        <f>_xlfn.TEXTJOIN(,0,"Из ",E16+F16+G16," РО ",E16," в зеленой зоне, ",F16," - в желтой, ",G16," - в красной")</f>
        <v>Из 7 РО 3 в зеленой зоне, 4 - в желтой, 0 - в красной</v>
      </c>
      <c r="N16" s="2" t="str">
        <f>_xlfn.TEXTJOIN(,0,"Дорожная карта ",K16)</f>
        <v>Дорожная карта не подписана</v>
      </c>
    </row>
    <row r="17" spans="2:14">
      <c r="B17" s="48" t="s">
        <v>9</v>
      </c>
      <c r="C17" s="45">
        <f t="shared" ref="C17:C80" si="0">IF(D17&gt;$D$8,2,IF(D17&gt;$D$9,1,0))</f>
        <v>1</v>
      </c>
      <c r="D17" s="45">
        <f t="shared" ref="D17:D80" si="1">IF(G17&gt;0,2,IF(F17&gt;0,1,0))</f>
        <v>1</v>
      </c>
      <c r="E17" s="45">
        <f t="shared" ref="E17:E80" si="2">H17-F17-G17</f>
        <v>2</v>
      </c>
      <c r="F17" s="45">
        <f>SUMIFS('РО - зоны'!$H$8:$H$266,'РО - зоны'!$D$8:$D$266,B17)</f>
        <v>3</v>
      </c>
      <c r="G17" s="45">
        <f>SUMIFS('РО - зоны'!$I$8:$I$266,'РО - зоны'!$D$8:$D$266,B17)/2</f>
        <v>0</v>
      </c>
      <c r="H17" s="45">
        <f>SUMIFS('РО - зоны'!$J$8:$J$266,'РО - зоны'!$D$8:$D$266,B17)</f>
        <v>5</v>
      </c>
      <c r="I17" s="46" t="str">
        <f t="shared" ref="I17:I80" si="3">_xlfn.TEXTJOIN(,0,G17," / ",F17," / ",E17," из ",E17+F17+G17)</f>
        <v>0 / 3 / 2 из 5</v>
      </c>
      <c r="J17" s="47">
        <v>0</v>
      </c>
      <c r="K17" s="46" t="str">
        <f t="shared" ref="K17:K80" si="4">IF(F17+G17&gt;0,IF(J17=0,"не подписана","подписана"),"не требуется")</f>
        <v>не подписана</v>
      </c>
      <c r="L17" s="47">
        <f t="shared" ref="L17:L80" si="5">IF(J17&lt;F17+G17,2,0)</f>
        <v>2</v>
      </c>
      <c r="M17" s="2" t="str">
        <f t="shared" ref="M17:M80" si="6">_xlfn.TEXTJOIN(,0,"Из ",E17+F17+G17," РО ",E17," в зеленой зоне, ",F17," - в желтой, ",G17," - в красной")</f>
        <v>Из 5 РО 2 в зеленой зоне, 3 - в желтой, 0 - в красной</v>
      </c>
      <c r="N17" s="2" t="str">
        <f t="shared" ref="N17:N80" si="7">_xlfn.TEXTJOIN(,0,"Дорожная карта ",K17)</f>
        <v>Дорожная карта не подписана</v>
      </c>
    </row>
    <row r="18" spans="2:14">
      <c r="B18" s="48" t="s">
        <v>10</v>
      </c>
      <c r="C18" s="45">
        <f t="shared" si="0"/>
        <v>1</v>
      </c>
      <c r="D18" s="45">
        <f t="shared" si="1"/>
        <v>1</v>
      </c>
      <c r="E18" s="45">
        <f t="shared" si="2"/>
        <v>0</v>
      </c>
      <c r="F18" s="45">
        <f>SUMIFS('РО - зоны'!$H$8:$H$266,'РО - зоны'!$D$8:$D$266,B18)</f>
        <v>1</v>
      </c>
      <c r="G18" s="45">
        <f>SUMIFS('РО - зоны'!$I$8:$I$266,'РО - зоны'!$D$8:$D$266,B18)/2</f>
        <v>0</v>
      </c>
      <c r="H18" s="45">
        <f>SUMIFS('РО - зоны'!$J$8:$J$266,'РО - зоны'!$D$8:$D$266,B18)</f>
        <v>1</v>
      </c>
      <c r="I18" s="46" t="str">
        <f t="shared" si="3"/>
        <v>0 / 1 / 0 из 1</v>
      </c>
      <c r="J18" s="47">
        <v>0</v>
      </c>
      <c r="K18" s="46" t="str">
        <f t="shared" si="4"/>
        <v>не подписана</v>
      </c>
      <c r="L18" s="47">
        <f t="shared" si="5"/>
        <v>2</v>
      </c>
      <c r="M18" s="2" t="str">
        <f t="shared" si="6"/>
        <v>Из 1 РО 0 в зеленой зоне, 1 - в желтой, 0 - в красной</v>
      </c>
      <c r="N18" s="2" t="str">
        <f t="shared" si="7"/>
        <v>Дорожная карта не подписана</v>
      </c>
    </row>
    <row r="19" spans="2:14">
      <c r="B19" s="48" t="s">
        <v>2</v>
      </c>
      <c r="C19" s="45">
        <f t="shared" si="0"/>
        <v>0</v>
      </c>
      <c r="D19" s="45">
        <f t="shared" si="1"/>
        <v>0</v>
      </c>
      <c r="E19" s="45">
        <f t="shared" si="2"/>
        <v>2</v>
      </c>
      <c r="F19" s="45">
        <f>SUMIFS('РО - зоны'!$H$8:$H$266,'РО - зоны'!$D$8:$D$266,B19)</f>
        <v>0</v>
      </c>
      <c r="G19" s="45">
        <f>SUMIFS('РО - зоны'!$I$8:$I$266,'РО - зоны'!$D$8:$D$266,B19)/2</f>
        <v>0</v>
      </c>
      <c r="H19" s="45">
        <f>SUMIFS('РО - зоны'!$J$8:$J$266,'РО - зоны'!$D$8:$D$266,B19)</f>
        <v>2</v>
      </c>
      <c r="I19" s="46" t="str">
        <f t="shared" si="3"/>
        <v>0 / 0 / 2 из 2</v>
      </c>
      <c r="J19" s="47">
        <v>0</v>
      </c>
      <c r="K19" s="46" t="str">
        <f t="shared" si="4"/>
        <v>не требуется</v>
      </c>
      <c r="L19" s="47">
        <f t="shared" si="5"/>
        <v>0</v>
      </c>
      <c r="M19" s="2" t="str">
        <f t="shared" si="6"/>
        <v>Из 2 РО 2 в зеленой зоне, 0 - в желтой, 0 - в красной</v>
      </c>
      <c r="N19" s="2" t="str">
        <f t="shared" si="7"/>
        <v>Дорожная карта не требуется</v>
      </c>
    </row>
    <row r="20" spans="2:14">
      <c r="B20" s="48" t="s">
        <v>11</v>
      </c>
      <c r="C20" s="45">
        <f t="shared" si="0"/>
        <v>0</v>
      </c>
      <c r="D20" s="45">
        <f t="shared" si="1"/>
        <v>0</v>
      </c>
      <c r="E20" s="45">
        <f t="shared" si="2"/>
        <v>1</v>
      </c>
      <c r="F20" s="45">
        <f>SUMIFS('РО - зоны'!$H$8:$H$266,'РО - зоны'!$D$8:$D$266,B20)</f>
        <v>0</v>
      </c>
      <c r="G20" s="45">
        <f>SUMIFS('РО - зоны'!$I$8:$I$266,'РО - зоны'!$D$8:$D$266,B20)/2</f>
        <v>0</v>
      </c>
      <c r="H20" s="45">
        <f>SUMIFS('РО - зоны'!$J$8:$J$266,'РО - зоны'!$D$8:$D$266,B20)</f>
        <v>1</v>
      </c>
      <c r="I20" s="46" t="str">
        <f t="shared" si="3"/>
        <v>0 / 0 / 1 из 1</v>
      </c>
      <c r="J20" s="47">
        <v>0</v>
      </c>
      <c r="K20" s="46" t="str">
        <f t="shared" si="4"/>
        <v>не требуется</v>
      </c>
      <c r="L20" s="47">
        <f t="shared" si="5"/>
        <v>0</v>
      </c>
      <c r="M20" s="2" t="str">
        <f t="shared" si="6"/>
        <v>Из 1 РО 1 в зеленой зоне, 0 - в желтой, 0 - в красной</v>
      </c>
      <c r="N20" s="2" t="str">
        <f t="shared" si="7"/>
        <v>Дорожная карта не требуется</v>
      </c>
    </row>
    <row r="21" spans="2:14">
      <c r="B21" s="48" t="s">
        <v>12</v>
      </c>
      <c r="C21" s="45">
        <f t="shared" si="0"/>
        <v>0</v>
      </c>
      <c r="D21" s="45">
        <f t="shared" si="1"/>
        <v>0</v>
      </c>
      <c r="E21" s="45">
        <f t="shared" si="2"/>
        <v>2</v>
      </c>
      <c r="F21" s="45">
        <f>SUMIFS('РО - зоны'!$H$8:$H$266,'РО - зоны'!$D$8:$D$266,B21)</f>
        <v>0</v>
      </c>
      <c r="G21" s="45">
        <f>SUMIFS('РО - зоны'!$I$8:$I$266,'РО - зоны'!$D$8:$D$266,B21)/2</f>
        <v>0</v>
      </c>
      <c r="H21" s="45">
        <f>SUMIFS('РО - зоны'!$J$8:$J$266,'РО - зоны'!$D$8:$D$266,B21)</f>
        <v>2</v>
      </c>
      <c r="I21" s="46" t="str">
        <f t="shared" si="3"/>
        <v>0 / 0 / 2 из 2</v>
      </c>
      <c r="J21" s="47">
        <v>0</v>
      </c>
      <c r="K21" s="46" t="str">
        <f t="shared" si="4"/>
        <v>не требуется</v>
      </c>
      <c r="L21" s="47">
        <f t="shared" si="5"/>
        <v>0</v>
      </c>
      <c r="M21" s="2" t="str">
        <f t="shared" si="6"/>
        <v>Из 2 РО 2 в зеленой зоне, 0 - в желтой, 0 - в красной</v>
      </c>
      <c r="N21" s="2" t="str">
        <f t="shared" si="7"/>
        <v>Дорожная карта не требуется</v>
      </c>
    </row>
    <row r="22" spans="2:14">
      <c r="B22" s="48" t="s">
        <v>13</v>
      </c>
      <c r="C22" s="45">
        <f t="shared" si="0"/>
        <v>1</v>
      </c>
      <c r="D22" s="45">
        <f t="shared" si="1"/>
        <v>1</v>
      </c>
      <c r="E22" s="45">
        <f t="shared" si="2"/>
        <v>2</v>
      </c>
      <c r="F22" s="45">
        <f>SUMIFS('РО - зоны'!$H$8:$H$266,'РО - зоны'!$D$8:$D$266,B22)</f>
        <v>1</v>
      </c>
      <c r="G22" s="45">
        <f>SUMIFS('РО - зоны'!$I$8:$I$266,'РО - зоны'!$D$8:$D$266,B22)/2</f>
        <v>0</v>
      </c>
      <c r="H22" s="45">
        <f>SUMIFS('РО - зоны'!$J$8:$J$266,'РО - зоны'!$D$8:$D$266,B22)</f>
        <v>3</v>
      </c>
      <c r="I22" s="46" t="str">
        <f t="shared" si="3"/>
        <v>0 / 1 / 2 из 3</v>
      </c>
      <c r="J22" s="47">
        <v>0</v>
      </c>
      <c r="K22" s="46" t="str">
        <f t="shared" si="4"/>
        <v>не подписана</v>
      </c>
      <c r="L22" s="47">
        <f t="shared" si="5"/>
        <v>2</v>
      </c>
      <c r="M22" s="2" t="str">
        <f t="shared" si="6"/>
        <v>Из 3 РО 2 в зеленой зоне, 1 - в желтой, 0 - в красной</v>
      </c>
      <c r="N22" s="2" t="str">
        <f t="shared" si="7"/>
        <v>Дорожная карта не подписана</v>
      </c>
    </row>
    <row r="23" spans="2:14">
      <c r="B23" s="48" t="s">
        <v>14</v>
      </c>
      <c r="C23" s="45">
        <f t="shared" si="0"/>
        <v>0</v>
      </c>
      <c r="D23" s="45">
        <f t="shared" si="1"/>
        <v>0</v>
      </c>
      <c r="E23" s="45">
        <f t="shared" si="2"/>
        <v>1</v>
      </c>
      <c r="F23" s="45">
        <f>SUMIFS('РО - зоны'!$H$8:$H$266,'РО - зоны'!$D$8:$D$266,B23)</f>
        <v>0</v>
      </c>
      <c r="G23" s="45">
        <f>SUMIFS('РО - зоны'!$I$8:$I$266,'РО - зоны'!$D$8:$D$266,B23)/2</f>
        <v>0</v>
      </c>
      <c r="H23" s="45">
        <f>SUMIFS('РО - зоны'!$J$8:$J$266,'РО - зоны'!$D$8:$D$266,B23)</f>
        <v>1</v>
      </c>
      <c r="I23" s="46" t="str">
        <f t="shared" si="3"/>
        <v>0 / 0 / 1 из 1</v>
      </c>
      <c r="J23" s="47">
        <v>0</v>
      </c>
      <c r="K23" s="46" t="str">
        <f t="shared" si="4"/>
        <v>не требуется</v>
      </c>
      <c r="L23" s="47">
        <f t="shared" si="5"/>
        <v>0</v>
      </c>
      <c r="M23" s="2" t="str">
        <f t="shared" si="6"/>
        <v>Из 1 РО 1 в зеленой зоне, 0 - в желтой, 0 - в красной</v>
      </c>
      <c r="N23" s="2" t="str">
        <f t="shared" si="7"/>
        <v>Дорожная карта не требуется</v>
      </c>
    </row>
    <row r="24" spans="2:14">
      <c r="B24" s="48" t="s">
        <v>15</v>
      </c>
      <c r="C24" s="45">
        <f t="shared" si="0"/>
        <v>1</v>
      </c>
      <c r="D24" s="45">
        <f t="shared" si="1"/>
        <v>1</v>
      </c>
      <c r="E24" s="45">
        <f t="shared" si="2"/>
        <v>0</v>
      </c>
      <c r="F24" s="45">
        <f>SUMIFS('РО - зоны'!$H$8:$H$266,'РО - зоны'!$D$8:$D$266,B24)</f>
        <v>2</v>
      </c>
      <c r="G24" s="45">
        <f>SUMIFS('РО - зоны'!$I$8:$I$266,'РО - зоны'!$D$8:$D$266,B24)/2</f>
        <v>0</v>
      </c>
      <c r="H24" s="45">
        <f>SUMIFS('РО - зоны'!$J$8:$J$266,'РО - зоны'!$D$8:$D$266,B24)</f>
        <v>2</v>
      </c>
      <c r="I24" s="46" t="str">
        <f t="shared" si="3"/>
        <v>0 / 2 / 0 из 2</v>
      </c>
      <c r="J24" s="47">
        <v>0</v>
      </c>
      <c r="K24" s="46" t="str">
        <f t="shared" si="4"/>
        <v>не подписана</v>
      </c>
      <c r="L24" s="47">
        <f t="shared" si="5"/>
        <v>2</v>
      </c>
      <c r="M24" s="2" t="str">
        <f t="shared" si="6"/>
        <v>Из 2 РО 0 в зеленой зоне, 2 - в желтой, 0 - в красной</v>
      </c>
      <c r="N24" s="2" t="str">
        <f t="shared" si="7"/>
        <v>Дорожная карта не подписана</v>
      </c>
    </row>
    <row r="25" spans="2:14">
      <c r="B25" s="48" t="s">
        <v>16</v>
      </c>
      <c r="C25" s="45">
        <f t="shared" si="0"/>
        <v>1</v>
      </c>
      <c r="D25" s="45">
        <f t="shared" si="1"/>
        <v>1</v>
      </c>
      <c r="E25" s="45">
        <f t="shared" si="2"/>
        <v>7</v>
      </c>
      <c r="F25" s="45">
        <f>SUMIFS('РО - зоны'!$H$8:$H$266,'РО - зоны'!$D$8:$D$266,B25)</f>
        <v>1</v>
      </c>
      <c r="G25" s="45">
        <f>SUMIFS('РО - зоны'!$I$8:$I$266,'РО - зоны'!$D$8:$D$266,B25)/2</f>
        <v>0</v>
      </c>
      <c r="H25" s="45">
        <f>SUMIFS('РО - зоны'!$J$8:$J$266,'РО - зоны'!$D$8:$D$266,B25)</f>
        <v>8</v>
      </c>
      <c r="I25" s="46" t="str">
        <f t="shared" si="3"/>
        <v>0 / 1 / 7 из 8</v>
      </c>
      <c r="J25" s="47">
        <v>0</v>
      </c>
      <c r="K25" s="46" t="str">
        <f t="shared" si="4"/>
        <v>не подписана</v>
      </c>
      <c r="L25" s="47">
        <f t="shared" si="5"/>
        <v>2</v>
      </c>
      <c r="M25" s="2" t="str">
        <f t="shared" si="6"/>
        <v>Из 8 РО 7 в зеленой зоне, 1 - в желтой, 0 - в красной</v>
      </c>
      <c r="N25" s="2" t="str">
        <f t="shared" si="7"/>
        <v>Дорожная карта не подписана</v>
      </c>
    </row>
    <row r="26" spans="2:14">
      <c r="B26" s="48" t="s">
        <v>17</v>
      </c>
      <c r="C26" s="45">
        <f t="shared" si="0"/>
        <v>0</v>
      </c>
      <c r="D26" s="45">
        <f t="shared" si="1"/>
        <v>0</v>
      </c>
      <c r="E26" s="45">
        <f t="shared" si="2"/>
        <v>1</v>
      </c>
      <c r="F26" s="45">
        <f>SUMIFS('РО - зоны'!$H$8:$H$266,'РО - зоны'!$D$8:$D$266,B26)</f>
        <v>0</v>
      </c>
      <c r="G26" s="45">
        <f>SUMIFS('РО - зоны'!$I$8:$I$266,'РО - зоны'!$D$8:$D$266,B26)/2</f>
        <v>0</v>
      </c>
      <c r="H26" s="45">
        <f>SUMIFS('РО - зоны'!$J$8:$J$266,'РО - зоны'!$D$8:$D$266,B26)</f>
        <v>1</v>
      </c>
      <c r="I26" s="46" t="str">
        <f t="shared" si="3"/>
        <v>0 / 0 / 1 из 1</v>
      </c>
      <c r="J26" s="47">
        <v>0</v>
      </c>
      <c r="K26" s="46" t="str">
        <f t="shared" si="4"/>
        <v>не требуется</v>
      </c>
      <c r="L26" s="47">
        <f t="shared" si="5"/>
        <v>0</v>
      </c>
      <c r="M26" s="2" t="str">
        <f t="shared" si="6"/>
        <v>Из 1 РО 1 в зеленой зоне, 0 - в желтой, 0 - в красной</v>
      </c>
      <c r="N26" s="2" t="str">
        <f t="shared" si="7"/>
        <v>Дорожная карта не требуется</v>
      </c>
    </row>
    <row r="27" spans="2:14">
      <c r="B27" s="48" t="s">
        <v>18</v>
      </c>
      <c r="C27" s="45">
        <f t="shared" si="0"/>
        <v>0</v>
      </c>
      <c r="D27" s="45">
        <f t="shared" si="1"/>
        <v>0</v>
      </c>
      <c r="E27" s="45">
        <f t="shared" si="2"/>
        <v>1</v>
      </c>
      <c r="F27" s="45">
        <f>SUMIFS('РО - зоны'!$H$8:$H$266,'РО - зоны'!$D$8:$D$266,B27)</f>
        <v>0</v>
      </c>
      <c r="G27" s="45">
        <f>SUMIFS('РО - зоны'!$I$8:$I$266,'РО - зоны'!$D$8:$D$266,B27)/2</f>
        <v>0</v>
      </c>
      <c r="H27" s="45">
        <f>SUMIFS('РО - зоны'!$J$8:$J$266,'РО - зоны'!$D$8:$D$266,B27)</f>
        <v>1</v>
      </c>
      <c r="I27" s="46" t="str">
        <f t="shared" si="3"/>
        <v>0 / 0 / 1 из 1</v>
      </c>
      <c r="J27" s="47">
        <v>0</v>
      </c>
      <c r="K27" s="46" t="str">
        <f t="shared" si="4"/>
        <v>не требуется</v>
      </c>
      <c r="L27" s="47">
        <f t="shared" si="5"/>
        <v>0</v>
      </c>
      <c r="M27" s="2" t="str">
        <f t="shared" si="6"/>
        <v>Из 1 РО 1 в зеленой зоне, 0 - в желтой, 0 - в красной</v>
      </c>
      <c r="N27" s="2" t="str">
        <f t="shared" si="7"/>
        <v>Дорожная карта не требуется</v>
      </c>
    </row>
    <row r="28" spans="2:14">
      <c r="B28" s="48" t="s">
        <v>19</v>
      </c>
      <c r="C28" s="45">
        <f t="shared" si="0"/>
        <v>0</v>
      </c>
      <c r="D28" s="45">
        <f t="shared" si="1"/>
        <v>0</v>
      </c>
      <c r="E28" s="45">
        <f t="shared" si="2"/>
        <v>1</v>
      </c>
      <c r="F28" s="45">
        <f>SUMIFS('РО - зоны'!$H$8:$H$266,'РО - зоны'!$D$8:$D$266,B28)</f>
        <v>0</v>
      </c>
      <c r="G28" s="45">
        <f>SUMIFS('РО - зоны'!$I$8:$I$266,'РО - зоны'!$D$8:$D$266,B28)/2</f>
        <v>0</v>
      </c>
      <c r="H28" s="45">
        <f>SUMIFS('РО - зоны'!$J$8:$J$266,'РО - зоны'!$D$8:$D$266,B28)</f>
        <v>1</v>
      </c>
      <c r="I28" s="46" t="str">
        <f t="shared" si="3"/>
        <v>0 / 0 / 1 из 1</v>
      </c>
      <c r="J28" s="47">
        <v>0</v>
      </c>
      <c r="K28" s="46" t="str">
        <f t="shared" si="4"/>
        <v>не требуется</v>
      </c>
      <c r="L28" s="47">
        <f t="shared" si="5"/>
        <v>0</v>
      </c>
      <c r="M28" s="2" t="str">
        <f t="shared" si="6"/>
        <v>Из 1 РО 1 в зеленой зоне, 0 - в желтой, 0 - в красной</v>
      </c>
      <c r="N28" s="2" t="str">
        <f t="shared" si="7"/>
        <v>Дорожная карта не требуется</v>
      </c>
    </row>
    <row r="29" spans="2:14">
      <c r="B29" s="48" t="s">
        <v>580</v>
      </c>
      <c r="C29" s="45">
        <f t="shared" si="0"/>
        <v>1</v>
      </c>
      <c r="D29" s="45">
        <f t="shared" si="1"/>
        <v>1</v>
      </c>
      <c r="E29" s="45">
        <f t="shared" si="2"/>
        <v>0</v>
      </c>
      <c r="F29" s="45">
        <f>SUMIFS('РО - зоны'!$H$8:$H$266,'РО - зоны'!$D$8:$D$266,B29)</f>
        <v>1</v>
      </c>
      <c r="G29" s="45">
        <f>SUMIFS('РО - зоны'!$I$8:$I$266,'РО - зоны'!$D$8:$D$266,B29)/2</f>
        <v>0</v>
      </c>
      <c r="H29" s="45">
        <f>SUMIFS('РО - зоны'!$J$8:$J$266,'РО - зоны'!$D$8:$D$266,B29)</f>
        <v>1</v>
      </c>
      <c r="I29" s="46" t="str">
        <f t="shared" si="3"/>
        <v>0 / 1 / 0 из 1</v>
      </c>
      <c r="J29" s="47">
        <v>0</v>
      </c>
      <c r="K29" s="46" t="str">
        <f t="shared" si="4"/>
        <v>не подписана</v>
      </c>
      <c r="L29" s="47">
        <f t="shared" si="5"/>
        <v>2</v>
      </c>
      <c r="M29" s="2" t="str">
        <f t="shared" si="6"/>
        <v>Из 1 РО 0 в зеленой зоне, 1 - в желтой, 0 - в красной</v>
      </c>
      <c r="N29" s="2" t="str">
        <f t="shared" si="7"/>
        <v>Дорожная карта не подписана</v>
      </c>
    </row>
    <row r="30" spans="2:14">
      <c r="B30" s="48" t="s">
        <v>20</v>
      </c>
      <c r="C30" s="45">
        <f t="shared" si="0"/>
        <v>1</v>
      </c>
      <c r="D30" s="45">
        <f t="shared" si="1"/>
        <v>1</v>
      </c>
      <c r="E30" s="45">
        <f t="shared" si="2"/>
        <v>0</v>
      </c>
      <c r="F30" s="45">
        <f>SUMIFS('РО - зоны'!$H$8:$H$266,'РО - зоны'!$D$8:$D$266,B30)</f>
        <v>1</v>
      </c>
      <c r="G30" s="45">
        <f>SUMIFS('РО - зоны'!$I$8:$I$266,'РО - зоны'!$D$8:$D$266,B30)/2</f>
        <v>0</v>
      </c>
      <c r="H30" s="45">
        <f>SUMIFS('РО - зоны'!$J$8:$J$266,'РО - зоны'!$D$8:$D$266,B30)</f>
        <v>1</v>
      </c>
      <c r="I30" s="46" t="str">
        <f t="shared" si="3"/>
        <v>0 / 1 / 0 из 1</v>
      </c>
      <c r="J30" s="47">
        <v>0</v>
      </c>
      <c r="K30" s="46" t="str">
        <f t="shared" si="4"/>
        <v>не подписана</v>
      </c>
      <c r="L30" s="47">
        <f t="shared" si="5"/>
        <v>2</v>
      </c>
      <c r="M30" s="2" t="str">
        <f t="shared" si="6"/>
        <v>Из 1 РО 0 в зеленой зоне, 1 - в желтой, 0 - в красной</v>
      </c>
      <c r="N30" s="2" t="str">
        <f t="shared" si="7"/>
        <v>Дорожная карта не подписана</v>
      </c>
    </row>
    <row r="31" spans="2:14">
      <c r="B31" s="48" t="s">
        <v>21</v>
      </c>
      <c r="C31" s="45">
        <f t="shared" si="0"/>
        <v>1</v>
      </c>
      <c r="D31" s="45">
        <f t="shared" si="1"/>
        <v>1</v>
      </c>
      <c r="E31" s="45">
        <f t="shared" si="2"/>
        <v>0</v>
      </c>
      <c r="F31" s="45">
        <f>SUMIFS('РО - зоны'!$H$8:$H$266,'РО - зоны'!$D$8:$D$266,B31)</f>
        <v>1</v>
      </c>
      <c r="G31" s="45">
        <f>SUMIFS('РО - зоны'!$I$8:$I$266,'РО - зоны'!$D$8:$D$266,B31)/2</f>
        <v>0</v>
      </c>
      <c r="H31" s="45">
        <f>SUMIFS('РО - зоны'!$J$8:$J$266,'РО - зоны'!$D$8:$D$266,B31)</f>
        <v>1</v>
      </c>
      <c r="I31" s="46" t="str">
        <f t="shared" si="3"/>
        <v>0 / 1 / 0 из 1</v>
      </c>
      <c r="J31" s="47">
        <v>0</v>
      </c>
      <c r="K31" s="46" t="str">
        <f t="shared" si="4"/>
        <v>не подписана</v>
      </c>
      <c r="L31" s="47">
        <f t="shared" si="5"/>
        <v>2</v>
      </c>
      <c r="M31" s="2" t="str">
        <f t="shared" si="6"/>
        <v>Из 1 РО 0 в зеленой зоне, 1 - в желтой, 0 - в красной</v>
      </c>
      <c r="N31" s="2" t="str">
        <f t="shared" si="7"/>
        <v>Дорожная карта не подписана</v>
      </c>
    </row>
    <row r="32" spans="2:14">
      <c r="B32" s="48" t="s">
        <v>163</v>
      </c>
      <c r="C32" s="45">
        <f t="shared" si="0"/>
        <v>1</v>
      </c>
      <c r="D32" s="45">
        <f t="shared" si="1"/>
        <v>1</v>
      </c>
      <c r="E32" s="45">
        <f t="shared" si="2"/>
        <v>0</v>
      </c>
      <c r="F32" s="45">
        <f>SUMIFS('РО - зоны'!$H$8:$H$266,'РО - зоны'!$D$8:$D$266,B32)</f>
        <v>1</v>
      </c>
      <c r="G32" s="45">
        <f>SUMIFS('РО - зоны'!$I$8:$I$266,'РО - зоны'!$D$8:$D$266,B32)/2</f>
        <v>0</v>
      </c>
      <c r="H32" s="45">
        <f>SUMIFS('РО - зоны'!$J$8:$J$266,'РО - зоны'!$D$8:$D$266,B32)</f>
        <v>1</v>
      </c>
      <c r="I32" s="46" t="str">
        <f t="shared" si="3"/>
        <v>0 / 1 / 0 из 1</v>
      </c>
      <c r="J32" s="47">
        <v>0</v>
      </c>
      <c r="K32" s="46" t="str">
        <f t="shared" si="4"/>
        <v>не подписана</v>
      </c>
      <c r="L32" s="47">
        <f t="shared" si="5"/>
        <v>2</v>
      </c>
      <c r="M32" s="2" t="str">
        <f t="shared" si="6"/>
        <v>Из 1 РО 0 в зеленой зоне, 1 - в желтой, 0 - в красной</v>
      </c>
      <c r="N32" s="2" t="str">
        <f t="shared" si="7"/>
        <v>Дорожная карта не подписана</v>
      </c>
    </row>
    <row r="33" spans="2:14">
      <c r="B33" s="48" t="s">
        <v>22</v>
      </c>
      <c r="C33" s="45">
        <f t="shared" si="0"/>
        <v>0</v>
      </c>
      <c r="D33" s="45">
        <f t="shared" si="1"/>
        <v>0</v>
      </c>
      <c r="E33" s="45">
        <f t="shared" si="2"/>
        <v>1</v>
      </c>
      <c r="F33" s="45">
        <f>SUMIFS('РО - зоны'!$H$8:$H$266,'РО - зоны'!$D$8:$D$266,B33)</f>
        <v>0</v>
      </c>
      <c r="G33" s="45">
        <f>SUMIFS('РО - зоны'!$I$8:$I$266,'РО - зоны'!$D$8:$D$266,B33)/2</f>
        <v>0</v>
      </c>
      <c r="H33" s="45">
        <f>SUMIFS('РО - зоны'!$J$8:$J$266,'РО - зоны'!$D$8:$D$266,B33)</f>
        <v>1</v>
      </c>
      <c r="I33" s="46" t="str">
        <f t="shared" si="3"/>
        <v>0 / 0 / 1 из 1</v>
      </c>
      <c r="J33" s="47">
        <v>0</v>
      </c>
      <c r="K33" s="46" t="str">
        <f t="shared" si="4"/>
        <v>не требуется</v>
      </c>
      <c r="L33" s="47">
        <f t="shared" si="5"/>
        <v>0</v>
      </c>
      <c r="M33" s="2" t="str">
        <f t="shared" si="6"/>
        <v>Из 1 РО 1 в зеленой зоне, 0 - в желтой, 0 - в красной</v>
      </c>
      <c r="N33" s="2" t="str">
        <f t="shared" si="7"/>
        <v>Дорожная карта не требуется</v>
      </c>
    </row>
    <row r="34" spans="2:14">
      <c r="B34" s="48" t="s">
        <v>23</v>
      </c>
      <c r="C34" s="45">
        <f t="shared" si="0"/>
        <v>1</v>
      </c>
      <c r="D34" s="45">
        <f t="shared" si="1"/>
        <v>1</v>
      </c>
      <c r="E34" s="45">
        <f t="shared" si="2"/>
        <v>1</v>
      </c>
      <c r="F34" s="45">
        <f>SUMIFS('РО - зоны'!$H$8:$H$266,'РО - зоны'!$D$8:$D$266,B34)</f>
        <v>1</v>
      </c>
      <c r="G34" s="45">
        <f>SUMIFS('РО - зоны'!$I$8:$I$266,'РО - зоны'!$D$8:$D$266,B34)/2</f>
        <v>0</v>
      </c>
      <c r="H34" s="45">
        <f>SUMIFS('РО - зоны'!$J$8:$J$266,'РО - зоны'!$D$8:$D$266,B34)</f>
        <v>2</v>
      </c>
      <c r="I34" s="46" t="str">
        <f t="shared" si="3"/>
        <v>0 / 1 / 1 из 2</v>
      </c>
      <c r="J34" s="47">
        <v>0</v>
      </c>
      <c r="K34" s="46" t="str">
        <f t="shared" si="4"/>
        <v>не подписана</v>
      </c>
      <c r="L34" s="47">
        <f t="shared" si="5"/>
        <v>2</v>
      </c>
      <c r="M34" s="2" t="str">
        <f t="shared" si="6"/>
        <v>Из 2 РО 1 в зеленой зоне, 1 - в желтой, 0 - в красной</v>
      </c>
      <c r="N34" s="2" t="str">
        <f t="shared" si="7"/>
        <v>Дорожная карта не подписана</v>
      </c>
    </row>
    <row r="35" spans="2:14">
      <c r="B35" s="48" t="s">
        <v>24</v>
      </c>
      <c r="C35" s="45">
        <f t="shared" si="0"/>
        <v>1</v>
      </c>
      <c r="D35" s="45">
        <f t="shared" si="1"/>
        <v>1</v>
      </c>
      <c r="E35" s="45">
        <f t="shared" si="2"/>
        <v>0</v>
      </c>
      <c r="F35" s="45">
        <f>SUMIFS('РО - зоны'!$H$8:$H$266,'РО - зоны'!$D$8:$D$266,B35)</f>
        <v>3</v>
      </c>
      <c r="G35" s="45">
        <f>SUMIFS('РО - зоны'!$I$8:$I$266,'РО - зоны'!$D$8:$D$266,B35)/2</f>
        <v>0</v>
      </c>
      <c r="H35" s="45">
        <f>SUMIFS('РО - зоны'!$J$8:$J$266,'РО - зоны'!$D$8:$D$266,B35)</f>
        <v>3</v>
      </c>
      <c r="I35" s="46" t="str">
        <f t="shared" si="3"/>
        <v>0 / 3 / 0 из 3</v>
      </c>
      <c r="J35" s="47">
        <v>0</v>
      </c>
      <c r="K35" s="46" t="str">
        <f t="shared" si="4"/>
        <v>не подписана</v>
      </c>
      <c r="L35" s="47">
        <f t="shared" si="5"/>
        <v>2</v>
      </c>
      <c r="M35" s="2" t="str">
        <f t="shared" si="6"/>
        <v>Из 3 РО 0 в зеленой зоне, 3 - в желтой, 0 - в красной</v>
      </c>
      <c r="N35" s="2" t="str">
        <f t="shared" si="7"/>
        <v>Дорожная карта не подписана</v>
      </c>
    </row>
    <row r="36" spans="2:14">
      <c r="B36" s="48" t="s">
        <v>25</v>
      </c>
      <c r="C36" s="45">
        <f t="shared" si="0"/>
        <v>0</v>
      </c>
      <c r="D36" s="45">
        <f t="shared" si="1"/>
        <v>0</v>
      </c>
      <c r="E36" s="45">
        <f t="shared" si="2"/>
        <v>1</v>
      </c>
      <c r="F36" s="45">
        <f>SUMIFS('РО - зоны'!$H$8:$H$266,'РО - зоны'!$D$8:$D$266,B36)</f>
        <v>0</v>
      </c>
      <c r="G36" s="45">
        <f>SUMIFS('РО - зоны'!$I$8:$I$266,'РО - зоны'!$D$8:$D$266,B36)/2</f>
        <v>0</v>
      </c>
      <c r="H36" s="45">
        <f>SUMIFS('РО - зоны'!$J$8:$J$266,'РО - зоны'!$D$8:$D$266,B36)</f>
        <v>1</v>
      </c>
      <c r="I36" s="46" t="str">
        <f t="shared" si="3"/>
        <v>0 / 0 / 1 из 1</v>
      </c>
      <c r="J36" s="47">
        <v>0</v>
      </c>
      <c r="K36" s="46" t="str">
        <f t="shared" si="4"/>
        <v>не требуется</v>
      </c>
      <c r="L36" s="47">
        <f t="shared" si="5"/>
        <v>0</v>
      </c>
      <c r="M36" s="2" t="str">
        <f t="shared" si="6"/>
        <v>Из 1 РО 1 в зеленой зоне, 0 - в желтой, 0 - в красной</v>
      </c>
      <c r="N36" s="2" t="str">
        <f t="shared" si="7"/>
        <v>Дорожная карта не требуется</v>
      </c>
    </row>
    <row r="37" spans="2:14">
      <c r="B37" s="48" t="s">
        <v>26</v>
      </c>
      <c r="C37" s="45">
        <f t="shared" si="0"/>
        <v>0</v>
      </c>
      <c r="D37" s="45">
        <f t="shared" si="1"/>
        <v>0</v>
      </c>
      <c r="E37" s="45">
        <f t="shared" si="2"/>
        <v>1</v>
      </c>
      <c r="F37" s="45">
        <f>SUMIFS('РО - зоны'!$H$8:$H$266,'РО - зоны'!$D$8:$D$266,B37)</f>
        <v>0</v>
      </c>
      <c r="G37" s="45">
        <f>SUMIFS('РО - зоны'!$I$8:$I$266,'РО - зоны'!$D$8:$D$266,B37)/2</f>
        <v>0</v>
      </c>
      <c r="H37" s="45">
        <f>SUMIFS('РО - зоны'!$J$8:$J$266,'РО - зоны'!$D$8:$D$266,B37)</f>
        <v>1</v>
      </c>
      <c r="I37" s="46" t="str">
        <f t="shared" si="3"/>
        <v>0 / 0 / 1 из 1</v>
      </c>
      <c r="J37" s="47">
        <v>0</v>
      </c>
      <c r="K37" s="46" t="str">
        <f t="shared" si="4"/>
        <v>не требуется</v>
      </c>
      <c r="L37" s="47">
        <f t="shared" si="5"/>
        <v>0</v>
      </c>
      <c r="M37" s="2" t="str">
        <f t="shared" si="6"/>
        <v>Из 1 РО 1 в зеленой зоне, 0 - в желтой, 0 - в красной</v>
      </c>
      <c r="N37" s="2" t="str">
        <f t="shared" si="7"/>
        <v>Дорожная карта не требуется</v>
      </c>
    </row>
    <row r="38" spans="2:14">
      <c r="B38" s="48" t="s">
        <v>27</v>
      </c>
      <c r="C38" s="45">
        <f t="shared" si="0"/>
        <v>0</v>
      </c>
      <c r="D38" s="45">
        <f t="shared" si="1"/>
        <v>0</v>
      </c>
      <c r="E38" s="45">
        <f t="shared" si="2"/>
        <v>1</v>
      </c>
      <c r="F38" s="45">
        <f>SUMIFS('РО - зоны'!$H$8:$H$266,'РО - зоны'!$D$8:$D$266,B38)</f>
        <v>0</v>
      </c>
      <c r="G38" s="45">
        <f>SUMIFS('РО - зоны'!$I$8:$I$266,'РО - зоны'!$D$8:$D$266,B38)/2</f>
        <v>0</v>
      </c>
      <c r="H38" s="45">
        <f>SUMIFS('РО - зоны'!$J$8:$J$266,'РО - зоны'!$D$8:$D$266,B38)</f>
        <v>1</v>
      </c>
      <c r="I38" s="46" t="str">
        <f t="shared" si="3"/>
        <v>0 / 0 / 1 из 1</v>
      </c>
      <c r="J38" s="47">
        <v>0</v>
      </c>
      <c r="K38" s="46" t="str">
        <f t="shared" si="4"/>
        <v>не требуется</v>
      </c>
      <c r="L38" s="47">
        <f t="shared" si="5"/>
        <v>0</v>
      </c>
      <c r="M38" s="2" t="str">
        <f t="shared" si="6"/>
        <v>Из 1 РО 1 в зеленой зоне, 0 - в желтой, 0 - в красной</v>
      </c>
      <c r="N38" s="2" t="str">
        <f t="shared" si="7"/>
        <v>Дорожная карта не требуется</v>
      </c>
    </row>
    <row r="39" spans="2:14">
      <c r="B39" s="48" t="s">
        <v>28</v>
      </c>
      <c r="C39" s="45">
        <f t="shared" si="0"/>
        <v>1</v>
      </c>
      <c r="D39" s="45">
        <f t="shared" si="1"/>
        <v>1</v>
      </c>
      <c r="E39" s="45">
        <f t="shared" si="2"/>
        <v>1</v>
      </c>
      <c r="F39" s="45">
        <f>SUMIFS('РО - зоны'!$H$8:$H$266,'РО - зоны'!$D$8:$D$266,B39)</f>
        <v>1</v>
      </c>
      <c r="G39" s="45">
        <f>SUMIFS('РО - зоны'!$I$8:$I$266,'РО - зоны'!$D$8:$D$266,B39)/2</f>
        <v>0</v>
      </c>
      <c r="H39" s="45">
        <f>SUMIFS('РО - зоны'!$J$8:$J$266,'РО - зоны'!$D$8:$D$266,B39)</f>
        <v>2</v>
      </c>
      <c r="I39" s="46" t="str">
        <f t="shared" si="3"/>
        <v>0 / 1 / 1 из 2</v>
      </c>
      <c r="J39" s="47">
        <v>0</v>
      </c>
      <c r="K39" s="46" t="str">
        <f t="shared" si="4"/>
        <v>не подписана</v>
      </c>
      <c r="L39" s="47">
        <f t="shared" si="5"/>
        <v>2</v>
      </c>
      <c r="M39" s="2" t="str">
        <f t="shared" si="6"/>
        <v>Из 2 РО 1 в зеленой зоне, 1 - в желтой, 0 - в красной</v>
      </c>
      <c r="N39" s="2" t="str">
        <f t="shared" si="7"/>
        <v>Дорожная карта не подписана</v>
      </c>
    </row>
    <row r="40" spans="2:14">
      <c r="B40" s="48" t="s">
        <v>29</v>
      </c>
      <c r="C40" s="45">
        <f t="shared" si="0"/>
        <v>1</v>
      </c>
      <c r="D40" s="45">
        <f t="shared" si="1"/>
        <v>1</v>
      </c>
      <c r="E40" s="45">
        <f t="shared" si="2"/>
        <v>1</v>
      </c>
      <c r="F40" s="45">
        <f>SUMIFS('РО - зоны'!$H$8:$H$266,'РО - зоны'!$D$8:$D$266,B40)</f>
        <v>1</v>
      </c>
      <c r="G40" s="45">
        <f>SUMIFS('РО - зоны'!$I$8:$I$266,'РО - зоны'!$D$8:$D$266,B40)/2</f>
        <v>0</v>
      </c>
      <c r="H40" s="45">
        <f>SUMIFS('РО - зоны'!$J$8:$J$266,'РО - зоны'!$D$8:$D$266,B40)</f>
        <v>2</v>
      </c>
      <c r="I40" s="46" t="str">
        <f t="shared" si="3"/>
        <v>0 / 1 / 1 из 2</v>
      </c>
      <c r="J40" s="47">
        <v>0</v>
      </c>
      <c r="K40" s="46" t="str">
        <f t="shared" si="4"/>
        <v>не подписана</v>
      </c>
      <c r="L40" s="47">
        <f t="shared" si="5"/>
        <v>2</v>
      </c>
      <c r="M40" s="2" t="str">
        <f t="shared" si="6"/>
        <v>Из 2 РО 1 в зеленой зоне, 1 - в желтой, 0 - в красной</v>
      </c>
      <c r="N40" s="2" t="str">
        <f t="shared" si="7"/>
        <v>Дорожная карта не подписана</v>
      </c>
    </row>
    <row r="41" spans="2:14">
      <c r="B41" s="48" t="s">
        <v>30</v>
      </c>
      <c r="C41" s="45">
        <f t="shared" si="0"/>
        <v>0</v>
      </c>
      <c r="D41" s="45">
        <f t="shared" si="1"/>
        <v>0</v>
      </c>
      <c r="E41" s="45">
        <f t="shared" si="2"/>
        <v>1</v>
      </c>
      <c r="F41" s="45">
        <f>SUMIFS('РО - зоны'!$H$8:$H$266,'РО - зоны'!$D$8:$D$266,B41)</f>
        <v>0</v>
      </c>
      <c r="G41" s="45">
        <f>SUMIFS('РО - зоны'!$I$8:$I$266,'РО - зоны'!$D$8:$D$266,B41)/2</f>
        <v>0</v>
      </c>
      <c r="H41" s="45">
        <f>SUMIFS('РО - зоны'!$J$8:$J$266,'РО - зоны'!$D$8:$D$266,B41)</f>
        <v>1</v>
      </c>
      <c r="I41" s="46" t="str">
        <f t="shared" si="3"/>
        <v>0 / 0 / 1 из 1</v>
      </c>
      <c r="J41" s="47">
        <v>0</v>
      </c>
      <c r="K41" s="46" t="str">
        <f t="shared" si="4"/>
        <v>не требуется</v>
      </c>
      <c r="L41" s="47">
        <f t="shared" si="5"/>
        <v>0</v>
      </c>
      <c r="M41" s="2" t="str">
        <f t="shared" si="6"/>
        <v>Из 1 РО 1 в зеленой зоне, 0 - в желтой, 0 - в красной</v>
      </c>
      <c r="N41" s="2" t="str">
        <f t="shared" si="7"/>
        <v>Дорожная карта не требуется</v>
      </c>
    </row>
    <row r="42" spans="2:14">
      <c r="B42" s="48" t="s">
        <v>31</v>
      </c>
      <c r="C42" s="45">
        <f t="shared" si="0"/>
        <v>0</v>
      </c>
      <c r="D42" s="45">
        <f t="shared" si="1"/>
        <v>0</v>
      </c>
      <c r="E42" s="45">
        <f t="shared" si="2"/>
        <v>3</v>
      </c>
      <c r="F42" s="45">
        <f>SUMIFS('РО - зоны'!$H$8:$H$266,'РО - зоны'!$D$8:$D$266,B42)</f>
        <v>0</v>
      </c>
      <c r="G42" s="45">
        <f>SUMIFS('РО - зоны'!$I$8:$I$266,'РО - зоны'!$D$8:$D$266,B42)/2</f>
        <v>0</v>
      </c>
      <c r="H42" s="45">
        <f>SUMIFS('РО - зоны'!$J$8:$J$266,'РО - зоны'!$D$8:$D$266,B42)</f>
        <v>3</v>
      </c>
      <c r="I42" s="46" t="str">
        <f t="shared" si="3"/>
        <v>0 / 0 / 3 из 3</v>
      </c>
      <c r="J42" s="47">
        <v>0</v>
      </c>
      <c r="K42" s="46" t="str">
        <f t="shared" si="4"/>
        <v>не требуется</v>
      </c>
      <c r="L42" s="47">
        <f t="shared" si="5"/>
        <v>0</v>
      </c>
      <c r="M42" s="2" t="str">
        <f t="shared" si="6"/>
        <v>Из 3 РО 3 в зеленой зоне, 0 - в желтой, 0 - в красной</v>
      </c>
      <c r="N42" s="2" t="str">
        <f t="shared" si="7"/>
        <v>Дорожная карта не требуется</v>
      </c>
    </row>
    <row r="43" spans="2:14">
      <c r="B43" s="48" t="s">
        <v>32</v>
      </c>
      <c r="C43" s="45">
        <f t="shared" si="0"/>
        <v>1</v>
      </c>
      <c r="D43" s="45">
        <f t="shared" si="1"/>
        <v>1</v>
      </c>
      <c r="E43" s="45">
        <f t="shared" si="2"/>
        <v>6</v>
      </c>
      <c r="F43" s="45">
        <f>SUMIFS('РО - зоны'!$H$8:$H$266,'РО - зоны'!$D$8:$D$266,B43)</f>
        <v>6</v>
      </c>
      <c r="G43" s="45">
        <f>SUMIFS('РО - зоны'!$I$8:$I$266,'РО - зоны'!$D$8:$D$266,B43)/2</f>
        <v>0</v>
      </c>
      <c r="H43" s="45">
        <f>SUMIFS('РО - зоны'!$J$8:$J$266,'РО - зоны'!$D$8:$D$266,B43)</f>
        <v>12</v>
      </c>
      <c r="I43" s="46" t="str">
        <f t="shared" si="3"/>
        <v>0 / 6 / 6 из 12</v>
      </c>
      <c r="J43" s="47">
        <v>0</v>
      </c>
      <c r="K43" s="46" t="str">
        <f t="shared" si="4"/>
        <v>не подписана</v>
      </c>
      <c r="L43" s="47">
        <f t="shared" si="5"/>
        <v>2</v>
      </c>
      <c r="M43" s="2" t="str">
        <f t="shared" si="6"/>
        <v>Из 12 РО 6 в зеленой зоне, 6 - в желтой, 0 - в красной</v>
      </c>
      <c r="N43" s="2" t="str">
        <f t="shared" si="7"/>
        <v>Дорожная карта не подписана</v>
      </c>
    </row>
    <row r="44" spans="2:14">
      <c r="B44" s="48" t="s">
        <v>33</v>
      </c>
      <c r="C44" s="45">
        <f t="shared" si="0"/>
        <v>1</v>
      </c>
      <c r="D44" s="45">
        <f t="shared" si="1"/>
        <v>1</v>
      </c>
      <c r="E44" s="45">
        <f t="shared" si="2"/>
        <v>12</v>
      </c>
      <c r="F44" s="45">
        <f>SUMIFS('РО - зоны'!$H$8:$H$266,'РО - зоны'!$D$8:$D$266,B44)</f>
        <v>2</v>
      </c>
      <c r="G44" s="45">
        <f>SUMIFS('РО - зоны'!$I$8:$I$266,'РО - зоны'!$D$8:$D$266,B44)/2</f>
        <v>0</v>
      </c>
      <c r="H44" s="45">
        <f>SUMIFS('РО - зоны'!$J$8:$J$266,'РО - зоны'!$D$8:$D$266,B44)</f>
        <v>14</v>
      </c>
      <c r="I44" s="46" t="str">
        <f t="shared" si="3"/>
        <v>0 / 2 / 12 из 14</v>
      </c>
      <c r="J44" s="47">
        <v>0</v>
      </c>
      <c r="K44" s="46" t="str">
        <f t="shared" si="4"/>
        <v>не подписана</v>
      </c>
      <c r="L44" s="47">
        <f t="shared" si="5"/>
        <v>2</v>
      </c>
      <c r="M44" s="2" t="str">
        <f t="shared" si="6"/>
        <v>Из 14 РО 12 в зеленой зоне, 2 - в желтой, 0 - в красной</v>
      </c>
      <c r="N44" s="2" t="str">
        <f t="shared" si="7"/>
        <v>Дорожная карта не подписана</v>
      </c>
    </row>
    <row r="45" spans="2:14">
      <c r="B45" s="48" t="s">
        <v>34</v>
      </c>
      <c r="C45" s="45">
        <f t="shared" si="0"/>
        <v>2</v>
      </c>
      <c r="D45" s="45">
        <f t="shared" si="1"/>
        <v>2</v>
      </c>
      <c r="E45" s="45">
        <f t="shared" si="2"/>
        <v>0</v>
      </c>
      <c r="F45" s="45">
        <f>SUMIFS('РО - зоны'!$H$8:$H$266,'РО - зоны'!$D$8:$D$266,B45)</f>
        <v>0</v>
      </c>
      <c r="G45" s="45">
        <f>SUMIFS('РО - зоны'!$I$8:$I$266,'РО - зоны'!$D$8:$D$266,B45)/2</f>
        <v>1</v>
      </c>
      <c r="H45" s="45">
        <f>SUMIFS('РО - зоны'!$J$8:$J$266,'РО - зоны'!$D$8:$D$266,B45)</f>
        <v>1</v>
      </c>
      <c r="I45" s="46" t="str">
        <f t="shared" si="3"/>
        <v>1 / 0 / 0 из 1</v>
      </c>
      <c r="J45" s="47">
        <v>1</v>
      </c>
      <c r="K45" s="46" t="str">
        <f t="shared" si="4"/>
        <v>подписана</v>
      </c>
      <c r="L45" s="47">
        <f t="shared" si="5"/>
        <v>0</v>
      </c>
      <c r="M45" s="2" t="str">
        <f t="shared" si="6"/>
        <v>Из 1 РО 0 в зеленой зоне, 0 - в желтой, 1 - в красной</v>
      </c>
      <c r="N45" s="2" t="str">
        <f t="shared" si="7"/>
        <v>Дорожная карта подписана</v>
      </c>
    </row>
    <row r="46" spans="2:14">
      <c r="B46" s="48" t="s">
        <v>35</v>
      </c>
      <c r="C46" s="45">
        <f t="shared" si="0"/>
        <v>0</v>
      </c>
      <c r="D46" s="45">
        <f t="shared" si="1"/>
        <v>0</v>
      </c>
      <c r="E46" s="45">
        <f t="shared" si="2"/>
        <v>2</v>
      </c>
      <c r="F46" s="45">
        <f>SUMIFS('РО - зоны'!$H$8:$H$266,'РО - зоны'!$D$8:$D$266,B46)</f>
        <v>0</v>
      </c>
      <c r="G46" s="45">
        <f>SUMIFS('РО - зоны'!$I$8:$I$266,'РО - зоны'!$D$8:$D$266,B46)/2</f>
        <v>0</v>
      </c>
      <c r="H46" s="45">
        <f>SUMIFS('РО - зоны'!$J$8:$J$266,'РО - зоны'!$D$8:$D$266,B46)</f>
        <v>2</v>
      </c>
      <c r="I46" s="46" t="str">
        <f t="shared" si="3"/>
        <v>0 / 0 / 2 из 2</v>
      </c>
      <c r="J46" s="47">
        <v>0</v>
      </c>
      <c r="K46" s="46" t="str">
        <f t="shared" si="4"/>
        <v>не требуется</v>
      </c>
      <c r="L46" s="47">
        <f t="shared" si="5"/>
        <v>0</v>
      </c>
      <c r="M46" s="2" t="str">
        <f t="shared" si="6"/>
        <v>Из 2 РО 2 в зеленой зоне, 0 - в желтой, 0 - в красной</v>
      </c>
      <c r="N46" s="2" t="str">
        <f t="shared" si="7"/>
        <v>Дорожная карта не требуется</v>
      </c>
    </row>
    <row r="47" spans="2:14">
      <c r="B47" s="48" t="s">
        <v>36</v>
      </c>
      <c r="C47" s="45">
        <f t="shared" si="0"/>
        <v>0</v>
      </c>
      <c r="D47" s="45">
        <f t="shared" si="1"/>
        <v>0</v>
      </c>
      <c r="E47" s="45">
        <f t="shared" si="2"/>
        <v>1</v>
      </c>
      <c r="F47" s="45">
        <f>SUMIFS('РО - зоны'!$H$8:$H$266,'РО - зоны'!$D$8:$D$266,B47)</f>
        <v>0</v>
      </c>
      <c r="G47" s="45">
        <f>SUMIFS('РО - зоны'!$I$8:$I$266,'РО - зоны'!$D$8:$D$266,B47)/2</f>
        <v>0</v>
      </c>
      <c r="H47" s="45">
        <f>SUMIFS('РО - зоны'!$J$8:$J$266,'РО - зоны'!$D$8:$D$266,B47)</f>
        <v>1</v>
      </c>
      <c r="I47" s="46" t="str">
        <f t="shared" si="3"/>
        <v>0 / 0 / 1 из 1</v>
      </c>
      <c r="J47" s="47">
        <v>0</v>
      </c>
      <c r="K47" s="46" t="str">
        <f t="shared" si="4"/>
        <v>не требуется</v>
      </c>
      <c r="L47" s="47">
        <f t="shared" si="5"/>
        <v>0</v>
      </c>
      <c r="M47" s="2" t="str">
        <f t="shared" si="6"/>
        <v>Из 1 РО 1 в зеленой зоне, 0 - в желтой, 0 - в красной</v>
      </c>
      <c r="N47" s="2" t="str">
        <f t="shared" si="7"/>
        <v>Дорожная карта не требуется</v>
      </c>
    </row>
    <row r="48" spans="2:14">
      <c r="B48" s="48" t="s">
        <v>37</v>
      </c>
      <c r="C48" s="45">
        <f t="shared" si="0"/>
        <v>0</v>
      </c>
      <c r="D48" s="45">
        <f t="shared" si="1"/>
        <v>0</v>
      </c>
      <c r="E48" s="45">
        <f t="shared" si="2"/>
        <v>4</v>
      </c>
      <c r="F48" s="45">
        <f>SUMIFS('РО - зоны'!$H$8:$H$266,'РО - зоны'!$D$8:$D$266,B48)</f>
        <v>0</v>
      </c>
      <c r="G48" s="45">
        <f>SUMIFS('РО - зоны'!$I$8:$I$266,'РО - зоны'!$D$8:$D$266,B48)/2</f>
        <v>0</v>
      </c>
      <c r="H48" s="45">
        <f>SUMIFS('РО - зоны'!$J$8:$J$266,'РО - зоны'!$D$8:$D$266,B48)</f>
        <v>4</v>
      </c>
      <c r="I48" s="46" t="str">
        <f t="shared" si="3"/>
        <v>0 / 0 / 4 из 4</v>
      </c>
      <c r="J48" s="47">
        <v>0</v>
      </c>
      <c r="K48" s="46" t="str">
        <f t="shared" si="4"/>
        <v>не требуется</v>
      </c>
      <c r="L48" s="47">
        <f t="shared" si="5"/>
        <v>0</v>
      </c>
      <c r="M48" s="2" t="str">
        <f t="shared" si="6"/>
        <v>Из 4 РО 4 в зеленой зоне, 0 - в желтой, 0 - в красной</v>
      </c>
      <c r="N48" s="2" t="str">
        <f t="shared" si="7"/>
        <v>Дорожная карта не требуется</v>
      </c>
    </row>
    <row r="49" spans="2:14">
      <c r="B49" s="48" t="s">
        <v>581</v>
      </c>
      <c r="C49" s="45">
        <f t="shared" si="0"/>
        <v>0</v>
      </c>
      <c r="D49" s="45">
        <f t="shared" si="1"/>
        <v>0</v>
      </c>
      <c r="E49" s="45">
        <f t="shared" si="2"/>
        <v>0</v>
      </c>
      <c r="F49" s="45">
        <f>SUMIFS('РО - зоны'!$H$8:$H$266,'РО - зоны'!$D$8:$D$266,B49)</f>
        <v>0</v>
      </c>
      <c r="G49" s="45">
        <f>SUMIFS('РО - зоны'!$I$8:$I$266,'РО - зоны'!$D$8:$D$266,B49)/2</f>
        <v>0</v>
      </c>
      <c r="H49" s="45">
        <f>SUMIFS('РО - зоны'!$J$8:$J$266,'РО - зоны'!$D$8:$D$266,B49)</f>
        <v>0</v>
      </c>
      <c r="I49" s="46" t="str">
        <f t="shared" si="3"/>
        <v>0 / 0 / 0 из 0</v>
      </c>
      <c r="J49" s="47">
        <v>0</v>
      </c>
      <c r="K49" s="46" t="str">
        <f t="shared" si="4"/>
        <v>не требуется</v>
      </c>
      <c r="L49" s="47">
        <f t="shared" si="5"/>
        <v>0</v>
      </c>
      <c r="M49" s="2" t="str">
        <f t="shared" si="6"/>
        <v>Из 0 РО 0 в зеленой зоне, 0 - в желтой, 0 - в красной</v>
      </c>
      <c r="N49" s="2" t="str">
        <f t="shared" si="7"/>
        <v>Дорожная карта не требуется</v>
      </c>
    </row>
    <row r="50" spans="2:14">
      <c r="B50" s="48" t="s">
        <v>38</v>
      </c>
      <c r="C50" s="45">
        <f t="shared" si="0"/>
        <v>2</v>
      </c>
      <c r="D50" s="45">
        <f t="shared" si="1"/>
        <v>2</v>
      </c>
      <c r="E50" s="45">
        <f t="shared" si="2"/>
        <v>3</v>
      </c>
      <c r="F50" s="45">
        <f>SUMIFS('РО - зоны'!$H$8:$H$266,'РО - зоны'!$D$8:$D$266,B50)</f>
        <v>5</v>
      </c>
      <c r="G50" s="45">
        <f>SUMIFS('РО - зоны'!$I$8:$I$266,'РО - зоны'!$D$8:$D$266,B50)/2</f>
        <v>1</v>
      </c>
      <c r="H50" s="45">
        <f>SUMIFS('РО - зоны'!$J$8:$J$266,'РО - зоны'!$D$8:$D$266,B50)</f>
        <v>9</v>
      </c>
      <c r="I50" s="46" t="str">
        <f t="shared" si="3"/>
        <v>1 / 5 / 3 из 9</v>
      </c>
      <c r="J50" s="47">
        <v>1</v>
      </c>
      <c r="K50" s="46" t="str">
        <f t="shared" si="4"/>
        <v>подписана</v>
      </c>
      <c r="L50" s="47">
        <f t="shared" si="5"/>
        <v>2</v>
      </c>
      <c r="M50" s="2" t="str">
        <f t="shared" si="6"/>
        <v>Из 9 РО 3 в зеленой зоне, 5 - в желтой, 1 - в красной</v>
      </c>
      <c r="N50" s="2" t="str">
        <f t="shared" si="7"/>
        <v>Дорожная карта подписана</v>
      </c>
    </row>
    <row r="51" spans="2:14">
      <c r="B51" s="48" t="s">
        <v>39</v>
      </c>
      <c r="C51" s="45">
        <f t="shared" si="0"/>
        <v>0</v>
      </c>
      <c r="D51" s="45">
        <f t="shared" si="1"/>
        <v>0</v>
      </c>
      <c r="E51" s="45">
        <f t="shared" si="2"/>
        <v>7</v>
      </c>
      <c r="F51" s="45">
        <f>SUMIFS('РО - зоны'!$H$8:$H$266,'РО - зоны'!$D$8:$D$266,B51)</f>
        <v>0</v>
      </c>
      <c r="G51" s="45">
        <f>SUMIFS('РО - зоны'!$I$8:$I$266,'РО - зоны'!$D$8:$D$266,B51)/2</f>
        <v>0</v>
      </c>
      <c r="H51" s="45">
        <f>SUMIFS('РО - зоны'!$J$8:$J$266,'РО - зоны'!$D$8:$D$266,B51)</f>
        <v>7</v>
      </c>
      <c r="I51" s="46" t="str">
        <f t="shared" si="3"/>
        <v>0 / 0 / 7 из 7</v>
      </c>
      <c r="J51" s="47">
        <v>0</v>
      </c>
      <c r="K51" s="46" t="str">
        <f t="shared" si="4"/>
        <v>не требуется</v>
      </c>
      <c r="L51" s="47">
        <f t="shared" si="5"/>
        <v>0</v>
      </c>
      <c r="M51" s="2" t="str">
        <f t="shared" si="6"/>
        <v>Из 7 РО 7 в зеленой зоне, 0 - в желтой, 0 - в красной</v>
      </c>
      <c r="N51" s="2" t="str">
        <f t="shared" si="7"/>
        <v>Дорожная карта не требуется</v>
      </c>
    </row>
    <row r="52" spans="2:14">
      <c r="B52" s="48" t="s">
        <v>40</v>
      </c>
      <c r="C52" s="45">
        <f t="shared" si="0"/>
        <v>0</v>
      </c>
      <c r="D52" s="45">
        <f t="shared" si="1"/>
        <v>0</v>
      </c>
      <c r="E52" s="45">
        <f t="shared" si="2"/>
        <v>1</v>
      </c>
      <c r="F52" s="45">
        <f>SUMIFS('РО - зоны'!$H$8:$H$266,'РО - зоны'!$D$8:$D$266,B52)</f>
        <v>0</v>
      </c>
      <c r="G52" s="45">
        <f>SUMIFS('РО - зоны'!$I$8:$I$266,'РО - зоны'!$D$8:$D$266,B52)/2</f>
        <v>0</v>
      </c>
      <c r="H52" s="45">
        <f>SUMIFS('РО - зоны'!$J$8:$J$266,'РО - зоны'!$D$8:$D$266,B52)</f>
        <v>1</v>
      </c>
      <c r="I52" s="46" t="str">
        <f t="shared" si="3"/>
        <v>0 / 0 / 1 из 1</v>
      </c>
      <c r="J52" s="47">
        <v>0</v>
      </c>
      <c r="K52" s="46" t="str">
        <f t="shared" si="4"/>
        <v>не требуется</v>
      </c>
      <c r="L52" s="47">
        <f t="shared" si="5"/>
        <v>0</v>
      </c>
      <c r="M52" s="2" t="str">
        <f t="shared" si="6"/>
        <v>Из 1 РО 1 в зеленой зоне, 0 - в желтой, 0 - в красной</v>
      </c>
      <c r="N52" s="2" t="str">
        <f t="shared" si="7"/>
        <v>Дорожная карта не требуется</v>
      </c>
    </row>
    <row r="53" spans="2:14">
      <c r="B53" s="48" t="s">
        <v>41</v>
      </c>
      <c r="C53" s="45">
        <f t="shared" si="0"/>
        <v>0</v>
      </c>
      <c r="D53" s="45">
        <f t="shared" si="1"/>
        <v>0</v>
      </c>
      <c r="E53" s="45">
        <f t="shared" si="2"/>
        <v>2</v>
      </c>
      <c r="F53" s="45">
        <f>SUMIFS('РО - зоны'!$H$8:$H$266,'РО - зоны'!$D$8:$D$266,B53)</f>
        <v>0</v>
      </c>
      <c r="G53" s="45">
        <f>SUMIFS('РО - зоны'!$I$8:$I$266,'РО - зоны'!$D$8:$D$266,B53)/2</f>
        <v>0</v>
      </c>
      <c r="H53" s="45">
        <f>SUMIFS('РО - зоны'!$J$8:$J$266,'РО - зоны'!$D$8:$D$266,B53)</f>
        <v>2</v>
      </c>
      <c r="I53" s="46" t="str">
        <f t="shared" si="3"/>
        <v>0 / 0 / 2 из 2</v>
      </c>
      <c r="J53" s="47">
        <v>0</v>
      </c>
      <c r="K53" s="46" t="str">
        <f t="shared" si="4"/>
        <v>не требуется</v>
      </c>
      <c r="L53" s="47">
        <f t="shared" si="5"/>
        <v>0</v>
      </c>
      <c r="M53" s="2" t="str">
        <f t="shared" si="6"/>
        <v>Из 2 РО 2 в зеленой зоне, 0 - в желтой, 0 - в красной</v>
      </c>
      <c r="N53" s="2" t="str">
        <f t="shared" si="7"/>
        <v>Дорожная карта не требуется</v>
      </c>
    </row>
    <row r="54" spans="2:14">
      <c r="B54" s="48" t="s">
        <v>42</v>
      </c>
      <c r="C54" s="45">
        <f t="shared" si="0"/>
        <v>1</v>
      </c>
      <c r="D54" s="45">
        <f t="shared" si="1"/>
        <v>1</v>
      </c>
      <c r="E54" s="45">
        <f t="shared" si="2"/>
        <v>7</v>
      </c>
      <c r="F54" s="45">
        <f>SUMIFS('РО - зоны'!$H$8:$H$266,'РО - зоны'!$D$8:$D$266,B54)</f>
        <v>2</v>
      </c>
      <c r="G54" s="45">
        <f>SUMIFS('РО - зоны'!$I$8:$I$266,'РО - зоны'!$D$8:$D$266,B54)/2</f>
        <v>0</v>
      </c>
      <c r="H54" s="45">
        <f>SUMIFS('РО - зоны'!$J$8:$J$266,'РО - зоны'!$D$8:$D$266,B54)</f>
        <v>9</v>
      </c>
      <c r="I54" s="46" t="str">
        <f t="shared" si="3"/>
        <v>0 / 2 / 7 из 9</v>
      </c>
      <c r="J54" s="47">
        <v>0</v>
      </c>
      <c r="K54" s="46" t="str">
        <f t="shared" si="4"/>
        <v>не подписана</v>
      </c>
      <c r="L54" s="47">
        <f t="shared" si="5"/>
        <v>2</v>
      </c>
      <c r="M54" s="2" t="str">
        <f t="shared" si="6"/>
        <v>Из 9 РО 7 в зеленой зоне, 2 - в желтой, 0 - в красной</v>
      </c>
      <c r="N54" s="2" t="str">
        <f t="shared" si="7"/>
        <v>Дорожная карта не подписана</v>
      </c>
    </row>
    <row r="55" spans="2:14">
      <c r="B55" s="48" t="s">
        <v>43</v>
      </c>
      <c r="C55" s="45">
        <f t="shared" si="0"/>
        <v>2</v>
      </c>
      <c r="D55" s="45">
        <f t="shared" si="1"/>
        <v>2</v>
      </c>
      <c r="E55" s="45">
        <f t="shared" si="2"/>
        <v>1</v>
      </c>
      <c r="F55" s="45">
        <f>SUMIFS('РО - зоны'!$H$8:$H$266,'РО - зоны'!$D$8:$D$266,B55)</f>
        <v>2</v>
      </c>
      <c r="G55" s="45">
        <f>SUMIFS('РО - зоны'!$I$8:$I$266,'РО - зоны'!$D$8:$D$266,B55)/2</f>
        <v>1</v>
      </c>
      <c r="H55" s="45">
        <f>SUMIFS('РО - зоны'!$J$8:$J$266,'РО - зоны'!$D$8:$D$266,B55)</f>
        <v>4</v>
      </c>
      <c r="I55" s="46" t="str">
        <f t="shared" si="3"/>
        <v>1 / 2 / 1 из 4</v>
      </c>
      <c r="J55" s="47">
        <v>0</v>
      </c>
      <c r="K55" s="46" t="str">
        <f t="shared" si="4"/>
        <v>не подписана</v>
      </c>
      <c r="L55" s="47">
        <f t="shared" si="5"/>
        <v>2</v>
      </c>
      <c r="M55" s="2" t="str">
        <f t="shared" si="6"/>
        <v>Из 4 РО 1 в зеленой зоне, 2 - в желтой, 1 - в красной</v>
      </c>
      <c r="N55" s="2" t="str">
        <f t="shared" si="7"/>
        <v>Дорожная карта не подписана</v>
      </c>
    </row>
    <row r="56" spans="2:14">
      <c r="B56" s="48" t="s">
        <v>44</v>
      </c>
      <c r="C56" s="45">
        <f t="shared" si="0"/>
        <v>0</v>
      </c>
      <c r="D56" s="45">
        <f t="shared" si="1"/>
        <v>0</v>
      </c>
      <c r="E56" s="45">
        <f t="shared" si="2"/>
        <v>1</v>
      </c>
      <c r="F56" s="45">
        <f>SUMIFS('РО - зоны'!$H$8:$H$266,'РО - зоны'!$D$8:$D$266,B56)</f>
        <v>0</v>
      </c>
      <c r="G56" s="45">
        <f>SUMIFS('РО - зоны'!$I$8:$I$266,'РО - зоны'!$D$8:$D$266,B56)/2</f>
        <v>0</v>
      </c>
      <c r="H56" s="45">
        <f>SUMIFS('РО - зоны'!$J$8:$J$266,'РО - зоны'!$D$8:$D$266,B56)</f>
        <v>1</v>
      </c>
      <c r="I56" s="46" t="str">
        <f t="shared" si="3"/>
        <v>0 / 0 / 1 из 1</v>
      </c>
      <c r="J56" s="47">
        <v>0</v>
      </c>
      <c r="K56" s="46" t="str">
        <f t="shared" si="4"/>
        <v>не требуется</v>
      </c>
      <c r="L56" s="47">
        <f t="shared" si="5"/>
        <v>0</v>
      </c>
      <c r="M56" s="2" t="str">
        <f t="shared" si="6"/>
        <v>Из 1 РО 1 в зеленой зоне, 0 - в желтой, 0 - в красной</v>
      </c>
      <c r="N56" s="2" t="str">
        <f t="shared" si="7"/>
        <v>Дорожная карта не требуется</v>
      </c>
    </row>
    <row r="57" spans="2:14">
      <c r="B57" s="48" t="s">
        <v>45</v>
      </c>
      <c r="C57" s="45">
        <f t="shared" si="0"/>
        <v>1</v>
      </c>
      <c r="D57" s="45">
        <f t="shared" si="1"/>
        <v>1</v>
      </c>
      <c r="E57" s="45">
        <f t="shared" si="2"/>
        <v>0</v>
      </c>
      <c r="F57" s="45">
        <f>SUMIFS('РО - зоны'!$H$8:$H$266,'РО - зоны'!$D$8:$D$266,B57)</f>
        <v>1</v>
      </c>
      <c r="G57" s="45">
        <f>SUMIFS('РО - зоны'!$I$8:$I$266,'РО - зоны'!$D$8:$D$266,B57)/2</f>
        <v>0</v>
      </c>
      <c r="H57" s="45">
        <f>SUMIFS('РО - зоны'!$J$8:$J$266,'РО - зоны'!$D$8:$D$266,B57)</f>
        <v>1</v>
      </c>
      <c r="I57" s="46" t="str">
        <f t="shared" si="3"/>
        <v>0 / 1 / 0 из 1</v>
      </c>
      <c r="J57" s="47">
        <v>1</v>
      </c>
      <c r="K57" s="46" t="str">
        <f t="shared" si="4"/>
        <v>подписана</v>
      </c>
      <c r="L57" s="47">
        <f t="shared" si="5"/>
        <v>0</v>
      </c>
      <c r="M57" s="2" t="str">
        <f t="shared" si="6"/>
        <v>Из 1 РО 0 в зеленой зоне, 1 - в желтой, 0 - в красной</v>
      </c>
      <c r="N57" s="2" t="str">
        <f t="shared" si="7"/>
        <v>Дорожная карта подписана</v>
      </c>
    </row>
    <row r="58" spans="2:14">
      <c r="B58" s="48" t="s">
        <v>46</v>
      </c>
      <c r="C58" s="45">
        <f t="shared" si="0"/>
        <v>0</v>
      </c>
      <c r="D58" s="45">
        <f t="shared" si="1"/>
        <v>0</v>
      </c>
      <c r="E58" s="45">
        <f t="shared" si="2"/>
        <v>1</v>
      </c>
      <c r="F58" s="45">
        <f>SUMIFS('РО - зоны'!$H$8:$H$266,'РО - зоны'!$D$8:$D$266,B58)</f>
        <v>0</v>
      </c>
      <c r="G58" s="45">
        <f>SUMIFS('РО - зоны'!$I$8:$I$266,'РО - зоны'!$D$8:$D$266,B58)/2</f>
        <v>0</v>
      </c>
      <c r="H58" s="45">
        <f>SUMIFS('РО - зоны'!$J$8:$J$266,'РО - зоны'!$D$8:$D$266,B58)</f>
        <v>1</v>
      </c>
      <c r="I58" s="46" t="str">
        <f t="shared" si="3"/>
        <v>0 / 0 / 1 из 1</v>
      </c>
      <c r="J58" s="47">
        <v>0</v>
      </c>
      <c r="K58" s="46" t="str">
        <f t="shared" si="4"/>
        <v>не требуется</v>
      </c>
      <c r="L58" s="47">
        <f t="shared" si="5"/>
        <v>0</v>
      </c>
      <c r="M58" s="2" t="str">
        <f t="shared" si="6"/>
        <v>Из 1 РО 1 в зеленой зоне, 0 - в желтой, 0 - в красной</v>
      </c>
      <c r="N58" s="2" t="str">
        <f t="shared" si="7"/>
        <v>Дорожная карта не требуется</v>
      </c>
    </row>
    <row r="59" spans="2:14">
      <c r="B59" s="48" t="s">
        <v>47</v>
      </c>
      <c r="C59" s="45">
        <f t="shared" si="0"/>
        <v>0</v>
      </c>
      <c r="D59" s="45">
        <f t="shared" si="1"/>
        <v>0</v>
      </c>
      <c r="E59" s="45">
        <f t="shared" si="2"/>
        <v>1</v>
      </c>
      <c r="F59" s="45">
        <f>SUMIFS('РО - зоны'!$H$8:$H$266,'РО - зоны'!$D$8:$D$266,B59)</f>
        <v>0</v>
      </c>
      <c r="G59" s="45">
        <f>SUMIFS('РО - зоны'!$I$8:$I$266,'РО - зоны'!$D$8:$D$266,B59)/2</f>
        <v>0</v>
      </c>
      <c r="H59" s="45">
        <f>SUMIFS('РО - зоны'!$J$8:$J$266,'РО - зоны'!$D$8:$D$266,B59)</f>
        <v>1</v>
      </c>
      <c r="I59" s="46" t="str">
        <f t="shared" si="3"/>
        <v>0 / 0 / 1 из 1</v>
      </c>
      <c r="J59" s="47">
        <v>0</v>
      </c>
      <c r="K59" s="46" t="str">
        <f t="shared" si="4"/>
        <v>не требуется</v>
      </c>
      <c r="L59" s="47">
        <f t="shared" si="5"/>
        <v>0</v>
      </c>
      <c r="M59" s="2" t="str">
        <f t="shared" si="6"/>
        <v>Из 1 РО 1 в зеленой зоне, 0 - в желтой, 0 - в красной</v>
      </c>
      <c r="N59" s="2" t="str">
        <f t="shared" si="7"/>
        <v>Дорожная карта не требуется</v>
      </c>
    </row>
    <row r="60" spans="2:14">
      <c r="B60" s="48" t="s">
        <v>48</v>
      </c>
      <c r="C60" s="45">
        <f t="shared" si="0"/>
        <v>0</v>
      </c>
      <c r="D60" s="45">
        <f t="shared" si="1"/>
        <v>0</v>
      </c>
      <c r="E60" s="45">
        <f t="shared" si="2"/>
        <v>4</v>
      </c>
      <c r="F60" s="45">
        <f>SUMIFS('РО - зоны'!$H$8:$H$266,'РО - зоны'!$D$8:$D$266,B60)</f>
        <v>0</v>
      </c>
      <c r="G60" s="45">
        <f>SUMIFS('РО - зоны'!$I$8:$I$266,'РО - зоны'!$D$8:$D$266,B60)/2</f>
        <v>0</v>
      </c>
      <c r="H60" s="45">
        <f>SUMIFS('РО - зоны'!$J$8:$J$266,'РО - зоны'!$D$8:$D$266,B60)</f>
        <v>4</v>
      </c>
      <c r="I60" s="46" t="str">
        <f t="shared" si="3"/>
        <v>0 / 0 / 4 из 4</v>
      </c>
      <c r="J60" s="47">
        <v>1</v>
      </c>
      <c r="K60" s="46" t="str">
        <f t="shared" si="4"/>
        <v>не требуется</v>
      </c>
      <c r="L60" s="47">
        <f t="shared" si="5"/>
        <v>0</v>
      </c>
      <c r="M60" s="2" t="str">
        <f t="shared" si="6"/>
        <v>Из 4 РО 4 в зеленой зоне, 0 - в желтой, 0 - в красной</v>
      </c>
      <c r="N60" s="2" t="str">
        <f t="shared" si="7"/>
        <v>Дорожная карта не требуется</v>
      </c>
    </row>
    <row r="61" spans="2:14">
      <c r="B61" s="48" t="s">
        <v>49</v>
      </c>
      <c r="C61" s="45">
        <f t="shared" si="0"/>
        <v>0</v>
      </c>
      <c r="D61" s="45">
        <f t="shared" si="1"/>
        <v>0</v>
      </c>
      <c r="E61" s="45">
        <f t="shared" si="2"/>
        <v>1</v>
      </c>
      <c r="F61" s="45">
        <f>SUMIFS('РО - зоны'!$H$8:$H$266,'РО - зоны'!$D$8:$D$266,B61)</f>
        <v>0</v>
      </c>
      <c r="G61" s="45">
        <f>SUMIFS('РО - зоны'!$I$8:$I$266,'РО - зоны'!$D$8:$D$266,B61)/2</f>
        <v>0</v>
      </c>
      <c r="H61" s="45">
        <f>SUMIFS('РО - зоны'!$J$8:$J$266,'РО - зоны'!$D$8:$D$266,B61)</f>
        <v>1</v>
      </c>
      <c r="I61" s="46" t="str">
        <f t="shared" si="3"/>
        <v>0 / 0 / 1 из 1</v>
      </c>
      <c r="J61" s="47">
        <v>0</v>
      </c>
      <c r="K61" s="46" t="str">
        <f t="shared" si="4"/>
        <v>не требуется</v>
      </c>
      <c r="L61" s="47">
        <f t="shared" si="5"/>
        <v>0</v>
      </c>
      <c r="M61" s="2" t="str">
        <f t="shared" si="6"/>
        <v>Из 1 РО 1 в зеленой зоне, 0 - в желтой, 0 - в красной</v>
      </c>
      <c r="N61" s="2" t="str">
        <f t="shared" si="7"/>
        <v>Дорожная карта не требуется</v>
      </c>
    </row>
    <row r="62" spans="2:14">
      <c r="B62" s="48" t="s">
        <v>50</v>
      </c>
      <c r="C62" s="45">
        <f t="shared" si="0"/>
        <v>1</v>
      </c>
      <c r="D62" s="45">
        <f t="shared" si="1"/>
        <v>1</v>
      </c>
      <c r="E62" s="45">
        <f t="shared" si="2"/>
        <v>0</v>
      </c>
      <c r="F62" s="45">
        <f>SUMIFS('РО - зоны'!$H$8:$H$266,'РО - зоны'!$D$8:$D$266,B62)</f>
        <v>1</v>
      </c>
      <c r="G62" s="45">
        <f>SUMIFS('РО - зоны'!$I$8:$I$266,'РО - зоны'!$D$8:$D$266,B62)/2</f>
        <v>0</v>
      </c>
      <c r="H62" s="45">
        <f>SUMIFS('РО - зоны'!$J$8:$J$266,'РО - зоны'!$D$8:$D$266,B62)</f>
        <v>1</v>
      </c>
      <c r="I62" s="46" t="str">
        <f t="shared" si="3"/>
        <v>0 / 1 / 0 из 1</v>
      </c>
      <c r="J62" s="47">
        <v>0</v>
      </c>
      <c r="K62" s="46" t="str">
        <f t="shared" si="4"/>
        <v>не подписана</v>
      </c>
      <c r="L62" s="47">
        <f t="shared" si="5"/>
        <v>2</v>
      </c>
      <c r="M62" s="2" t="str">
        <f t="shared" si="6"/>
        <v>Из 1 РО 0 в зеленой зоне, 1 - в желтой, 0 - в красной</v>
      </c>
      <c r="N62" s="2" t="str">
        <f t="shared" si="7"/>
        <v>Дорожная карта не подписана</v>
      </c>
    </row>
    <row r="63" spans="2:14">
      <c r="B63" s="48" t="s">
        <v>51</v>
      </c>
      <c r="C63" s="45">
        <f t="shared" si="0"/>
        <v>1</v>
      </c>
      <c r="D63" s="45">
        <f t="shared" si="1"/>
        <v>1</v>
      </c>
      <c r="E63" s="45">
        <f t="shared" si="2"/>
        <v>0</v>
      </c>
      <c r="F63" s="45">
        <f>SUMIFS('РО - зоны'!$H$8:$H$266,'РО - зоны'!$D$8:$D$266,B63)</f>
        <v>2</v>
      </c>
      <c r="G63" s="45">
        <f>SUMIFS('РО - зоны'!$I$8:$I$266,'РО - зоны'!$D$8:$D$266,B63)/2</f>
        <v>0</v>
      </c>
      <c r="H63" s="45">
        <f>SUMIFS('РО - зоны'!$J$8:$J$266,'РО - зоны'!$D$8:$D$266,B63)</f>
        <v>2</v>
      </c>
      <c r="I63" s="46" t="str">
        <f t="shared" si="3"/>
        <v>0 / 2 / 0 из 2</v>
      </c>
      <c r="J63" s="47">
        <v>0</v>
      </c>
      <c r="K63" s="46" t="str">
        <f t="shared" si="4"/>
        <v>не подписана</v>
      </c>
      <c r="L63" s="47">
        <f t="shared" si="5"/>
        <v>2</v>
      </c>
      <c r="M63" s="2" t="str">
        <f t="shared" si="6"/>
        <v>Из 2 РО 0 в зеленой зоне, 2 - в желтой, 0 - в красной</v>
      </c>
      <c r="N63" s="2" t="str">
        <f t="shared" si="7"/>
        <v>Дорожная карта не подписана</v>
      </c>
    </row>
    <row r="64" spans="2:14">
      <c r="B64" s="48" t="s">
        <v>52</v>
      </c>
      <c r="C64" s="45">
        <f t="shared" si="0"/>
        <v>0</v>
      </c>
      <c r="D64" s="45">
        <f t="shared" si="1"/>
        <v>0</v>
      </c>
      <c r="E64" s="45">
        <f t="shared" si="2"/>
        <v>1</v>
      </c>
      <c r="F64" s="45">
        <f>SUMIFS('РО - зоны'!$H$8:$H$266,'РО - зоны'!$D$8:$D$266,B64)</f>
        <v>0</v>
      </c>
      <c r="G64" s="45">
        <f>SUMIFS('РО - зоны'!$I$8:$I$266,'РО - зоны'!$D$8:$D$266,B64)/2</f>
        <v>0</v>
      </c>
      <c r="H64" s="45">
        <f>SUMIFS('РО - зоны'!$J$8:$J$266,'РО - зоны'!$D$8:$D$266,B64)</f>
        <v>1</v>
      </c>
      <c r="I64" s="46" t="str">
        <f t="shared" si="3"/>
        <v>0 / 0 / 1 из 1</v>
      </c>
      <c r="J64" s="47">
        <v>0</v>
      </c>
      <c r="K64" s="46" t="str">
        <f t="shared" si="4"/>
        <v>не требуется</v>
      </c>
      <c r="L64" s="47">
        <f t="shared" si="5"/>
        <v>0</v>
      </c>
      <c r="M64" s="2" t="str">
        <f t="shared" si="6"/>
        <v>Из 1 РО 1 в зеленой зоне, 0 - в желтой, 0 - в красной</v>
      </c>
      <c r="N64" s="2" t="str">
        <f t="shared" si="7"/>
        <v>Дорожная карта не требуется</v>
      </c>
    </row>
    <row r="65" spans="2:14">
      <c r="B65" s="48" t="s">
        <v>53</v>
      </c>
      <c r="C65" s="45">
        <f t="shared" si="0"/>
        <v>1</v>
      </c>
      <c r="D65" s="45">
        <f t="shared" si="1"/>
        <v>1</v>
      </c>
      <c r="E65" s="45">
        <f t="shared" si="2"/>
        <v>0</v>
      </c>
      <c r="F65" s="45">
        <f>SUMIFS('РО - зоны'!$H$8:$H$266,'РО - зоны'!$D$8:$D$266,B65)</f>
        <v>3</v>
      </c>
      <c r="G65" s="45">
        <f>SUMIFS('РО - зоны'!$I$8:$I$266,'РО - зоны'!$D$8:$D$266,B65)/2</f>
        <v>0</v>
      </c>
      <c r="H65" s="45">
        <f>SUMIFS('РО - зоны'!$J$8:$J$266,'РО - зоны'!$D$8:$D$266,B65)</f>
        <v>3</v>
      </c>
      <c r="I65" s="46" t="str">
        <f t="shared" si="3"/>
        <v>0 / 3 / 0 из 3</v>
      </c>
      <c r="J65" s="47">
        <v>0</v>
      </c>
      <c r="K65" s="46" t="str">
        <f t="shared" si="4"/>
        <v>не подписана</v>
      </c>
      <c r="L65" s="47">
        <f t="shared" si="5"/>
        <v>2</v>
      </c>
      <c r="M65" s="2" t="str">
        <f t="shared" si="6"/>
        <v>Из 3 РО 0 в зеленой зоне, 3 - в желтой, 0 - в красной</v>
      </c>
      <c r="N65" s="2" t="str">
        <f t="shared" si="7"/>
        <v>Дорожная карта не подписана</v>
      </c>
    </row>
    <row r="66" spans="2:14">
      <c r="B66" s="48" t="s">
        <v>3</v>
      </c>
      <c r="C66" s="45">
        <f t="shared" si="0"/>
        <v>1</v>
      </c>
      <c r="D66" s="45">
        <f t="shared" si="1"/>
        <v>1</v>
      </c>
      <c r="E66" s="45">
        <f t="shared" si="2"/>
        <v>3</v>
      </c>
      <c r="F66" s="45">
        <f>SUMIFS('РО - зоны'!$H$8:$H$266,'РО - зоны'!$D$8:$D$266,B66)</f>
        <v>2</v>
      </c>
      <c r="G66" s="45">
        <f>SUMIFS('РО - зоны'!$I$8:$I$266,'РО - зоны'!$D$8:$D$266,B66)/2</f>
        <v>0</v>
      </c>
      <c r="H66" s="45">
        <f>SUMIFS('РО - зоны'!$J$8:$J$266,'РО - зоны'!$D$8:$D$266,B66)</f>
        <v>5</v>
      </c>
      <c r="I66" s="46" t="str">
        <f t="shared" si="3"/>
        <v>0 / 2 / 3 из 5</v>
      </c>
      <c r="J66" s="47">
        <v>0</v>
      </c>
      <c r="K66" s="46" t="str">
        <f t="shared" si="4"/>
        <v>не подписана</v>
      </c>
      <c r="L66" s="47">
        <f t="shared" si="5"/>
        <v>2</v>
      </c>
      <c r="M66" s="2" t="str">
        <f t="shared" si="6"/>
        <v>Из 5 РО 3 в зеленой зоне, 2 - в желтой, 0 - в красной</v>
      </c>
      <c r="N66" s="2" t="str">
        <f t="shared" si="7"/>
        <v>Дорожная карта не подписана</v>
      </c>
    </row>
    <row r="67" spans="2:14">
      <c r="B67" s="48" t="s">
        <v>54</v>
      </c>
      <c r="C67" s="45">
        <f t="shared" si="0"/>
        <v>0</v>
      </c>
      <c r="D67" s="45">
        <f t="shared" si="1"/>
        <v>0</v>
      </c>
      <c r="E67" s="45">
        <f t="shared" si="2"/>
        <v>3</v>
      </c>
      <c r="F67" s="45">
        <f>SUMIFS('РО - зоны'!$H$8:$H$266,'РО - зоны'!$D$8:$D$266,B67)</f>
        <v>0</v>
      </c>
      <c r="G67" s="45">
        <f>SUMIFS('РО - зоны'!$I$8:$I$266,'РО - зоны'!$D$8:$D$266,B67)/2</f>
        <v>0</v>
      </c>
      <c r="H67" s="45">
        <f>SUMIFS('РО - зоны'!$J$8:$J$266,'РО - зоны'!$D$8:$D$266,B67)</f>
        <v>3</v>
      </c>
      <c r="I67" s="46" t="str">
        <f t="shared" si="3"/>
        <v>0 / 0 / 3 из 3</v>
      </c>
      <c r="J67" s="47">
        <v>0</v>
      </c>
      <c r="K67" s="46" t="str">
        <f t="shared" si="4"/>
        <v>не требуется</v>
      </c>
      <c r="L67" s="47">
        <f t="shared" si="5"/>
        <v>0</v>
      </c>
      <c r="M67" s="2" t="str">
        <f t="shared" si="6"/>
        <v>Из 3 РО 3 в зеленой зоне, 0 - в желтой, 0 - в красной</v>
      </c>
      <c r="N67" s="2" t="str">
        <f t="shared" si="7"/>
        <v>Дорожная карта не требуется</v>
      </c>
    </row>
    <row r="68" spans="2:14">
      <c r="B68" s="48" t="s">
        <v>55</v>
      </c>
      <c r="C68" s="45">
        <f t="shared" si="0"/>
        <v>1</v>
      </c>
      <c r="D68" s="45">
        <f t="shared" si="1"/>
        <v>1</v>
      </c>
      <c r="E68" s="45">
        <f t="shared" si="2"/>
        <v>0</v>
      </c>
      <c r="F68" s="45">
        <f>SUMIFS('РО - зоны'!$H$8:$H$266,'РО - зоны'!$D$8:$D$266,B68)</f>
        <v>3</v>
      </c>
      <c r="G68" s="45">
        <f>SUMIFS('РО - зоны'!$I$8:$I$266,'РО - зоны'!$D$8:$D$266,B68)/2</f>
        <v>0</v>
      </c>
      <c r="H68" s="45">
        <f>SUMIFS('РО - зоны'!$J$8:$J$266,'РО - зоны'!$D$8:$D$266,B68)</f>
        <v>3</v>
      </c>
      <c r="I68" s="46" t="str">
        <f t="shared" si="3"/>
        <v>0 / 3 / 0 из 3</v>
      </c>
      <c r="J68" s="47">
        <v>0</v>
      </c>
      <c r="K68" s="46" t="str">
        <f t="shared" si="4"/>
        <v>не подписана</v>
      </c>
      <c r="L68" s="47">
        <f t="shared" si="5"/>
        <v>2</v>
      </c>
      <c r="M68" s="2" t="str">
        <f t="shared" si="6"/>
        <v>Из 3 РО 0 в зеленой зоне, 3 - в желтой, 0 - в красной</v>
      </c>
      <c r="N68" s="2" t="str">
        <f t="shared" si="7"/>
        <v>Дорожная карта не подписана</v>
      </c>
    </row>
    <row r="69" spans="2:14">
      <c r="B69" s="48" t="s">
        <v>56</v>
      </c>
      <c r="C69" s="45">
        <f t="shared" si="0"/>
        <v>1</v>
      </c>
      <c r="D69" s="45">
        <f t="shared" si="1"/>
        <v>1</v>
      </c>
      <c r="E69" s="45">
        <f t="shared" si="2"/>
        <v>0</v>
      </c>
      <c r="F69" s="45">
        <f>SUMIFS('РО - зоны'!$H$8:$H$266,'РО - зоны'!$D$8:$D$266,B69)</f>
        <v>1</v>
      </c>
      <c r="G69" s="45">
        <f>SUMIFS('РО - зоны'!$I$8:$I$266,'РО - зоны'!$D$8:$D$266,B69)/2</f>
        <v>0</v>
      </c>
      <c r="H69" s="45">
        <f>SUMIFS('РО - зоны'!$J$8:$J$266,'РО - зоны'!$D$8:$D$266,B69)</f>
        <v>1</v>
      </c>
      <c r="I69" s="46" t="str">
        <f t="shared" si="3"/>
        <v>0 / 1 / 0 из 1</v>
      </c>
      <c r="J69" s="47">
        <v>0</v>
      </c>
      <c r="K69" s="46" t="str">
        <f t="shared" si="4"/>
        <v>не подписана</v>
      </c>
      <c r="L69" s="47">
        <f t="shared" si="5"/>
        <v>2</v>
      </c>
      <c r="M69" s="2" t="str">
        <f t="shared" si="6"/>
        <v>Из 1 РО 0 в зеленой зоне, 1 - в желтой, 0 - в красной</v>
      </c>
      <c r="N69" s="2" t="str">
        <f t="shared" si="7"/>
        <v>Дорожная карта не подписана</v>
      </c>
    </row>
    <row r="70" spans="2:14">
      <c r="B70" s="48" t="s">
        <v>57</v>
      </c>
      <c r="C70" s="45">
        <f t="shared" si="0"/>
        <v>1</v>
      </c>
      <c r="D70" s="45">
        <f t="shared" si="1"/>
        <v>1</v>
      </c>
      <c r="E70" s="45">
        <f t="shared" si="2"/>
        <v>0</v>
      </c>
      <c r="F70" s="45">
        <f>SUMIFS('РО - зоны'!$H$8:$H$266,'РО - зоны'!$D$8:$D$266,B70)</f>
        <v>1</v>
      </c>
      <c r="G70" s="45">
        <f>SUMIFS('РО - зоны'!$I$8:$I$266,'РО - зоны'!$D$8:$D$266,B70)/2</f>
        <v>0</v>
      </c>
      <c r="H70" s="45">
        <f>SUMIFS('РО - зоны'!$J$8:$J$266,'РО - зоны'!$D$8:$D$266,B70)</f>
        <v>1</v>
      </c>
      <c r="I70" s="46" t="str">
        <f t="shared" si="3"/>
        <v>0 / 1 / 0 из 1</v>
      </c>
      <c r="J70" s="47">
        <v>0</v>
      </c>
      <c r="K70" s="46" t="str">
        <f t="shared" si="4"/>
        <v>не подписана</v>
      </c>
      <c r="L70" s="47">
        <f t="shared" si="5"/>
        <v>2</v>
      </c>
      <c r="M70" s="2" t="str">
        <f t="shared" si="6"/>
        <v>Из 1 РО 0 в зеленой зоне, 1 - в желтой, 0 - в красной</v>
      </c>
      <c r="N70" s="2" t="str">
        <f t="shared" si="7"/>
        <v>Дорожная карта не подписана</v>
      </c>
    </row>
    <row r="71" spans="2:14">
      <c r="B71" s="48" t="s">
        <v>58</v>
      </c>
      <c r="C71" s="45">
        <f t="shared" si="0"/>
        <v>0</v>
      </c>
      <c r="D71" s="45">
        <f t="shared" si="1"/>
        <v>0</v>
      </c>
      <c r="E71" s="45">
        <f t="shared" si="2"/>
        <v>1</v>
      </c>
      <c r="F71" s="45">
        <f>SUMIFS('РО - зоны'!$H$8:$H$266,'РО - зоны'!$D$8:$D$266,B71)</f>
        <v>0</v>
      </c>
      <c r="G71" s="45">
        <f>SUMIFS('РО - зоны'!$I$8:$I$266,'РО - зоны'!$D$8:$D$266,B71)/2</f>
        <v>0</v>
      </c>
      <c r="H71" s="45">
        <f>SUMIFS('РО - зоны'!$J$8:$J$266,'РО - зоны'!$D$8:$D$266,B71)</f>
        <v>1</v>
      </c>
      <c r="I71" s="46" t="str">
        <f t="shared" si="3"/>
        <v>0 / 0 / 1 из 1</v>
      </c>
      <c r="J71" s="47">
        <v>0</v>
      </c>
      <c r="K71" s="46" t="str">
        <f t="shared" si="4"/>
        <v>не требуется</v>
      </c>
      <c r="L71" s="47">
        <f t="shared" si="5"/>
        <v>0</v>
      </c>
      <c r="M71" s="2" t="str">
        <f t="shared" si="6"/>
        <v>Из 1 РО 1 в зеленой зоне, 0 - в желтой, 0 - в красной</v>
      </c>
      <c r="N71" s="2" t="str">
        <f t="shared" si="7"/>
        <v>Дорожная карта не требуется</v>
      </c>
    </row>
    <row r="72" spans="2:14">
      <c r="B72" s="48" t="s">
        <v>59</v>
      </c>
      <c r="C72" s="45">
        <f t="shared" si="0"/>
        <v>0</v>
      </c>
      <c r="D72" s="45">
        <f t="shared" si="1"/>
        <v>0</v>
      </c>
      <c r="E72" s="45">
        <f t="shared" si="2"/>
        <v>1</v>
      </c>
      <c r="F72" s="45">
        <f>SUMIFS('РО - зоны'!$H$8:$H$266,'РО - зоны'!$D$8:$D$266,B72)</f>
        <v>0</v>
      </c>
      <c r="G72" s="45">
        <f>SUMIFS('РО - зоны'!$I$8:$I$266,'РО - зоны'!$D$8:$D$266,B72)/2</f>
        <v>0</v>
      </c>
      <c r="H72" s="45">
        <f>SUMIFS('РО - зоны'!$J$8:$J$266,'РО - зоны'!$D$8:$D$266,B72)</f>
        <v>1</v>
      </c>
      <c r="I72" s="46" t="str">
        <f t="shared" si="3"/>
        <v>0 / 0 / 1 из 1</v>
      </c>
      <c r="J72" s="47">
        <v>0</v>
      </c>
      <c r="K72" s="46" t="str">
        <f t="shared" si="4"/>
        <v>не требуется</v>
      </c>
      <c r="L72" s="47">
        <f t="shared" si="5"/>
        <v>0</v>
      </c>
      <c r="M72" s="2" t="str">
        <f t="shared" si="6"/>
        <v>Из 1 РО 1 в зеленой зоне, 0 - в желтой, 0 - в красной</v>
      </c>
      <c r="N72" s="2" t="str">
        <f t="shared" si="7"/>
        <v>Дорожная карта не требуется</v>
      </c>
    </row>
    <row r="73" spans="2:14">
      <c r="B73" s="48" t="s">
        <v>60</v>
      </c>
      <c r="C73" s="45">
        <f t="shared" si="0"/>
        <v>0</v>
      </c>
      <c r="D73" s="45">
        <f t="shared" si="1"/>
        <v>0</v>
      </c>
      <c r="E73" s="45">
        <f t="shared" si="2"/>
        <v>6</v>
      </c>
      <c r="F73" s="45">
        <f>SUMIFS('РО - зоны'!$H$8:$H$266,'РО - зоны'!$D$8:$D$266,B73)</f>
        <v>0</v>
      </c>
      <c r="G73" s="45">
        <f>SUMIFS('РО - зоны'!$I$8:$I$266,'РО - зоны'!$D$8:$D$266,B73)/2</f>
        <v>0</v>
      </c>
      <c r="H73" s="45">
        <f>SUMIFS('РО - зоны'!$J$8:$J$266,'РО - зоны'!$D$8:$D$266,B73)</f>
        <v>6</v>
      </c>
      <c r="I73" s="46" t="str">
        <f t="shared" si="3"/>
        <v>0 / 0 / 6 из 6</v>
      </c>
      <c r="J73" s="47">
        <v>0</v>
      </c>
      <c r="K73" s="46" t="str">
        <f t="shared" si="4"/>
        <v>не требуется</v>
      </c>
      <c r="L73" s="47">
        <f t="shared" si="5"/>
        <v>0</v>
      </c>
      <c r="M73" s="2" t="str">
        <f t="shared" si="6"/>
        <v>Из 6 РО 6 в зеленой зоне, 0 - в желтой, 0 - в красной</v>
      </c>
      <c r="N73" s="2" t="str">
        <f t="shared" si="7"/>
        <v>Дорожная карта не требуется</v>
      </c>
    </row>
    <row r="74" spans="2:14">
      <c r="B74" s="48" t="s">
        <v>61</v>
      </c>
      <c r="C74" s="45">
        <f t="shared" si="0"/>
        <v>1</v>
      </c>
      <c r="D74" s="45">
        <f t="shared" si="1"/>
        <v>1</v>
      </c>
      <c r="E74" s="45">
        <f t="shared" si="2"/>
        <v>0</v>
      </c>
      <c r="F74" s="45">
        <f>SUMIFS('РО - зоны'!$H$8:$H$266,'РО - зоны'!$D$8:$D$266,B74)</f>
        <v>2</v>
      </c>
      <c r="G74" s="45">
        <f>SUMIFS('РО - зоны'!$I$8:$I$266,'РО - зоны'!$D$8:$D$266,B74)/2</f>
        <v>0</v>
      </c>
      <c r="H74" s="45">
        <f>SUMIFS('РО - зоны'!$J$8:$J$266,'РО - зоны'!$D$8:$D$266,B74)</f>
        <v>2</v>
      </c>
      <c r="I74" s="46" t="str">
        <f t="shared" si="3"/>
        <v>0 / 2 / 0 из 2</v>
      </c>
      <c r="J74" s="47">
        <v>0</v>
      </c>
      <c r="K74" s="46" t="str">
        <f t="shared" si="4"/>
        <v>не подписана</v>
      </c>
      <c r="L74" s="47">
        <f t="shared" si="5"/>
        <v>2</v>
      </c>
      <c r="M74" s="2" t="str">
        <f t="shared" si="6"/>
        <v>Из 2 РО 0 в зеленой зоне, 2 - в желтой, 0 - в красной</v>
      </c>
      <c r="N74" s="2" t="str">
        <f t="shared" si="7"/>
        <v>Дорожная карта не подписана</v>
      </c>
    </row>
    <row r="75" spans="2:14">
      <c r="B75" s="48" t="s">
        <v>62</v>
      </c>
      <c r="C75" s="45">
        <f t="shared" si="0"/>
        <v>0</v>
      </c>
      <c r="D75" s="45">
        <f t="shared" si="1"/>
        <v>0</v>
      </c>
      <c r="E75" s="45">
        <f t="shared" si="2"/>
        <v>1</v>
      </c>
      <c r="F75" s="45">
        <f>SUMIFS('РО - зоны'!$H$8:$H$266,'РО - зоны'!$D$8:$D$266,B75)</f>
        <v>0</v>
      </c>
      <c r="G75" s="45">
        <f>SUMIFS('РО - зоны'!$I$8:$I$266,'РО - зоны'!$D$8:$D$266,B75)/2</f>
        <v>0</v>
      </c>
      <c r="H75" s="45">
        <f>SUMIFS('РО - зоны'!$J$8:$J$266,'РО - зоны'!$D$8:$D$266,B75)</f>
        <v>1</v>
      </c>
      <c r="I75" s="46" t="str">
        <f t="shared" si="3"/>
        <v>0 / 0 / 1 из 1</v>
      </c>
      <c r="J75" s="47">
        <v>0</v>
      </c>
      <c r="K75" s="46" t="str">
        <f t="shared" si="4"/>
        <v>не требуется</v>
      </c>
      <c r="L75" s="47">
        <f t="shared" si="5"/>
        <v>0</v>
      </c>
      <c r="M75" s="2" t="str">
        <f t="shared" si="6"/>
        <v>Из 1 РО 1 в зеленой зоне, 0 - в желтой, 0 - в красной</v>
      </c>
      <c r="N75" s="2" t="str">
        <f t="shared" si="7"/>
        <v>Дорожная карта не требуется</v>
      </c>
    </row>
    <row r="76" spans="2:14">
      <c r="B76" s="48" t="s">
        <v>63</v>
      </c>
      <c r="C76" s="45">
        <f t="shared" si="0"/>
        <v>1</v>
      </c>
      <c r="D76" s="45">
        <f t="shared" si="1"/>
        <v>1</v>
      </c>
      <c r="E76" s="45">
        <f t="shared" si="2"/>
        <v>6</v>
      </c>
      <c r="F76" s="45">
        <f>SUMIFS('РО - зоны'!$H$8:$H$266,'РО - зоны'!$D$8:$D$266,B76)</f>
        <v>6</v>
      </c>
      <c r="G76" s="45">
        <f>SUMIFS('РО - зоны'!$I$8:$I$266,'РО - зоны'!$D$8:$D$266,B76)/2</f>
        <v>0</v>
      </c>
      <c r="H76" s="45">
        <f>SUMIFS('РО - зоны'!$J$8:$J$266,'РО - зоны'!$D$8:$D$266,B76)</f>
        <v>12</v>
      </c>
      <c r="I76" s="46" t="str">
        <f t="shared" si="3"/>
        <v>0 / 6 / 6 из 12</v>
      </c>
      <c r="J76" s="47">
        <v>1</v>
      </c>
      <c r="K76" s="46" t="str">
        <f t="shared" si="4"/>
        <v>подписана</v>
      </c>
      <c r="L76" s="47">
        <f t="shared" si="5"/>
        <v>2</v>
      </c>
      <c r="M76" s="2" t="str">
        <f t="shared" si="6"/>
        <v>Из 12 РО 6 в зеленой зоне, 6 - в желтой, 0 - в красной</v>
      </c>
      <c r="N76" s="2" t="str">
        <f t="shared" si="7"/>
        <v>Дорожная карта подписана</v>
      </c>
    </row>
    <row r="77" spans="2:14">
      <c r="B77" s="48" t="s">
        <v>64</v>
      </c>
      <c r="C77" s="45">
        <f t="shared" si="0"/>
        <v>1</v>
      </c>
      <c r="D77" s="45">
        <f t="shared" si="1"/>
        <v>1</v>
      </c>
      <c r="E77" s="45">
        <f t="shared" si="2"/>
        <v>1</v>
      </c>
      <c r="F77" s="45">
        <f>SUMIFS('РО - зоны'!$H$8:$H$266,'РО - зоны'!$D$8:$D$266,B77)</f>
        <v>1</v>
      </c>
      <c r="G77" s="45">
        <f>SUMIFS('РО - зоны'!$I$8:$I$266,'РО - зоны'!$D$8:$D$266,B77)/2</f>
        <v>0</v>
      </c>
      <c r="H77" s="45">
        <f>SUMIFS('РО - зоны'!$J$8:$J$266,'РО - зоны'!$D$8:$D$266,B77)</f>
        <v>2</v>
      </c>
      <c r="I77" s="46" t="str">
        <f t="shared" si="3"/>
        <v>0 / 1 / 1 из 2</v>
      </c>
      <c r="J77" s="47">
        <v>0</v>
      </c>
      <c r="K77" s="46" t="str">
        <f t="shared" si="4"/>
        <v>не подписана</v>
      </c>
      <c r="L77" s="47">
        <f t="shared" si="5"/>
        <v>2</v>
      </c>
      <c r="M77" s="2" t="str">
        <f t="shared" si="6"/>
        <v>Из 2 РО 1 в зеленой зоне, 1 - в желтой, 0 - в красной</v>
      </c>
      <c r="N77" s="2" t="str">
        <f t="shared" si="7"/>
        <v>Дорожная карта не подписана</v>
      </c>
    </row>
    <row r="78" spans="2:14">
      <c r="B78" s="48" t="s">
        <v>65</v>
      </c>
      <c r="C78" s="45">
        <f t="shared" si="0"/>
        <v>0</v>
      </c>
      <c r="D78" s="45">
        <f t="shared" si="1"/>
        <v>0</v>
      </c>
      <c r="E78" s="45">
        <f t="shared" si="2"/>
        <v>2</v>
      </c>
      <c r="F78" s="45">
        <f>SUMIFS('РО - зоны'!$H$8:$H$266,'РО - зоны'!$D$8:$D$266,B78)</f>
        <v>0</v>
      </c>
      <c r="G78" s="45">
        <f>SUMIFS('РО - зоны'!$I$8:$I$266,'РО - зоны'!$D$8:$D$266,B78)/2</f>
        <v>0</v>
      </c>
      <c r="H78" s="45">
        <f>SUMIFS('РО - зоны'!$J$8:$J$266,'РО - зоны'!$D$8:$D$266,B78)</f>
        <v>2</v>
      </c>
      <c r="I78" s="46" t="str">
        <f t="shared" si="3"/>
        <v>0 / 0 / 2 из 2</v>
      </c>
      <c r="J78" s="47">
        <v>0</v>
      </c>
      <c r="K78" s="46" t="str">
        <f t="shared" si="4"/>
        <v>не требуется</v>
      </c>
      <c r="L78" s="47">
        <f t="shared" si="5"/>
        <v>0</v>
      </c>
      <c r="M78" s="2" t="str">
        <f t="shared" si="6"/>
        <v>Из 2 РО 2 в зеленой зоне, 0 - в желтой, 0 - в красной</v>
      </c>
      <c r="N78" s="2" t="str">
        <f t="shared" si="7"/>
        <v>Дорожная карта не требуется</v>
      </c>
    </row>
    <row r="79" spans="2:14">
      <c r="B79" s="48" t="s">
        <v>66</v>
      </c>
      <c r="C79" s="45">
        <f t="shared" si="0"/>
        <v>1</v>
      </c>
      <c r="D79" s="45">
        <f t="shared" si="1"/>
        <v>1</v>
      </c>
      <c r="E79" s="45">
        <f t="shared" si="2"/>
        <v>0</v>
      </c>
      <c r="F79" s="45">
        <f>SUMIFS('РО - зоны'!$H$8:$H$266,'РО - зоны'!$D$8:$D$266,B79)</f>
        <v>2</v>
      </c>
      <c r="G79" s="45">
        <f>SUMIFS('РО - зоны'!$I$8:$I$266,'РО - зоны'!$D$8:$D$266,B79)/2</f>
        <v>0</v>
      </c>
      <c r="H79" s="45">
        <f>SUMIFS('РО - зоны'!$J$8:$J$266,'РО - зоны'!$D$8:$D$266,B79)</f>
        <v>2</v>
      </c>
      <c r="I79" s="46" t="str">
        <f t="shared" si="3"/>
        <v>0 / 2 / 0 из 2</v>
      </c>
      <c r="J79" s="47">
        <v>0</v>
      </c>
      <c r="K79" s="46" t="str">
        <f t="shared" si="4"/>
        <v>не подписана</v>
      </c>
      <c r="L79" s="47">
        <f t="shared" si="5"/>
        <v>2</v>
      </c>
      <c r="M79" s="2" t="str">
        <f t="shared" si="6"/>
        <v>Из 2 РО 0 в зеленой зоне, 2 - в желтой, 0 - в красной</v>
      </c>
      <c r="N79" s="2" t="str">
        <f t="shared" si="7"/>
        <v>Дорожная карта не подписана</v>
      </c>
    </row>
    <row r="80" spans="2:14">
      <c r="B80" s="48" t="s">
        <v>67</v>
      </c>
      <c r="C80" s="45">
        <f t="shared" si="0"/>
        <v>2</v>
      </c>
      <c r="D80" s="45">
        <f t="shared" si="1"/>
        <v>2</v>
      </c>
      <c r="E80" s="45">
        <f t="shared" si="2"/>
        <v>1</v>
      </c>
      <c r="F80" s="45">
        <f>SUMIFS('РО - зоны'!$H$8:$H$266,'РО - зоны'!$D$8:$D$266,B80)</f>
        <v>3</v>
      </c>
      <c r="G80" s="45">
        <f>SUMIFS('РО - зоны'!$I$8:$I$266,'РО - зоны'!$D$8:$D$266,B80)/2</f>
        <v>1</v>
      </c>
      <c r="H80" s="45">
        <f>SUMIFS('РО - зоны'!$J$8:$J$266,'РО - зоны'!$D$8:$D$266,B80)</f>
        <v>5</v>
      </c>
      <c r="I80" s="46" t="str">
        <f t="shared" si="3"/>
        <v>1 / 3 / 1 из 5</v>
      </c>
      <c r="J80" s="47">
        <v>1</v>
      </c>
      <c r="K80" s="46" t="str">
        <f t="shared" si="4"/>
        <v>подписана</v>
      </c>
      <c r="L80" s="47">
        <f t="shared" si="5"/>
        <v>2</v>
      </c>
      <c r="M80" s="2" t="str">
        <f t="shared" si="6"/>
        <v>Из 5 РО 1 в зеленой зоне, 3 - в желтой, 1 - в красной</v>
      </c>
      <c r="N80" s="2" t="str">
        <f t="shared" si="7"/>
        <v>Дорожная карта подписана</v>
      </c>
    </row>
    <row r="81" spans="2:14">
      <c r="B81" s="48" t="s">
        <v>68</v>
      </c>
      <c r="C81" s="45">
        <f t="shared" ref="C81:C104" si="8">IF(D81&gt;$D$8,2,IF(D81&gt;$D$9,1,0))</f>
        <v>1</v>
      </c>
      <c r="D81" s="45">
        <f t="shared" ref="D81:D104" si="9">IF(G81&gt;0,2,IF(F81&gt;0,1,0))</f>
        <v>1</v>
      </c>
      <c r="E81" s="45">
        <f t="shared" ref="E81:E104" si="10">H81-F81-G81</f>
        <v>6</v>
      </c>
      <c r="F81" s="45">
        <f>SUMIFS('РО - зоны'!$H$8:$H$266,'РО - зоны'!$D$8:$D$266,B81)</f>
        <v>2</v>
      </c>
      <c r="G81" s="45">
        <f>SUMIFS('РО - зоны'!$I$8:$I$266,'РО - зоны'!$D$8:$D$266,B81)/2</f>
        <v>0</v>
      </c>
      <c r="H81" s="45">
        <f>SUMIFS('РО - зоны'!$J$8:$J$266,'РО - зоны'!$D$8:$D$266,B81)</f>
        <v>8</v>
      </c>
      <c r="I81" s="46" t="str">
        <f t="shared" ref="I81:I104" si="11">_xlfn.TEXTJOIN(,0,G81," / ",F81," / ",E81," из ",E81+F81+G81)</f>
        <v>0 / 2 / 6 из 8</v>
      </c>
      <c r="J81" s="47">
        <v>0</v>
      </c>
      <c r="K81" s="46" t="str">
        <f t="shared" ref="K81:K104" si="12">IF(F81+G81&gt;0,IF(J81=0,"не подписана","подписана"),"не требуется")</f>
        <v>не подписана</v>
      </c>
      <c r="L81" s="47">
        <f t="shared" ref="L81:L104" si="13">IF(J81&lt;F81+G81,2,0)</f>
        <v>2</v>
      </c>
      <c r="M81" s="2" t="str">
        <f t="shared" ref="M81:M104" si="14">_xlfn.TEXTJOIN(,0,"Из ",E81+F81+G81," РО ",E81," в зеленой зоне, ",F81," - в желтой, ",G81," - в красной")</f>
        <v>Из 8 РО 6 в зеленой зоне, 2 - в желтой, 0 - в красной</v>
      </c>
      <c r="N81" s="2" t="str">
        <f t="shared" ref="N81:N104" si="15">_xlfn.TEXTJOIN(,0,"Дорожная карта ",K81)</f>
        <v>Дорожная карта не подписана</v>
      </c>
    </row>
    <row r="82" spans="2:14">
      <c r="B82" s="48" t="s">
        <v>69</v>
      </c>
      <c r="C82" s="45">
        <f t="shared" si="8"/>
        <v>1</v>
      </c>
      <c r="D82" s="45">
        <f t="shared" si="9"/>
        <v>1</v>
      </c>
      <c r="E82" s="45">
        <f t="shared" si="10"/>
        <v>0</v>
      </c>
      <c r="F82" s="45">
        <f>SUMIFS('РО - зоны'!$H$8:$H$266,'РО - зоны'!$D$8:$D$266,B82)</f>
        <v>1</v>
      </c>
      <c r="G82" s="45">
        <f>SUMIFS('РО - зоны'!$I$8:$I$266,'РО - зоны'!$D$8:$D$266,B82)/2</f>
        <v>0</v>
      </c>
      <c r="H82" s="45">
        <f>SUMIFS('РО - зоны'!$J$8:$J$266,'РО - зоны'!$D$8:$D$266,B82)</f>
        <v>1</v>
      </c>
      <c r="I82" s="46" t="str">
        <f t="shared" si="11"/>
        <v>0 / 1 / 0 из 1</v>
      </c>
      <c r="J82" s="47">
        <v>0</v>
      </c>
      <c r="K82" s="46" t="str">
        <f t="shared" si="12"/>
        <v>не подписана</v>
      </c>
      <c r="L82" s="47">
        <f t="shared" si="13"/>
        <v>2</v>
      </c>
      <c r="M82" s="2" t="str">
        <f t="shared" si="14"/>
        <v>Из 1 РО 0 в зеленой зоне, 1 - в желтой, 0 - в красной</v>
      </c>
      <c r="N82" s="2" t="str">
        <f t="shared" si="15"/>
        <v>Дорожная карта не подписана</v>
      </c>
    </row>
    <row r="83" spans="2:14">
      <c r="B83" s="48" t="s">
        <v>70</v>
      </c>
      <c r="C83" s="45">
        <f t="shared" si="8"/>
        <v>0</v>
      </c>
      <c r="D83" s="45">
        <f t="shared" si="9"/>
        <v>0</v>
      </c>
      <c r="E83" s="45">
        <f t="shared" si="10"/>
        <v>1</v>
      </c>
      <c r="F83" s="45">
        <f>SUMIFS('РО - зоны'!$H$8:$H$266,'РО - зоны'!$D$8:$D$266,B83)</f>
        <v>0</v>
      </c>
      <c r="G83" s="45">
        <f>SUMIFS('РО - зоны'!$I$8:$I$266,'РО - зоны'!$D$8:$D$266,B83)/2</f>
        <v>0</v>
      </c>
      <c r="H83" s="45">
        <f>SUMIFS('РО - зоны'!$J$8:$J$266,'РО - зоны'!$D$8:$D$266,B83)</f>
        <v>1</v>
      </c>
      <c r="I83" s="46" t="str">
        <f t="shared" si="11"/>
        <v>0 / 0 / 1 из 1</v>
      </c>
      <c r="J83" s="47">
        <v>0</v>
      </c>
      <c r="K83" s="46" t="str">
        <f t="shared" si="12"/>
        <v>не требуется</v>
      </c>
      <c r="L83" s="47">
        <f t="shared" si="13"/>
        <v>0</v>
      </c>
      <c r="M83" s="2" t="str">
        <f t="shared" si="14"/>
        <v>Из 1 РО 1 в зеленой зоне, 0 - в желтой, 0 - в красной</v>
      </c>
      <c r="N83" s="2" t="str">
        <f t="shared" si="15"/>
        <v>Дорожная карта не требуется</v>
      </c>
    </row>
    <row r="84" spans="2:14">
      <c r="B84" s="48" t="s">
        <v>71</v>
      </c>
      <c r="C84" s="45">
        <f t="shared" si="8"/>
        <v>0</v>
      </c>
      <c r="D84" s="45">
        <f t="shared" si="9"/>
        <v>0</v>
      </c>
      <c r="E84" s="45">
        <f t="shared" si="10"/>
        <v>2</v>
      </c>
      <c r="F84" s="45">
        <f>SUMIFS('РО - зоны'!$H$8:$H$266,'РО - зоны'!$D$8:$D$266,B84)</f>
        <v>0</v>
      </c>
      <c r="G84" s="45">
        <f>SUMIFS('РО - зоны'!$I$8:$I$266,'РО - зоны'!$D$8:$D$266,B84)/2</f>
        <v>0</v>
      </c>
      <c r="H84" s="45">
        <f>SUMIFS('РО - зоны'!$J$8:$J$266,'РО - зоны'!$D$8:$D$266,B84)</f>
        <v>2</v>
      </c>
      <c r="I84" s="46" t="str">
        <f t="shared" si="11"/>
        <v>0 / 0 / 2 из 2</v>
      </c>
      <c r="J84" s="47">
        <v>0</v>
      </c>
      <c r="K84" s="46" t="str">
        <f t="shared" si="12"/>
        <v>не требуется</v>
      </c>
      <c r="L84" s="47">
        <f t="shared" si="13"/>
        <v>0</v>
      </c>
      <c r="M84" s="2" t="str">
        <f t="shared" si="14"/>
        <v>Из 2 РО 2 в зеленой зоне, 0 - в желтой, 0 - в красной</v>
      </c>
      <c r="N84" s="2" t="str">
        <f t="shared" si="15"/>
        <v>Дорожная карта не требуется</v>
      </c>
    </row>
    <row r="85" spans="2:14">
      <c r="B85" s="48" t="s">
        <v>72</v>
      </c>
      <c r="C85" s="45">
        <f t="shared" si="8"/>
        <v>0</v>
      </c>
      <c r="D85" s="45">
        <f t="shared" si="9"/>
        <v>0</v>
      </c>
      <c r="E85" s="45">
        <f t="shared" si="10"/>
        <v>1</v>
      </c>
      <c r="F85" s="45">
        <f>SUMIFS('РО - зоны'!$H$8:$H$266,'РО - зоны'!$D$8:$D$266,B85)</f>
        <v>0</v>
      </c>
      <c r="G85" s="45">
        <f>SUMIFS('РО - зоны'!$I$8:$I$266,'РО - зоны'!$D$8:$D$266,B85)/2</f>
        <v>0</v>
      </c>
      <c r="H85" s="45">
        <f>SUMIFS('РО - зоны'!$J$8:$J$266,'РО - зоны'!$D$8:$D$266,B85)</f>
        <v>1</v>
      </c>
      <c r="I85" s="46" t="str">
        <f t="shared" si="11"/>
        <v>0 / 0 / 1 из 1</v>
      </c>
      <c r="J85" s="47">
        <v>0</v>
      </c>
      <c r="K85" s="46" t="str">
        <f t="shared" si="12"/>
        <v>не требуется</v>
      </c>
      <c r="L85" s="47">
        <f t="shared" si="13"/>
        <v>0</v>
      </c>
      <c r="M85" s="2" t="str">
        <f t="shared" si="14"/>
        <v>Из 1 РО 1 в зеленой зоне, 0 - в желтой, 0 - в красной</v>
      </c>
      <c r="N85" s="2" t="str">
        <f t="shared" si="15"/>
        <v>Дорожная карта не требуется</v>
      </c>
    </row>
    <row r="86" spans="2:14">
      <c r="B86" s="48" t="s">
        <v>73</v>
      </c>
      <c r="C86" s="45">
        <f t="shared" si="8"/>
        <v>1</v>
      </c>
      <c r="D86" s="45">
        <f t="shared" si="9"/>
        <v>1</v>
      </c>
      <c r="E86" s="45">
        <f t="shared" si="10"/>
        <v>2</v>
      </c>
      <c r="F86" s="45">
        <f>SUMIFS('РО - зоны'!$H$8:$H$266,'РО - зоны'!$D$8:$D$266,B86)</f>
        <v>1</v>
      </c>
      <c r="G86" s="45">
        <f>SUMIFS('РО - зоны'!$I$8:$I$266,'РО - зоны'!$D$8:$D$266,B86)/2</f>
        <v>0</v>
      </c>
      <c r="H86" s="45">
        <f>SUMIFS('РО - зоны'!$J$8:$J$266,'РО - зоны'!$D$8:$D$266,B86)</f>
        <v>3</v>
      </c>
      <c r="I86" s="46" t="str">
        <f t="shared" si="11"/>
        <v>0 / 1 / 2 из 3</v>
      </c>
      <c r="J86" s="47">
        <v>0</v>
      </c>
      <c r="K86" s="46" t="str">
        <f t="shared" si="12"/>
        <v>не подписана</v>
      </c>
      <c r="L86" s="47">
        <f t="shared" si="13"/>
        <v>2</v>
      </c>
      <c r="M86" s="2" t="str">
        <f t="shared" si="14"/>
        <v>Из 3 РО 2 в зеленой зоне, 1 - в желтой, 0 - в красной</v>
      </c>
      <c r="N86" s="2" t="str">
        <f t="shared" si="15"/>
        <v>Дорожная карта не подписана</v>
      </c>
    </row>
    <row r="87" spans="2:14">
      <c r="B87" s="48" t="s">
        <v>74</v>
      </c>
      <c r="C87" s="45">
        <f t="shared" si="8"/>
        <v>0</v>
      </c>
      <c r="D87" s="45">
        <f t="shared" si="9"/>
        <v>0</v>
      </c>
      <c r="E87" s="45">
        <f t="shared" si="10"/>
        <v>1</v>
      </c>
      <c r="F87" s="45">
        <f>SUMIFS('РО - зоны'!$H$8:$H$266,'РО - зоны'!$D$8:$D$266,B87)</f>
        <v>0</v>
      </c>
      <c r="G87" s="45">
        <f>SUMIFS('РО - зоны'!$I$8:$I$266,'РО - зоны'!$D$8:$D$266,B87)/2</f>
        <v>0</v>
      </c>
      <c r="H87" s="45">
        <f>SUMIFS('РО - зоны'!$J$8:$J$266,'РО - зоны'!$D$8:$D$266,B87)</f>
        <v>1</v>
      </c>
      <c r="I87" s="46" t="str">
        <f t="shared" si="11"/>
        <v>0 / 0 / 1 из 1</v>
      </c>
      <c r="J87" s="47">
        <v>0</v>
      </c>
      <c r="K87" s="46" t="str">
        <f t="shared" si="12"/>
        <v>не требуется</v>
      </c>
      <c r="L87" s="47">
        <f t="shared" si="13"/>
        <v>0</v>
      </c>
      <c r="M87" s="2" t="str">
        <f t="shared" si="14"/>
        <v>Из 1 РО 1 в зеленой зоне, 0 - в желтой, 0 - в красной</v>
      </c>
      <c r="N87" s="2" t="str">
        <f t="shared" si="15"/>
        <v>Дорожная карта не требуется</v>
      </c>
    </row>
    <row r="88" spans="2:14">
      <c r="B88" s="48" t="s">
        <v>75</v>
      </c>
      <c r="C88" s="45">
        <f t="shared" si="8"/>
        <v>1</v>
      </c>
      <c r="D88" s="45">
        <f t="shared" si="9"/>
        <v>1</v>
      </c>
      <c r="E88" s="45">
        <f t="shared" si="10"/>
        <v>3</v>
      </c>
      <c r="F88" s="45">
        <f>SUMIFS('РО - зоны'!$H$8:$H$266,'РО - зоны'!$D$8:$D$266,B88)</f>
        <v>1</v>
      </c>
      <c r="G88" s="45">
        <f>SUMIFS('РО - зоны'!$I$8:$I$266,'РО - зоны'!$D$8:$D$266,B88)/2</f>
        <v>0</v>
      </c>
      <c r="H88" s="45">
        <f>SUMIFS('РО - зоны'!$J$8:$J$266,'РО - зоны'!$D$8:$D$266,B88)</f>
        <v>4</v>
      </c>
      <c r="I88" s="46" t="str">
        <f t="shared" si="11"/>
        <v>0 / 1 / 3 из 4</v>
      </c>
      <c r="J88" s="47">
        <v>0</v>
      </c>
      <c r="K88" s="46" t="str">
        <f t="shared" si="12"/>
        <v>не подписана</v>
      </c>
      <c r="L88" s="47">
        <f t="shared" si="13"/>
        <v>2</v>
      </c>
      <c r="M88" s="2" t="str">
        <f t="shared" si="14"/>
        <v>Из 4 РО 3 в зеленой зоне, 1 - в желтой, 0 - в красной</v>
      </c>
      <c r="N88" s="2" t="str">
        <f t="shared" si="15"/>
        <v>Дорожная карта не подписана</v>
      </c>
    </row>
    <row r="89" spans="2:14">
      <c r="B89" s="48" t="s">
        <v>76</v>
      </c>
      <c r="C89" s="45">
        <f t="shared" si="8"/>
        <v>0</v>
      </c>
      <c r="D89" s="45">
        <f t="shared" si="9"/>
        <v>0</v>
      </c>
      <c r="E89" s="45">
        <f t="shared" si="10"/>
        <v>1</v>
      </c>
      <c r="F89" s="45">
        <f>SUMIFS('РО - зоны'!$H$8:$H$266,'РО - зоны'!$D$8:$D$266,B89)</f>
        <v>0</v>
      </c>
      <c r="G89" s="45">
        <f>SUMIFS('РО - зоны'!$I$8:$I$266,'РО - зоны'!$D$8:$D$266,B89)/2</f>
        <v>0</v>
      </c>
      <c r="H89" s="45">
        <f>SUMIFS('РО - зоны'!$J$8:$J$266,'РО - зоны'!$D$8:$D$266,B89)</f>
        <v>1</v>
      </c>
      <c r="I89" s="46" t="str">
        <f t="shared" si="11"/>
        <v>0 / 0 / 1 из 1</v>
      </c>
      <c r="J89" s="47">
        <v>0</v>
      </c>
      <c r="K89" s="46" t="str">
        <f t="shared" si="12"/>
        <v>не требуется</v>
      </c>
      <c r="L89" s="47">
        <f t="shared" si="13"/>
        <v>0</v>
      </c>
      <c r="M89" s="2" t="str">
        <f t="shared" si="14"/>
        <v>Из 1 РО 1 в зеленой зоне, 0 - в желтой, 0 - в красной</v>
      </c>
      <c r="N89" s="2" t="str">
        <f t="shared" si="15"/>
        <v>Дорожная карта не требуется</v>
      </c>
    </row>
    <row r="90" spans="2:14">
      <c r="B90" s="48" t="s">
        <v>77</v>
      </c>
      <c r="C90" s="45">
        <f t="shared" si="8"/>
        <v>1</v>
      </c>
      <c r="D90" s="45">
        <f t="shared" si="9"/>
        <v>1</v>
      </c>
      <c r="E90" s="45">
        <f t="shared" si="10"/>
        <v>0</v>
      </c>
      <c r="F90" s="45">
        <f>SUMIFS('РО - зоны'!$H$8:$H$266,'РО - зоны'!$D$8:$D$266,B90)</f>
        <v>1</v>
      </c>
      <c r="G90" s="45">
        <f>SUMIFS('РО - зоны'!$I$8:$I$266,'РО - зоны'!$D$8:$D$266,B90)/2</f>
        <v>0</v>
      </c>
      <c r="H90" s="45">
        <f>SUMIFS('РО - зоны'!$J$8:$J$266,'РО - зоны'!$D$8:$D$266,B90)</f>
        <v>1</v>
      </c>
      <c r="I90" s="46" t="str">
        <f t="shared" si="11"/>
        <v>0 / 1 / 0 из 1</v>
      </c>
      <c r="J90" s="47">
        <v>0</v>
      </c>
      <c r="K90" s="46" t="str">
        <f t="shared" si="12"/>
        <v>не подписана</v>
      </c>
      <c r="L90" s="47">
        <f t="shared" si="13"/>
        <v>2</v>
      </c>
      <c r="M90" s="2" t="str">
        <f t="shared" si="14"/>
        <v>Из 1 РО 0 в зеленой зоне, 1 - в желтой, 0 - в красной</v>
      </c>
      <c r="N90" s="2" t="str">
        <f t="shared" si="15"/>
        <v>Дорожная карта не подписана</v>
      </c>
    </row>
    <row r="91" spans="2:14">
      <c r="B91" s="48" t="s">
        <v>78</v>
      </c>
      <c r="C91" s="45">
        <f t="shared" si="8"/>
        <v>0</v>
      </c>
      <c r="D91" s="45">
        <f t="shared" si="9"/>
        <v>0</v>
      </c>
      <c r="E91" s="45">
        <f t="shared" si="10"/>
        <v>7</v>
      </c>
      <c r="F91" s="45">
        <f>SUMIFS('РО - зоны'!$H$8:$H$266,'РО - зоны'!$D$8:$D$266,B91)</f>
        <v>0</v>
      </c>
      <c r="G91" s="45">
        <f>SUMIFS('РО - зоны'!$I$8:$I$266,'РО - зоны'!$D$8:$D$266,B91)/2</f>
        <v>0</v>
      </c>
      <c r="H91" s="45">
        <f>SUMIFS('РО - зоны'!$J$8:$J$266,'РО - зоны'!$D$8:$D$266,B91)</f>
        <v>7</v>
      </c>
      <c r="I91" s="46" t="str">
        <f t="shared" si="11"/>
        <v>0 / 0 / 7 из 7</v>
      </c>
      <c r="J91" s="47">
        <v>1</v>
      </c>
      <c r="K91" s="46" t="str">
        <f t="shared" si="12"/>
        <v>не требуется</v>
      </c>
      <c r="L91" s="47">
        <f t="shared" si="13"/>
        <v>0</v>
      </c>
      <c r="M91" s="2" t="str">
        <f t="shared" si="14"/>
        <v>Из 7 РО 7 в зеленой зоне, 0 - в желтой, 0 - в красной</v>
      </c>
      <c r="N91" s="2" t="str">
        <f t="shared" si="15"/>
        <v>Дорожная карта не требуется</v>
      </c>
    </row>
    <row r="92" spans="2:14">
      <c r="B92" s="48" t="s">
        <v>79</v>
      </c>
      <c r="C92" s="45">
        <f t="shared" si="8"/>
        <v>0</v>
      </c>
      <c r="D92" s="45">
        <f t="shared" si="9"/>
        <v>0</v>
      </c>
      <c r="E92" s="45">
        <f t="shared" si="10"/>
        <v>2</v>
      </c>
      <c r="F92" s="45">
        <f>SUMIFS('РО - зоны'!$H$8:$H$266,'РО - зоны'!$D$8:$D$266,B92)</f>
        <v>0</v>
      </c>
      <c r="G92" s="45">
        <f>SUMIFS('РО - зоны'!$I$8:$I$266,'РО - зоны'!$D$8:$D$266,B92)/2</f>
        <v>0</v>
      </c>
      <c r="H92" s="45">
        <f>SUMIFS('РО - зоны'!$J$8:$J$266,'РО - зоны'!$D$8:$D$266,B92)</f>
        <v>2</v>
      </c>
      <c r="I92" s="46" t="str">
        <f t="shared" si="11"/>
        <v>0 / 0 / 2 из 2</v>
      </c>
      <c r="J92" s="47">
        <v>0</v>
      </c>
      <c r="K92" s="46" t="str">
        <f t="shared" si="12"/>
        <v>не требуется</v>
      </c>
      <c r="L92" s="47">
        <f t="shared" si="13"/>
        <v>0</v>
      </c>
      <c r="M92" s="2" t="str">
        <f t="shared" si="14"/>
        <v>Из 2 РО 2 в зеленой зоне, 0 - в желтой, 0 - в красной</v>
      </c>
      <c r="N92" s="2" t="str">
        <f t="shared" si="15"/>
        <v>Дорожная карта не требуется</v>
      </c>
    </row>
    <row r="93" spans="2:14">
      <c r="B93" s="48" t="s">
        <v>80</v>
      </c>
      <c r="C93" s="45">
        <f t="shared" si="8"/>
        <v>0</v>
      </c>
      <c r="D93" s="45">
        <f t="shared" si="9"/>
        <v>0</v>
      </c>
      <c r="E93" s="45">
        <f t="shared" si="10"/>
        <v>1</v>
      </c>
      <c r="F93" s="45">
        <f>SUMIFS('РО - зоны'!$H$8:$H$266,'РО - зоны'!$D$8:$D$266,B93)</f>
        <v>0</v>
      </c>
      <c r="G93" s="45">
        <f>SUMIFS('РО - зоны'!$I$8:$I$266,'РО - зоны'!$D$8:$D$266,B93)/2</f>
        <v>0</v>
      </c>
      <c r="H93" s="45">
        <f>SUMIFS('РО - зоны'!$J$8:$J$266,'РО - зоны'!$D$8:$D$266,B93)</f>
        <v>1</v>
      </c>
      <c r="I93" s="46" t="str">
        <f t="shared" si="11"/>
        <v>0 / 0 / 1 из 1</v>
      </c>
      <c r="J93" s="47">
        <v>0</v>
      </c>
      <c r="K93" s="46" t="str">
        <f t="shared" si="12"/>
        <v>не требуется</v>
      </c>
      <c r="L93" s="47">
        <f t="shared" si="13"/>
        <v>0</v>
      </c>
      <c r="M93" s="2" t="str">
        <f t="shared" si="14"/>
        <v>Из 1 РО 1 в зеленой зоне, 0 - в желтой, 0 - в красной</v>
      </c>
      <c r="N93" s="2" t="str">
        <f t="shared" si="15"/>
        <v>Дорожная карта не требуется</v>
      </c>
    </row>
    <row r="94" spans="2:14">
      <c r="B94" s="48" t="s">
        <v>81</v>
      </c>
      <c r="C94" s="45">
        <f t="shared" si="8"/>
        <v>0</v>
      </c>
      <c r="D94" s="45">
        <f t="shared" si="9"/>
        <v>0</v>
      </c>
      <c r="E94" s="45">
        <f t="shared" si="10"/>
        <v>1</v>
      </c>
      <c r="F94" s="45">
        <f>SUMIFS('РО - зоны'!$H$8:$H$266,'РО - зоны'!$D$8:$D$266,B94)</f>
        <v>0</v>
      </c>
      <c r="G94" s="45">
        <f>SUMIFS('РО - зоны'!$I$8:$I$266,'РО - зоны'!$D$8:$D$266,B94)/2</f>
        <v>0</v>
      </c>
      <c r="H94" s="45">
        <f>SUMIFS('РО - зоны'!$J$8:$J$266,'РО - зоны'!$D$8:$D$266,B94)</f>
        <v>1</v>
      </c>
      <c r="I94" s="46" t="str">
        <f t="shared" si="11"/>
        <v>0 / 0 / 1 из 1</v>
      </c>
      <c r="J94" s="47">
        <v>0</v>
      </c>
      <c r="K94" s="46" t="str">
        <f t="shared" si="12"/>
        <v>не требуется</v>
      </c>
      <c r="L94" s="47">
        <f t="shared" si="13"/>
        <v>0</v>
      </c>
      <c r="M94" s="2" t="str">
        <f t="shared" si="14"/>
        <v>Из 1 РО 1 в зеленой зоне, 0 - в желтой, 0 - в красной</v>
      </c>
      <c r="N94" s="2" t="str">
        <f t="shared" si="15"/>
        <v>Дорожная карта не требуется</v>
      </c>
    </row>
    <row r="95" spans="2:14">
      <c r="B95" s="48" t="s">
        <v>82</v>
      </c>
      <c r="C95" s="45">
        <f t="shared" si="8"/>
        <v>1</v>
      </c>
      <c r="D95" s="45">
        <f t="shared" si="9"/>
        <v>1</v>
      </c>
      <c r="E95" s="45">
        <f t="shared" si="10"/>
        <v>4</v>
      </c>
      <c r="F95" s="45">
        <f>SUMIFS('РО - зоны'!$H$8:$H$266,'РО - зоны'!$D$8:$D$266,B95)</f>
        <v>1</v>
      </c>
      <c r="G95" s="45">
        <f>SUMIFS('РО - зоны'!$I$8:$I$266,'РО - зоны'!$D$8:$D$266,B95)/2</f>
        <v>0</v>
      </c>
      <c r="H95" s="45">
        <f>SUMIFS('РО - зоны'!$J$8:$J$266,'РО - зоны'!$D$8:$D$266,B95)</f>
        <v>5</v>
      </c>
      <c r="I95" s="46" t="str">
        <f t="shared" si="11"/>
        <v>0 / 1 / 4 из 5</v>
      </c>
      <c r="J95" s="47">
        <v>0</v>
      </c>
      <c r="K95" s="46" t="str">
        <f t="shared" si="12"/>
        <v>не подписана</v>
      </c>
      <c r="L95" s="47">
        <f t="shared" si="13"/>
        <v>2</v>
      </c>
      <c r="M95" s="2" t="str">
        <f t="shared" si="14"/>
        <v>Из 5 РО 4 в зеленой зоне, 1 - в желтой, 0 - в красной</v>
      </c>
      <c r="N95" s="2" t="str">
        <f t="shared" si="15"/>
        <v>Дорожная карта не подписана</v>
      </c>
    </row>
    <row r="96" spans="2:14">
      <c r="B96" s="48" t="s">
        <v>83</v>
      </c>
      <c r="C96" s="45">
        <f t="shared" si="8"/>
        <v>1</v>
      </c>
      <c r="D96" s="45">
        <f t="shared" si="9"/>
        <v>1</v>
      </c>
      <c r="E96" s="45">
        <f t="shared" si="10"/>
        <v>2</v>
      </c>
      <c r="F96" s="45">
        <f>SUMIFS('РО - зоны'!$H$8:$H$266,'РО - зоны'!$D$8:$D$266,B96)</f>
        <v>1</v>
      </c>
      <c r="G96" s="45">
        <f>SUMIFS('РО - зоны'!$I$8:$I$266,'РО - зоны'!$D$8:$D$266,B96)/2</f>
        <v>0</v>
      </c>
      <c r="H96" s="45">
        <f>SUMIFS('РО - зоны'!$J$8:$J$266,'РО - зоны'!$D$8:$D$266,B96)</f>
        <v>3</v>
      </c>
      <c r="I96" s="46" t="str">
        <f t="shared" si="11"/>
        <v>0 / 1 / 2 из 3</v>
      </c>
      <c r="J96" s="47">
        <v>1</v>
      </c>
      <c r="K96" s="46" t="str">
        <f t="shared" si="12"/>
        <v>подписана</v>
      </c>
      <c r="L96" s="47">
        <f t="shared" si="13"/>
        <v>0</v>
      </c>
      <c r="M96" s="2" t="str">
        <f t="shared" si="14"/>
        <v>Из 3 РО 2 в зеленой зоне, 1 - в желтой, 0 - в красной</v>
      </c>
      <c r="N96" s="2" t="str">
        <f t="shared" si="15"/>
        <v>Дорожная карта подписана</v>
      </c>
    </row>
    <row r="97" spans="2:14">
      <c r="B97" s="48" t="s">
        <v>84</v>
      </c>
      <c r="C97" s="45">
        <f t="shared" si="8"/>
        <v>0</v>
      </c>
      <c r="D97" s="45">
        <f t="shared" si="9"/>
        <v>0</v>
      </c>
      <c r="E97" s="45">
        <f t="shared" si="10"/>
        <v>2</v>
      </c>
      <c r="F97" s="45">
        <f>SUMIFS('РО - зоны'!$H$8:$H$266,'РО - зоны'!$D$8:$D$266,B97)</f>
        <v>0</v>
      </c>
      <c r="G97" s="45">
        <f>SUMIFS('РО - зоны'!$I$8:$I$266,'РО - зоны'!$D$8:$D$266,B97)/2</f>
        <v>0</v>
      </c>
      <c r="H97" s="45">
        <f>SUMIFS('РО - зоны'!$J$8:$J$266,'РО - зоны'!$D$8:$D$266,B97)</f>
        <v>2</v>
      </c>
      <c r="I97" s="46" t="str">
        <f t="shared" si="11"/>
        <v>0 / 0 / 2 из 2</v>
      </c>
      <c r="J97" s="47">
        <v>0</v>
      </c>
      <c r="K97" s="46" t="str">
        <f t="shared" si="12"/>
        <v>не требуется</v>
      </c>
      <c r="L97" s="47">
        <f t="shared" si="13"/>
        <v>0</v>
      </c>
      <c r="M97" s="2" t="str">
        <f t="shared" si="14"/>
        <v>Из 2 РО 2 в зеленой зоне, 0 - в желтой, 0 - в красной</v>
      </c>
      <c r="N97" s="2" t="str">
        <f t="shared" si="15"/>
        <v>Дорожная карта не требуется</v>
      </c>
    </row>
    <row r="98" spans="2:14">
      <c r="B98" s="48" t="s">
        <v>166</v>
      </c>
      <c r="C98" s="45">
        <f t="shared" si="8"/>
        <v>1</v>
      </c>
      <c r="D98" s="45">
        <f t="shared" si="9"/>
        <v>1</v>
      </c>
      <c r="E98" s="45">
        <f t="shared" si="10"/>
        <v>0</v>
      </c>
      <c r="F98" s="45">
        <f>SUMIFS('РО - зоны'!$H$8:$H$266,'РО - зоны'!$D$8:$D$266,B98)</f>
        <v>1</v>
      </c>
      <c r="G98" s="45">
        <f>SUMIFS('РО - зоны'!$I$8:$I$266,'РО - зоны'!$D$8:$D$266,B98)/2</f>
        <v>0</v>
      </c>
      <c r="H98" s="45">
        <f>SUMIFS('РО - зоны'!$J$8:$J$266,'РО - зоны'!$D$8:$D$266,B98)</f>
        <v>1</v>
      </c>
      <c r="I98" s="46" t="str">
        <f t="shared" si="11"/>
        <v>0 / 1 / 0 из 1</v>
      </c>
      <c r="J98" s="47">
        <v>0</v>
      </c>
      <c r="K98" s="46" t="str">
        <f t="shared" si="12"/>
        <v>не подписана</v>
      </c>
      <c r="L98" s="47">
        <f t="shared" si="13"/>
        <v>2</v>
      </c>
      <c r="M98" s="2" t="str">
        <f t="shared" si="14"/>
        <v>Из 1 РО 0 в зеленой зоне, 1 - в желтой, 0 - в красной</v>
      </c>
      <c r="N98" s="2" t="str">
        <f t="shared" si="15"/>
        <v>Дорожная карта не подписана</v>
      </c>
    </row>
    <row r="99" spans="2:14">
      <c r="B99" s="48" t="s">
        <v>85</v>
      </c>
      <c r="C99" s="45">
        <f t="shared" si="8"/>
        <v>1</v>
      </c>
      <c r="D99" s="45">
        <f t="shared" si="9"/>
        <v>1</v>
      </c>
      <c r="E99" s="45">
        <f t="shared" si="10"/>
        <v>3</v>
      </c>
      <c r="F99" s="45">
        <f>SUMIFS('РО - зоны'!$H$8:$H$266,'РО - зоны'!$D$8:$D$266,B99)</f>
        <v>2</v>
      </c>
      <c r="G99" s="45">
        <f>SUMIFS('РО - зоны'!$I$8:$I$266,'РО - зоны'!$D$8:$D$266,B99)/2</f>
        <v>0</v>
      </c>
      <c r="H99" s="45">
        <f>SUMIFS('РО - зоны'!$J$8:$J$266,'РО - зоны'!$D$8:$D$266,B99)</f>
        <v>5</v>
      </c>
      <c r="I99" s="46" t="str">
        <f t="shared" si="11"/>
        <v>0 / 2 / 3 из 5</v>
      </c>
      <c r="J99" s="47">
        <v>1</v>
      </c>
      <c r="K99" s="46" t="str">
        <f t="shared" si="12"/>
        <v>подписана</v>
      </c>
      <c r="L99" s="47">
        <f t="shared" si="13"/>
        <v>2</v>
      </c>
      <c r="M99" s="2" t="str">
        <f t="shared" si="14"/>
        <v>Из 5 РО 3 в зеленой зоне, 2 - в желтой, 0 - в красной</v>
      </c>
      <c r="N99" s="2" t="str">
        <f t="shared" si="15"/>
        <v>Дорожная карта подписана</v>
      </c>
    </row>
    <row r="100" spans="2:14">
      <c r="B100" s="48" t="s">
        <v>86</v>
      </c>
      <c r="C100" s="45">
        <f t="shared" si="8"/>
        <v>1</v>
      </c>
      <c r="D100" s="45">
        <f t="shared" si="9"/>
        <v>1</v>
      </c>
      <c r="E100" s="45">
        <f t="shared" si="10"/>
        <v>0</v>
      </c>
      <c r="F100" s="45">
        <f>SUMIFS('РО - зоны'!$H$8:$H$266,'РО - зоны'!$D$8:$D$266,B100)</f>
        <v>1</v>
      </c>
      <c r="G100" s="45">
        <f>SUMIFS('РО - зоны'!$I$8:$I$266,'РО - зоны'!$D$8:$D$266,B100)/2</f>
        <v>0</v>
      </c>
      <c r="H100" s="45">
        <f>SUMIFS('РО - зоны'!$J$8:$J$266,'РО - зоны'!$D$8:$D$266,B100)</f>
        <v>1</v>
      </c>
      <c r="I100" s="46" t="str">
        <f t="shared" si="11"/>
        <v>0 / 1 / 0 из 1</v>
      </c>
      <c r="J100" s="47">
        <v>0</v>
      </c>
      <c r="K100" s="46" t="str">
        <f t="shared" si="12"/>
        <v>не подписана</v>
      </c>
      <c r="L100" s="47">
        <f t="shared" si="13"/>
        <v>2</v>
      </c>
      <c r="M100" s="2" t="str">
        <f t="shared" si="14"/>
        <v>Из 1 РО 0 в зеленой зоне, 1 - в желтой, 0 - в красной</v>
      </c>
      <c r="N100" s="2" t="str">
        <f t="shared" si="15"/>
        <v>Дорожная карта не подписана</v>
      </c>
    </row>
    <row r="101" spans="2:14">
      <c r="B101" s="48" t="s">
        <v>87</v>
      </c>
      <c r="C101" s="45">
        <f t="shared" si="8"/>
        <v>0</v>
      </c>
      <c r="D101" s="45">
        <f t="shared" si="9"/>
        <v>0</v>
      </c>
      <c r="E101" s="45">
        <f t="shared" si="10"/>
        <v>1</v>
      </c>
      <c r="F101" s="45">
        <f>SUMIFS('РО - зоны'!$H$8:$H$266,'РО - зоны'!$D$8:$D$266,B101)</f>
        <v>0</v>
      </c>
      <c r="G101" s="45">
        <f>SUMIFS('РО - зоны'!$I$8:$I$266,'РО - зоны'!$D$8:$D$266,B101)/2</f>
        <v>0</v>
      </c>
      <c r="H101" s="45">
        <f>SUMIFS('РО - зоны'!$J$8:$J$266,'РО - зоны'!$D$8:$D$266,B101)</f>
        <v>1</v>
      </c>
      <c r="I101" s="46" t="str">
        <f t="shared" si="11"/>
        <v>0 / 0 / 1 из 1</v>
      </c>
      <c r="J101" s="47">
        <v>0</v>
      </c>
      <c r="K101" s="46" t="str">
        <f t="shared" si="12"/>
        <v>не требуется</v>
      </c>
      <c r="L101" s="47">
        <f t="shared" si="13"/>
        <v>0</v>
      </c>
      <c r="M101" s="2" t="str">
        <f t="shared" si="14"/>
        <v>Из 1 РО 1 в зеленой зоне, 0 - в желтой, 0 - в красной</v>
      </c>
      <c r="N101" s="2" t="str">
        <f t="shared" si="15"/>
        <v>Дорожная карта не требуется</v>
      </c>
    </row>
    <row r="102" spans="2:14">
      <c r="B102" s="48" t="s">
        <v>88</v>
      </c>
      <c r="C102" s="45">
        <f t="shared" si="8"/>
        <v>1</v>
      </c>
      <c r="D102" s="45">
        <f t="shared" si="9"/>
        <v>1</v>
      </c>
      <c r="E102" s="45">
        <f t="shared" si="10"/>
        <v>3</v>
      </c>
      <c r="F102" s="45">
        <f>SUMIFS('РО - зоны'!$H$8:$H$266,'РО - зоны'!$D$8:$D$266,B102)</f>
        <v>18</v>
      </c>
      <c r="G102" s="45">
        <f>SUMIFS('РО - зоны'!$I$8:$I$266,'РО - зоны'!$D$8:$D$266,B102)/2</f>
        <v>0</v>
      </c>
      <c r="H102" s="45">
        <f>SUMIFS('РО - зоны'!$J$8:$J$266,'РО - зоны'!$D$8:$D$266,B102)</f>
        <v>21</v>
      </c>
      <c r="I102" s="46" t="str">
        <f t="shared" si="11"/>
        <v>0 / 18 / 3 из 21</v>
      </c>
      <c r="J102" s="47">
        <v>0</v>
      </c>
      <c r="K102" s="46" t="str">
        <f t="shared" si="12"/>
        <v>не подписана</v>
      </c>
      <c r="L102" s="47">
        <f t="shared" si="13"/>
        <v>2</v>
      </c>
      <c r="M102" s="2" t="str">
        <f t="shared" si="14"/>
        <v>Из 21 РО 3 в зеленой зоне, 18 - в желтой, 0 - в красной</v>
      </c>
      <c r="N102" s="2" t="str">
        <f t="shared" si="15"/>
        <v>Дорожная карта не подписана</v>
      </c>
    </row>
    <row r="103" spans="2:14">
      <c r="B103" s="48" t="s">
        <v>89</v>
      </c>
      <c r="C103" s="45">
        <f t="shared" si="8"/>
        <v>0</v>
      </c>
      <c r="D103" s="45">
        <f t="shared" si="9"/>
        <v>0</v>
      </c>
      <c r="E103" s="45">
        <f t="shared" si="10"/>
        <v>1</v>
      </c>
      <c r="F103" s="45">
        <f>SUMIFS('РО - зоны'!$H$8:$H$266,'РО - зоны'!$D$8:$D$266,B103)</f>
        <v>0</v>
      </c>
      <c r="G103" s="45">
        <f>SUMIFS('РО - зоны'!$I$8:$I$266,'РО - зоны'!$D$8:$D$266,B103)/2</f>
        <v>0</v>
      </c>
      <c r="H103" s="45">
        <f>SUMIFS('РО - зоны'!$J$8:$J$266,'РО - зоны'!$D$8:$D$266,B103)</f>
        <v>1</v>
      </c>
      <c r="I103" s="46" t="str">
        <f t="shared" si="11"/>
        <v>0 / 0 / 1 из 1</v>
      </c>
      <c r="J103" s="47">
        <v>0</v>
      </c>
      <c r="K103" s="46" t="str">
        <f t="shared" si="12"/>
        <v>не требуется</v>
      </c>
      <c r="L103" s="47">
        <f t="shared" si="13"/>
        <v>0</v>
      </c>
      <c r="M103" s="2" t="str">
        <f t="shared" si="14"/>
        <v>Из 1 РО 1 в зеленой зоне, 0 - в желтой, 0 - в красной</v>
      </c>
      <c r="N103" s="2" t="str">
        <f t="shared" si="15"/>
        <v>Дорожная карта не требуется</v>
      </c>
    </row>
    <row r="104" spans="2:14">
      <c r="B104" s="48" t="s">
        <v>90</v>
      </c>
      <c r="C104" s="45">
        <f t="shared" si="8"/>
        <v>0</v>
      </c>
      <c r="D104" s="45">
        <f t="shared" si="9"/>
        <v>0</v>
      </c>
      <c r="E104" s="45">
        <f t="shared" si="10"/>
        <v>1</v>
      </c>
      <c r="F104" s="45">
        <f>SUMIFS('РО - зоны'!$H$8:$H$266,'РО - зоны'!$D$8:$D$266,B104)</f>
        <v>0</v>
      </c>
      <c r="G104" s="45">
        <f>SUMIFS('РО - зоны'!$I$8:$I$266,'РО - зоны'!$D$8:$D$266,B104)/2</f>
        <v>0</v>
      </c>
      <c r="H104" s="45">
        <f>SUMIFS('РО - зоны'!$J$8:$J$266,'РО - зоны'!$D$8:$D$266,B104)</f>
        <v>1</v>
      </c>
      <c r="I104" s="46" t="str">
        <f t="shared" si="11"/>
        <v>0 / 0 / 1 из 1</v>
      </c>
      <c r="J104" s="47">
        <v>0</v>
      </c>
      <c r="K104" s="46" t="str">
        <f t="shared" si="12"/>
        <v>не требуется</v>
      </c>
      <c r="L104" s="47">
        <f t="shared" si="13"/>
        <v>0</v>
      </c>
      <c r="M104" s="2" t="str">
        <f t="shared" si="14"/>
        <v>Из 1 РО 1 в зеленой зоне, 0 - в желтой, 0 - в красной</v>
      </c>
      <c r="N104" s="2" t="str">
        <f t="shared" si="15"/>
        <v>Дорожная карта не требуется</v>
      </c>
    </row>
    <row r="107" spans="2:14">
      <c r="B107" s="48"/>
    </row>
  </sheetData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2:S108"/>
  <sheetViews>
    <sheetView tabSelected="1" workbookViewId="0">
      <pane xSplit="2" ySplit="15" topLeftCell="C16" activePane="bottomRight" state="frozen"/>
      <selection pane="topRight"/>
      <selection pane="bottomLeft"/>
      <selection pane="bottomRight" activeCell="E16" sqref="E16"/>
    </sheetView>
  </sheetViews>
  <sheetFormatPr defaultColWidth="10.8984375" defaultRowHeight="15.6"/>
  <cols>
    <col min="1" max="1" width="10.8984375" style="9"/>
    <col min="2" max="2" width="30.59765625" style="9" customWidth="1"/>
    <col min="3" max="7" width="13.5" style="13" customWidth="1"/>
    <col min="8" max="8" width="15" style="13" customWidth="1"/>
    <col min="9" max="9" width="34.8984375" customWidth="1"/>
    <col min="10" max="10" width="18.3984375" style="65" customWidth="1"/>
  </cols>
  <sheetData>
    <row r="2" spans="1:19">
      <c r="B2" s="7" t="s">
        <v>159</v>
      </c>
    </row>
    <row r="4" spans="1:19" s="7" customFormat="1">
      <c r="B4" s="7" t="s">
        <v>574</v>
      </c>
      <c r="C4" s="50" t="s">
        <v>573</v>
      </c>
      <c r="D4" s="50"/>
      <c r="E4" s="50"/>
      <c r="F4" s="51"/>
      <c r="G4" s="51"/>
      <c r="H4" s="50"/>
      <c r="I4" s="50"/>
      <c r="J4" s="52"/>
      <c r="K4" s="52"/>
      <c r="L4" s="52"/>
      <c r="M4" s="53"/>
      <c r="N4" s="53"/>
      <c r="O4" s="53"/>
      <c r="P4" s="53"/>
      <c r="Q4" s="53"/>
      <c r="R4" s="53"/>
      <c r="S4" s="53"/>
    </row>
    <row r="5" spans="1:19" s="9" customFormat="1" ht="15">
      <c r="B5" s="9" t="s">
        <v>583</v>
      </c>
      <c r="C5" s="59">
        <v>47757</v>
      </c>
      <c r="D5" s="13"/>
      <c r="E5" s="13"/>
      <c r="F5" s="38"/>
      <c r="G5" s="38"/>
      <c r="H5" s="13"/>
      <c r="I5" s="13"/>
      <c r="J5" s="8"/>
      <c r="K5" s="8"/>
      <c r="L5" s="8"/>
      <c r="M5" s="14"/>
      <c r="N5" s="14"/>
      <c r="O5" s="14"/>
      <c r="P5" s="14"/>
      <c r="Q5" s="14"/>
      <c r="R5" s="14"/>
      <c r="S5" s="14"/>
    </row>
    <row r="7" spans="1:19">
      <c r="B7" s="9" t="s">
        <v>92</v>
      </c>
      <c r="H7" s="63"/>
    </row>
    <row r="8" spans="1:19">
      <c r="B8" s="9" t="s">
        <v>93</v>
      </c>
      <c r="D8" s="14">
        <v>1.5</v>
      </c>
      <c r="E8" s="14"/>
      <c r="H8" s="63">
        <f>H10*2</f>
        <v>0.18372844827586207</v>
      </c>
    </row>
    <row r="9" spans="1:19">
      <c r="B9" s="9" t="s">
        <v>94</v>
      </c>
      <c r="D9" s="14">
        <v>0.5</v>
      </c>
      <c r="E9" s="14"/>
      <c r="H9" s="63"/>
    </row>
    <row r="10" spans="1:19">
      <c r="B10" s="9" t="s">
        <v>95</v>
      </c>
      <c r="H10" s="63">
        <f>H15</f>
        <v>9.1864224137931036E-2</v>
      </c>
    </row>
    <row r="11" spans="1:19">
      <c r="B11" s="9" t="s">
        <v>96</v>
      </c>
      <c r="C11" s="15"/>
      <c r="F11" s="15">
        <f>1/3</f>
        <v>0.33333333333333331</v>
      </c>
      <c r="G11" s="15"/>
      <c r="H11" s="63"/>
    </row>
    <row r="12" spans="1:19">
      <c r="C12" s="15"/>
      <c r="F12" s="15"/>
      <c r="G12" s="15"/>
      <c r="H12" s="63"/>
    </row>
    <row r="14" spans="1:19" ht="45">
      <c r="A14" s="11"/>
      <c r="B14" s="11" t="s">
        <v>0</v>
      </c>
      <c r="C14" s="18" t="s">
        <v>118</v>
      </c>
      <c r="D14" s="18" t="s">
        <v>117</v>
      </c>
      <c r="E14" s="18" t="s">
        <v>584</v>
      </c>
      <c r="F14" s="18" t="s">
        <v>585</v>
      </c>
      <c r="G14" s="18" t="s">
        <v>160</v>
      </c>
      <c r="H14" s="18" t="s">
        <v>161</v>
      </c>
      <c r="I14" s="18" t="s">
        <v>576</v>
      </c>
      <c r="J14" s="18" t="s">
        <v>135</v>
      </c>
    </row>
    <row r="15" spans="1:19">
      <c r="A15" s="11"/>
      <c r="B15" s="11" t="s">
        <v>105</v>
      </c>
      <c r="C15" s="20"/>
      <c r="D15" s="20"/>
      <c r="E15" s="20">
        <f>SUM(E16:E104)</f>
        <v>25984</v>
      </c>
      <c r="F15" s="20">
        <f t="shared" ref="F15:G15" si="0">SUM(F16:F104)</f>
        <v>23597</v>
      </c>
      <c r="G15" s="20">
        <f t="shared" si="0"/>
        <v>2387</v>
      </c>
      <c r="H15" s="64">
        <f>G15/(F15+G15)</f>
        <v>9.1864224137931036E-2</v>
      </c>
      <c r="J15" s="65" t="e">
        <f ca="1">_xlfn.TEXTJOIN(,0,E15,"/",F15)</f>
        <v>#NAME?</v>
      </c>
    </row>
    <row r="16" spans="1:19">
      <c r="B16" s="12" t="s">
        <v>1</v>
      </c>
      <c r="C16" s="20">
        <f>IF(OR(H16=2,D16&gt;$D$8),2,IF(OR(H16=1,D16&gt;$D$9),1,0))</f>
        <v>1</v>
      </c>
      <c r="D16" s="20">
        <f>IF(H16&gt;$H$8,2,IF(H16&gt;$H$10,1,0))</f>
        <v>1</v>
      </c>
      <c r="E16" s="20">
        <v>401</v>
      </c>
      <c r="F16" s="56">
        <v>352</v>
      </c>
      <c r="G16" s="56">
        <f>E16-F16</f>
        <v>49</v>
      </c>
      <c r="H16" s="64">
        <f>G16/(F16+G16)</f>
        <v>0.12219451371571072</v>
      </c>
      <c r="I16" t="e">
        <f ca="1">IF(H16&gt;0,_xlfn.TEXTJOIN(,0,"Дефицит спецтехники составляет ",TEXT(H16,"0%")),"Дефицит спецтехники не заявлен")</f>
        <v>#NAME?</v>
      </c>
      <c r="J16" s="65" t="e">
        <f ca="1">_xlfn.TEXTJOIN(,0,E16,"/",F16,"/",G16," (",TEXT(H16,"0%"),")")</f>
        <v>#NAME?</v>
      </c>
    </row>
    <row r="17" spans="2:10">
      <c r="B17" s="12" t="s">
        <v>9</v>
      </c>
      <c r="C17" s="20">
        <f>IF(OR(H17=2,D17&gt;$D$8),2,IF(OR(H17=1,D17&gt;$D$9),1,0))</f>
        <v>0</v>
      </c>
      <c r="D17" s="20">
        <f t="shared" ref="D17:D80" si="1">IF(H17&gt;$H$8,2,IF(H17&gt;$H$10,1,0))</f>
        <v>0</v>
      </c>
      <c r="E17" s="20">
        <v>260</v>
      </c>
      <c r="F17" s="56">
        <v>260</v>
      </c>
      <c r="G17" s="56">
        <f t="shared" ref="G17:G80" si="2">E17-F17</f>
        <v>0</v>
      </c>
      <c r="H17" s="64">
        <f t="shared" ref="H17:H80" si="3">G17/(F17+G17)</f>
        <v>0</v>
      </c>
      <c r="I17" t="str">
        <f t="shared" ref="I17:I80" si="4">IF(H17&gt;0,_xlfn.TEXTJOIN(,0,"Дефицит спецтехники составляет ",TEXT(H17,"0%")),"Дефицит спецтехники не заявлен")</f>
        <v>Дефицит спецтехники не заявлен</v>
      </c>
      <c r="J17" s="65" t="e">
        <f ca="1">_xlfn.TEXTJOIN(,0,E17,"/",F17,"/",G17," (",TEXT(H17,"0%"),")")</f>
        <v>#NAME?</v>
      </c>
    </row>
    <row r="18" spans="2:10">
      <c r="B18" s="12" t="s">
        <v>10</v>
      </c>
      <c r="C18" s="20">
        <f>IF(OR(H18=2,D18&gt;$D$8),2,IF(OR(H18=1,D18&gt;$D$9),1,0))</f>
        <v>1</v>
      </c>
      <c r="D18" s="20">
        <f t="shared" si="1"/>
        <v>1</v>
      </c>
      <c r="E18" s="20">
        <v>256</v>
      </c>
      <c r="F18" s="56">
        <v>224</v>
      </c>
      <c r="G18" s="56">
        <f t="shared" si="2"/>
        <v>32</v>
      </c>
      <c r="H18" s="64">
        <f t="shared" si="3"/>
        <v>0.125</v>
      </c>
      <c r="I18" t="e">
        <f t="shared" ca="1" si="4"/>
        <v>#NAME?</v>
      </c>
      <c r="J18" s="65" t="e">
        <f ca="1">_xlfn.TEXTJOIN(,0,E18,"/",F18,"/",G18," (",TEXT(H18,"0%"),")")</f>
        <v>#NAME?</v>
      </c>
    </row>
    <row r="19" spans="2:10">
      <c r="B19" s="12" t="s">
        <v>2</v>
      </c>
      <c r="C19" s="20">
        <f>IF(OR(H19=2,D19&gt;$D$8),2,IF(OR(H19=1,D19&gt;$D$9),1,0))</f>
        <v>0</v>
      </c>
      <c r="D19" s="20">
        <f t="shared" si="1"/>
        <v>0</v>
      </c>
      <c r="E19" s="20">
        <v>127</v>
      </c>
      <c r="F19" s="56">
        <v>127</v>
      </c>
      <c r="G19" s="56">
        <f t="shared" si="2"/>
        <v>0</v>
      </c>
      <c r="H19" s="64">
        <f t="shared" si="3"/>
        <v>0</v>
      </c>
      <c r="I19" t="str">
        <f t="shared" si="4"/>
        <v>Дефицит спецтехники не заявлен</v>
      </c>
      <c r="J19" s="65" t="e">
        <f ca="1">_xlfn.TEXTJOIN(,0,E19,"/",F19,"/",G19," (",TEXT(H19,"0%"),")")</f>
        <v>#NAME?</v>
      </c>
    </row>
    <row r="20" spans="2:10">
      <c r="B20" s="12" t="s">
        <v>11</v>
      </c>
      <c r="C20" s="20">
        <f>IF(OR(H20=2,D20&gt;$D$8),2,IF(OR(H20=1,D20&gt;$D$9),1,0))</f>
        <v>0</v>
      </c>
      <c r="D20" s="20">
        <f t="shared" si="1"/>
        <v>0</v>
      </c>
      <c r="E20" s="20">
        <v>242</v>
      </c>
      <c r="F20" s="56">
        <v>223</v>
      </c>
      <c r="G20" s="56">
        <f t="shared" si="2"/>
        <v>19</v>
      </c>
      <c r="H20" s="64">
        <f t="shared" si="3"/>
        <v>7.8512396694214878E-2</v>
      </c>
      <c r="I20" t="e">
        <f t="shared" ca="1" si="4"/>
        <v>#NAME?</v>
      </c>
      <c r="J20" s="65" t="e">
        <f ca="1">_xlfn.TEXTJOIN(,0,E20,"/",F20,"/",G20," (",TEXT(H20,"0%"),")")</f>
        <v>#NAME?</v>
      </c>
    </row>
    <row r="21" spans="2:10">
      <c r="B21" s="12" t="s">
        <v>12</v>
      </c>
      <c r="C21" s="20">
        <f>IF(OR(H21=2,D21&gt;$D$8),2,IF(OR(H21=1,D21&gt;$D$9),1,0))</f>
        <v>0</v>
      </c>
      <c r="D21" s="20">
        <f t="shared" si="1"/>
        <v>0</v>
      </c>
      <c r="E21" s="20">
        <v>234</v>
      </c>
      <c r="F21" s="56">
        <v>227</v>
      </c>
      <c r="G21" s="56">
        <f t="shared" si="2"/>
        <v>7</v>
      </c>
      <c r="H21" s="64">
        <f t="shared" si="3"/>
        <v>2.9914529914529916E-2</v>
      </c>
      <c r="I21" t="e">
        <f t="shared" ca="1" si="4"/>
        <v>#NAME?</v>
      </c>
      <c r="J21" s="65" t="e">
        <f ca="1">_xlfn.TEXTJOIN(,0,E21,"/",F21,"/",G21," (",TEXT(H21,"0%"),")")</f>
        <v>#NAME?</v>
      </c>
    </row>
    <row r="22" spans="2:10">
      <c r="B22" s="12" t="s">
        <v>13</v>
      </c>
      <c r="C22" s="20">
        <f>IF(OR(H22=2,D22&gt;$D$8),2,IF(OR(H22=1,D22&gt;$D$9),1,0))</f>
        <v>0</v>
      </c>
      <c r="D22" s="20">
        <f t="shared" si="1"/>
        <v>0</v>
      </c>
      <c r="E22" s="20">
        <v>258</v>
      </c>
      <c r="F22" s="56">
        <v>249</v>
      </c>
      <c r="G22" s="56">
        <f t="shared" si="2"/>
        <v>9</v>
      </c>
      <c r="H22" s="64">
        <f t="shared" si="3"/>
        <v>3.4883720930232558E-2</v>
      </c>
      <c r="I22" t="e">
        <f t="shared" ca="1" si="4"/>
        <v>#NAME?</v>
      </c>
      <c r="J22" s="65" t="e">
        <f ca="1">_xlfn.TEXTJOIN(,0,E22,"/",F22,"/",G22," (",TEXT(H22,"0%"),")")</f>
        <v>#NAME?</v>
      </c>
    </row>
    <row r="23" spans="2:10">
      <c r="B23" s="12" t="s">
        <v>14</v>
      </c>
      <c r="C23" s="20">
        <f>IF(OR(H23=2,D23&gt;$D$8),2,IF(OR(H23=1,D23&gt;$D$9),1,0))</f>
        <v>0</v>
      </c>
      <c r="D23" s="20">
        <f t="shared" si="1"/>
        <v>0</v>
      </c>
      <c r="E23" s="20">
        <v>244</v>
      </c>
      <c r="F23" s="56">
        <v>231</v>
      </c>
      <c r="G23" s="56">
        <f t="shared" si="2"/>
        <v>13</v>
      </c>
      <c r="H23" s="64">
        <f t="shared" si="3"/>
        <v>5.3278688524590161E-2</v>
      </c>
      <c r="I23" t="e">
        <f t="shared" ca="1" si="4"/>
        <v>#NAME?</v>
      </c>
      <c r="J23" s="65" t="e">
        <f ca="1">_xlfn.TEXTJOIN(,0,E23,"/",F23,"/",G23," (",TEXT(H23,"0%"),")")</f>
        <v>#NAME?</v>
      </c>
    </row>
    <row r="24" spans="2:10">
      <c r="B24" s="12" t="s">
        <v>15</v>
      </c>
      <c r="C24" s="20">
        <f>IF(OR(H24=2,D24&gt;$D$8),2,IF(OR(H24=1,D24&gt;$D$9),1,0))</f>
        <v>0</v>
      </c>
      <c r="D24" s="20">
        <f t="shared" si="1"/>
        <v>0</v>
      </c>
      <c r="E24" s="20">
        <v>212</v>
      </c>
      <c r="F24" s="56">
        <v>203</v>
      </c>
      <c r="G24" s="56">
        <f t="shared" si="2"/>
        <v>9</v>
      </c>
      <c r="H24" s="64">
        <f t="shared" si="3"/>
        <v>4.2452830188679243E-2</v>
      </c>
      <c r="I24" t="e">
        <f t="shared" ca="1" si="4"/>
        <v>#NAME?</v>
      </c>
      <c r="J24" s="65" t="e">
        <f ca="1">_xlfn.TEXTJOIN(,0,E24,"/",F24,"/",G24," (",TEXT(H24,"0%"),")")</f>
        <v>#NAME?</v>
      </c>
    </row>
    <row r="25" spans="2:10">
      <c r="B25" s="12" t="s">
        <v>16</v>
      </c>
      <c r="C25" s="20">
        <f>IF(OR(H25=2,D25&gt;$D$8),2,IF(OR(H25=1,D25&gt;$D$9),1,0))</f>
        <v>0</v>
      </c>
      <c r="D25" s="20">
        <f t="shared" si="1"/>
        <v>0</v>
      </c>
      <c r="E25" s="20">
        <v>535</v>
      </c>
      <c r="F25" s="56">
        <v>516</v>
      </c>
      <c r="G25" s="56">
        <f t="shared" si="2"/>
        <v>19</v>
      </c>
      <c r="H25" s="64">
        <f t="shared" si="3"/>
        <v>3.5514018691588788E-2</v>
      </c>
      <c r="I25" t="e">
        <f t="shared" ca="1" si="4"/>
        <v>#NAME?</v>
      </c>
      <c r="J25" s="65" t="e">
        <f ca="1">_xlfn.TEXTJOIN(,0,E25,"/",F25,"/",G25," (",TEXT(H25,"0%"),")")</f>
        <v>#NAME?</v>
      </c>
    </row>
    <row r="26" spans="2:10">
      <c r="B26" s="12" t="s">
        <v>17</v>
      </c>
      <c r="C26" s="20">
        <f>IF(OR(H26=2,D26&gt;$D$8),2,IF(OR(H26=1,D26&gt;$D$9),1,0))</f>
        <v>0</v>
      </c>
      <c r="D26" s="20">
        <f t="shared" si="1"/>
        <v>0</v>
      </c>
      <c r="E26" s="20">
        <v>1502</v>
      </c>
      <c r="F26" s="56">
        <v>1502</v>
      </c>
      <c r="G26" s="56">
        <f t="shared" si="2"/>
        <v>0</v>
      </c>
      <c r="H26" s="64">
        <f t="shared" si="3"/>
        <v>0</v>
      </c>
      <c r="I26" t="str">
        <f t="shared" si="4"/>
        <v>Дефицит спецтехники не заявлен</v>
      </c>
      <c r="J26" s="65" t="e">
        <f ca="1">_xlfn.TEXTJOIN(,0,E26,"/",F26,"/",G26," (",TEXT(H26,"0%"),")")</f>
        <v>#NAME?</v>
      </c>
    </row>
    <row r="27" spans="2:10">
      <c r="B27" s="12" t="s">
        <v>18</v>
      </c>
      <c r="C27" s="20">
        <f>IF(OR(H27=2,D27&gt;$D$8),2,IF(OR(H27=1,D27&gt;$D$9),1,0))</f>
        <v>0</v>
      </c>
      <c r="D27" s="20">
        <f t="shared" si="1"/>
        <v>0</v>
      </c>
      <c r="E27" s="20">
        <v>869</v>
      </c>
      <c r="F27" s="56">
        <v>869</v>
      </c>
      <c r="G27" s="56">
        <f t="shared" si="2"/>
        <v>0</v>
      </c>
      <c r="H27" s="64">
        <f t="shared" si="3"/>
        <v>0</v>
      </c>
      <c r="I27" t="str">
        <f t="shared" si="4"/>
        <v>Дефицит спецтехники не заявлен</v>
      </c>
      <c r="J27" s="65" t="e">
        <f ca="1">_xlfn.TEXTJOIN(,0,E27,"/",F27,"/",G27," (",TEXT(H27,"0%"),")")</f>
        <v>#NAME?</v>
      </c>
    </row>
    <row r="28" spans="2:10">
      <c r="B28" s="12" t="s">
        <v>19</v>
      </c>
      <c r="C28" s="20">
        <f>IF(OR(H28=2,D28&gt;$D$8),2,IF(OR(H28=1,D28&gt;$D$9),1,0))</f>
        <v>0</v>
      </c>
      <c r="D28" s="20">
        <f t="shared" si="1"/>
        <v>0</v>
      </c>
      <c r="E28" s="20">
        <v>74</v>
      </c>
      <c r="F28" s="56">
        <v>74</v>
      </c>
      <c r="G28" s="56">
        <f t="shared" si="2"/>
        <v>0</v>
      </c>
      <c r="H28" s="64">
        <f t="shared" si="3"/>
        <v>0</v>
      </c>
      <c r="I28" t="str">
        <f t="shared" si="4"/>
        <v>Дефицит спецтехники не заявлен</v>
      </c>
      <c r="J28" s="65" t="e">
        <f ca="1">_xlfn.TEXTJOIN(,0,E28,"/",F28,"/",G28," (",TEXT(H28,"0%"),")")</f>
        <v>#NAME?</v>
      </c>
    </row>
    <row r="29" spans="2:10">
      <c r="B29" s="12" t="s">
        <v>580</v>
      </c>
      <c r="C29" s="20">
        <f>IF(OR(H29=2,D29&gt;$D$8),2,IF(OR(H29=1,D29&gt;$D$9),1,0))</f>
        <v>2</v>
      </c>
      <c r="D29" s="20">
        <f t="shared" si="1"/>
        <v>2</v>
      </c>
      <c r="E29" s="20">
        <v>415</v>
      </c>
      <c r="F29" s="56">
        <v>321</v>
      </c>
      <c r="G29" s="56">
        <f t="shared" si="2"/>
        <v>94</v>
      </c>
      <c r="H29" s="64">
        <f t="shared" si="3"/>
        <v>0.22650602409638554</v>
      </c>
      <c r="I29" t="e">
        <f t="shared" ca="1" si="4"/>
        <v>#NAME?</v>
      </c>
      <c r="J29" s="65" t="e">
        <f ca="1">_xlfn.TEXTJOIN(,0,E29,"/",F29,"/",G29," (",TEXT(H29,"0%"),")")</f>
        <v>#NAME?</v>
      </c>
    </row>
    <row r="30" spans="2:10">
      <c r="B30" s="12" t="s">
        <v>20</v>
      </c>
      <c r="C30" s="20">
        <f>IF(OR(H30=2,D30&gt;$D$8),2,IF(OR(H30=1,D30&gt;$D$9),1,0))</f>
        <v>2</v>
      </c>
      <c r="D30" s="20">
        <f t="shared" si="1"/>
        <v>2</v>
      </c>
      <c r="E30" s="20">
        <v>48</v>
      </c>
      <c r="F30" s="56">
        <v>33</v>
      </c>
      <c r="G30" s="56">
        <f t="shared" si="2"/>
        <v>15</v>
      </c>
      <c r="H30" s="64">
        <f t="shared" si="3"/>
        <v>0.3125</v>
      </c>
      <c r="I30" t="e">
        <f t="shared" ca="1" si="4"/>
        <v>#NAME?</v>
      </c>
      <c r="J30" s="65" t="e">
        <f ca="1">_xlfn.TEXTJOIN(,0,E30,"/",F30,"/",G30," (",TEXT(H30,"0%"),")")</f>
        <v>#NAME?</v>
      </c>
    </row>
    <row r="31" spans="2:10">
      <c r="B31" s="12" t="s">
        <v>21</v>
      </c>
      <c r="C31" s="20">
        <f>IF(OR(H31=2,D31&gt;$D$8),2,IF(OR(H31=1,D31&gt;$D$9),1,0))</f>
        <v>0</v>
      </c>
      <c r="D31" s="20">
        <f t="shared" si="1"/>
        <v>0</v>
      </c>
      <c r="E31" s="20">
        <v>115</v>
      </c>
      <c r="F31" s="56">
        <v>105</v>
      </c>
      <c r="G31" s="56">
        <f t="shared" si="2"/>
        <v>10</v>
      </c>
      <c r="H31" s="64">
        <f t="shared" si="3"/>
        <v>8.6956521739130432E-2</v>
      </c>
      <c r="I31" t="e">
        <f t="shared" ca="1" si="4"/>
        <v>#NAME?</v>
      </c>
      <c r="J31" s="65" t="e">
        <f ca="1">_xlfn.TEXTJOIN(,0,E31,"/",F31,"/",G31," (",TEXT(H31,"0%"),")")</f>
        <v>#NAME?</v>
      </c>
    </row>
    <row r="32" spans="2:10">
      <c r="B32" s="12" t="s">
        <v>163</v>
      </c>
      <c r="C32" s="20">
        <f>IF(OR(H32=2,D32&gt;$D$8),2,IF(OR(H32=1,D32&gt;$D$9),1,0))</f>
        <v>1</v>
      </c>
      <c r="D32" s="20">
        <f t="shared" si="1"/>
        <v>1</v>
      </c>
      <c r="E32" s="20">
        <v>71</v>
      </c>
      <c r="F32" s="56">
        <v>59</v>
      </c>
      <c r="G32" s="56">
        <f t="shared" si="2"/>
        <v>12</v>
      </c>
      <c r="H32" s="64">
        <f t="shared" si="3"/>
        <v>0.16901408450704225</v>
      </c>
      <c r="I32" t="e">
        <f t="shared" ca="1" si="4"/>
        <v>#NAME?</v>
      </c>
      <c r="J32" s="65" t="e">
        <f ca="1">_xlfn.TEXTJOIN(,0,E32,"/",F32,"/",G32," (",TEXT(H32,"0%"),")")</f>
        <v>#NAME?</v>
      </c>
    </row>
    <row r="33" spans="2:10">
      <c r="B33" s="12" t="s">
        <v>22</v>
      </c>
      <c r="C33" s="20">
        <f>IF(OR(H33=2,D33&gt;$D$8),2,IF(OR(H33=1,D33&gt;$D$9),1,0))</f>
        <v>0</v>
      </c>
      <c r="D33" s="20">
        <f t="shared" si="1"/>
        <v>0</v>
      </c>
      <c r="E33" s="20">
        <v>221</v>
      </c>
      <c r="F33" s="56">
        <v>221</v>
      </c>
      <c r="G33" s="56">
        <f t="shared" si="2"/>
        <v>0</v>
      </c>
      <c r="H33" s="64">
        <f t="shared" si="3"/>
        <v>0</v>
      </c>
      <c r="I33" t="str">
        <f t="shared" si="4"/>
        <v>Дефицит спецтехники не заявлен</v>
      </c>
      <c r="J33" s="65" t="e">
        <f ca="1">_xlfn.TEXTJOIN(,0,E33,"/",F33,"/",G33," (",TEXT(H33,"0%"),")")</f>
        <v>#NAME?</v>
      </c>
    </row>
    <row r="34" spans="2:10">
      <c r="B34" s="12" t="s">
        <v>23</v>
      </c>
      <c r="C34" s="20">
        <f>IF(OR(H34=2,D34&gt;$D$8),2,IF(OR(H34=1,D34&gt;$D$9),1,0))</f>
        <v>2</v>
      </c>
      <c r="D34" s="20">
        <f t="shared" si="1"/>
        <v>2</v>
      </c>
      <c r="E34" s="20">
        <v>445</v>
      </c>
      <c r="F34" s="56">
        <v>355</v>
      </c>
      <c r="G34" s="56">
        <f t="shared" si="2"/>
        <v>90</v>
      </c>
      <c r="H34" s="64">
        <f t="shared" si="3"/>
        <v>0.20224719101123595</v>
      </c>
      <c r="I34" t="e">
        <f t="shared" ca="1" si="4"/>
        <v>#NAME?</v>
      </c>
      <c r="J34" s="65" t="e">
        <f ca="1">_xlfn.TEXTJOIN(,0,E34,"/",F34,"/",G34," (",TEXT(H34,"0%"),")")</f>
        <v>#NAME?</v>
      </c>
    </row>
    <row r="35" spans="2:10">
      <c r="B35" s="12" t="s">
        <v>24</v>
      </c>
      <c r="C35" s="20">
        <f>IF(OR(H35=2,D35&gt;$D$8),2,IF(OR(H35=1,D35&gt;$D$9),1,0))</f>
        <v>1</v>
      </c>
      <c r="D35" s="20">
        <f t="shared" si="1"/>
        <v>1</v>
      </c>
      <c r="E35" s="20">
        <v>65</v>
      </c>
      <c r="F35" s="56">
        <v>56</v>
      </c>
      <c r="G35" s="56">
        <f t="shared" si="2"/>
        <v>9</v>
      </c>
      <c r="H35" s="64">
        <f t="shared" si="3"/>
        <v>0.13846153846153847</v>
      </c>
      <c r="I35" t="e">
        <f t="shared" ca="1" si="4"/>
        <v>#NAME?</v>
      </c>
      <c r="J35" s="65" t="e">
        <f ca="1">_xlfn.TEXTJOIN(,0,E35,"/",F35,"/",G35," (",TEXT(H35,"0%"),")")</f>
        <v>#NAME?</v>
      </c>
    </row>
    <row r="36" spans="2:10">
      <c r="B36" s="12" t="s">
        <v>25</v>
      </c>
      <c r="C36" s="20">
        <f>IF(OR(H36=2,D36&gt;$D$8),2,IF(OR(H36=1,D36&gt;$D$9),1,0))</f>
        <v>2</v>
      </c>
      <c r="D36" s="20">
        <f t="shared" si="1"/>
        <v>2</v>
      </c>
      <c r="E36" s="20">
        <v>259</v>
      </c>
      <c r="F36" s="56">
        <v>211</v>
      </c>
      <c r="G36" s="56">
        <f t="shared" si="2"/>
        <v>48</v>
      </c>
      <c r="H36" s="64">
        <f t="shared" si="3"/>
        <v>0.18532818532818532</v>
      </c>
      <c r="I36" t="e">
        <f t="shared" ca="1" si="4"/>
        <v>#NAME?</v>
      </c>
      <c r="J36" s="65" t="e">
        <f ca="1">_xlfn.TEXTJOIN(,0,E36,"/",F36,"/",G36," (",TEXT(H36,"0%"),")")</f>
        <v>#NAME?</v>
      </c>
    </row>
    <row r="37" spans="2:10">
      <c r="B37" s="12" t="s">
        <v>26</v>
      </c>
      <c r="C37" s="20">
        <f>IF(OR(H37=2,D37&gt;$D$8),2,IF(OR(H37=1,D37&gt;$D$9),1,0))</f>
        <v>1</v>
      </c>
      <c r="D37" s="20">
        <f t="shared" si="1"/>
        <v>1</v>
      </c>
      <c r="E37" s="20">
        <v>164</v>
      </c>
      <c r="F37" s="56">
        <v>142</v>
      </c>
      <c r="G37" s="56">
        <f t="shared" si="2"/>
        <v>22</v>
      </c>
      <c r="H37" s="64">
        <f t="shared" si="3"/>
        <v>0.13414634146341464</v>
      </c>
      <c r="I37" t="e">
        <f t="shared" ca="1" si="4"/>
        <v>#NAME?</v>
      </c>
      <c r="J37" s="65" t="e">
        <f ca="1">_xlfn.TEXTJOIN(,0,E37,"/",F37,"/",G37," (",TEXT(H37,"0%"),")")</f>
        <v>#NAME?</v>
      </c>
    </row>
    <row r="38" spans="2:10">
      <c r="B38" s="12" t="s">
        <v>27</v>
      </c>
      <c r="C38" s="20">
        <f>IF(OR(H38=2,D38&gt;$D$8),2,IF(OR(H38=1,D38&gt;$D$9),1,0))</f>
        <v>2</v>
      </c>
      <c r="D38" s="20">
        <f t="shared" si="1"/>
        <v>2</v>
      </c>
      <c r="E38" s="20">
        <v>171</v>
      </c>
      <c r="F38" s="56">
        <v>124</v>
      </c>
      <c r="G38" s="56">
        <f t="shared" si="2"/>
        <v>47</v>
      </c>
      <c r="H38" s="64">
        <f t="shared" si="3"/>
        <v>0.27485380116959063</v>
      </c>
      <c r="I38" t="e">
        <f t="shared" ca="1" si="4"/>
        <v>#NAME?</v>
      </c>
      <c r="J38" s="65" t="e">
        <f ca="1">_xlfn.TEXTJOIN(,0,E38,"/",F38,"/",G38," (",TEXT(H38,"0%"),")")</f>
        <v>#NAME?</v>
      </c>
    </row>
    <row r="39" spans="2:10">
      <c r="B39" s="12" t="s">
        <v>28</v>
      </c>
      <c r="C39" s="20">
        <f>IF(OR(H39=2,D39&gt;$D$8),2,IF(OR(H39=1,D39&gt;$D$9),1,0))</f>
        <v>2</v>
      </c>
      <c r="D39" s="20">
        <f t="shared" si="1"/>
        <v>2</v>
      </c>
      <c r="E39" s="20">
        <v>94</v>
      </c>
      <c r="F39" s="56">
        <v>70</v>
      </c>
      <c r="G39" s="56">
        <f t="shared" si="2"/>
        <v>24</v>
      </c>
      <c r="H39" s="64">
        <f t="shared" si="3"/>
        <v>0.25531914893617019</v>
      </c>
      <c r="I39" t="e">
        <f t="shared" ca="1" si="4"/>
        <v>#NAME?</v>
      </c>
      <c r="J39" s="65" t="e">
        <f ca="1">_xlfn.TEXTJOIN(,0,E39,"/",F39,"/",G39," (",TEXT(H39,"0%"),")")</f>
        <v>#NAME?</v>
      </c>
    </row>
    <row r="40" spans="2:10">
      <c r="B40" s="12" t="s">
        <v>29</v>
      </c>
      <c r="C40" s="20">
        <f>IF(OR(H40=2,D40&gt;$D$8),2,IF(OR(H40=1,D40&gt;$D$9),1,0))</f>
        <v>0</v>
      </c>
      <c r="D40" s="20">
        <f t="shared" si="1"/>
        <v>0</v>
      </c>
      <c r="E40" s="20">
        <v>292</v>
      </c>
      <c r="F40" s="56">
        <v>292</v>
      </c>
      <c r="G40" s="56">
        <f t="shared" si="2"/>
        <v>0</v>
      </c>
      <c r="H40" s="64">
        <f t="shared" si="3"/>
        <v>0</v>
      </c>
      <c r="I40" t="str">
        <f t="shared" si="4"/>
        <v>Дефицит спецтехники не заявлен</v>
      </c>
      <c r="J40" s="65" t="e">
        <f ca="1">_xlfn.TEXTJOIN(,0,E40,"/",F40,"/",G40," (",TEXT(H40,"0%"),")")</f>
        <v>#NAME?</v>
      </c>
    </row>
    <row r="41" spans="2:10">
      <c r="B41" s="12" t="s">
        <v>30</v>
      </c>
      <c r="C41" s="20">
        <f>IF(OR(H41=2,D41&gt;$D$8),2,IF(OR(H41=1,D41&gt;$D$9),1,0))</f>
        <v>0</v>
      </c>
      <c r="D41" s="20">
        <f t="shared" si="1"/>
        <v>0</v>
      </c>
      <c r="E41" s="20">
        <v>150</v>
      </c>
      <c r="F41" s="56">
        <v>150</v>
      </c>
      <c r="G41" s="56">
        <f t="shared" si="2"/>
        <v>0</v>
      </c>
      <c r="H41" s="64">
        <f t="shared" si="3"/>
        <v>0</v>
      </c>
      <c r="I41" t="str">
        <f t="shared" si="4"/>
        <v>Дефицит спецтехники не заявлен</v>
      </c>
      <c r="J41" s="65" t="e">
        <f ca="1">_xlfn.TEXTJOIN(,0,E41,"/",F41,"/",G41," (",TEXT(H41,"0%"),")")</f>
        <v>#NAME?</v>
      </c>
    </row>
    <row r="42" spans="2:10">
      <c r="B42" s="12" t="s">
        <v>31</v>
      </c>
      <c r="C42" s="20">
        <f>IF(OR(H42=2,D42&gt;$D$8),2,IF(OR(H42=1,D42&gt;$D$9),1,0))</f>
        <v>0</v>
      </c>
      <c r="D42" s="20">
        <f t="shared" si="1"/>
        <v>0</v>
      </c>
      <c r="E42" s="20">
        <v>141</v>
      </c>
      <c r="F42" s="56">
        <v>136</v>
      </c>
      <c r="G42" s="56">
        <f t="shared" si="2"/>
        <v>5</v>
      </c>
      <c r="H42" s="64">
        <f t="shared" si="3"/>
        <v>3.5460992907801421E-2</v>
      </c>
      <c r="I42" t="e">
        <f t="shared" ca="1" si="4"/>
        <v>#NAME?</v>
      </c>
      <c r="J42" s="65" t="e">
        <f ca="1">_xlfn.TEXTJOIN(,0,E42,"/",F42,"/",G42," (",TEXT(H42,"0%"),")")</f>
        <v>#NAME?</v>
      </c>
    </row>
    <row r="43" spans="2:10">
      <c r="B43" s="12" t="s">
        <v>32</v>
      </c>
      <c r="C43" s="20">
        <f>IF(OR(H43=2,D43&gt;$D$8),2,IF(OR(H43=1,D43&gt;$D$9),1,0))</f>
        <v>0</v>
      </c>
      <c r="D43" s="20">
        <f t="shared" si="1"/>
        <v>0</v>
      </c>
      <c r="E43" s="20">
        <v>1042</v>
      </c>
      <c r="F43" s="56">
        <v>989</v>
      </c>
      <c r="G43" s="56">
        <f t="shared" si="2"/>
        <v>53</v>
      </c>
      <c r="H43" s="64">
        <f t="shared" si="3"/>
        <v>5.0863723608445301E-2</v>
      </c>
      <c r="I43" t="e">
        <f t="shared" ca="1" si="4"/>
        <v>#NAME?</v>
      </c>
      <c r="J43" s="65" t="e">
        <f ca="1">_xlfn.TEXTJOIN(,0,E43,"/",F43,"/",G43," (",TEXT(H43,"0%"),")")</f>
        <v>#NAME?</v>
      </c>
    </row>
    <row r="44" spans="2:10">
      <c r="B44" s="12" t="s">
        <v>33</v>
      </c>
      <c r="C44" s="20">
        <f>IF(OR(H44=2,D44&gt;$D$8),2,IF(OR(H44=1,D44&gt;$D$9),1,0))</f>
        <v>0</v>
      </c>
      <c r="D44" s="20">
        <f t="shared" si="1"/>
        <v>0</v>
      </c>
      <c r="E44" s="20">
        <v>443</v>
      </c>
      <c r="F44" s="56">
        <v>426</v>
      </c>
      <c r="G44" s="56">
        <f t="shared" si="2"/>
        <v>17</v>
      </c>
      <c r="H44" s="64">
        <f t="shared" si="3"/>
        <v>3.8374717832957109E-2</v>
      </c>
      <c r="I44" t="e">
        <f t="shared" ca="1" si="4"/>
        <v>#NAME?</v>
      </c>
      <c r="J44" s="65" t="e">
        <f ca="1">_xlfn.TEXTJOIN(,0,E44,"/",F44,"/",G44," (",TEXT(H44,"0%"),")")</f>
        <v>#NAME?</v>
      </c>
    </row>
    <row r="45" spans="2:10">
      <c r="B45" s="12" t="s">
        <v>34</v>
      </c>
      <c r="C45" s="20">
        <f>IF(OR(H45=2,D45&gt;$D$8),2,IF(OR(H45=1,D45&gt;$D$9),1,0))</f>
        <v>0</v>
      </c>
      <c r="D45" s="20">
        <f t="shared" si="1"/>
        <v>0</v>
      </c>
      <c r="E45" s="20">
        <v>80</v>
      </c>
      <c r="F45" s="56">
        <v>80</v>
      </c>
      <c r="G45" s="56">
        <f t="shared" si="2"/>
        <v>0</v>
      </c>
      <c r="H45" s="64">
        <f t="shared" si="3"/>
        <v>0</v>
      </c>
      <c r="I45" t="str">
        <f t="shared" si="4"/>
        <v>Дефицит спецтехники не заявлен</v>
      </c>
      <c r="J45" s="65" t="e">
        <f ca="1">_xlfn.TEXTJOIN(,0,E45,"/",F45,"/",G45," (",TEXT(H45,"0%"),")")</f>
        <v>#NAME?</v>
      </c>
    </row>
    <row r="46" spans="2:10">
      <c r="B46" s="12" t="s">
        <v>35</v>
      </c>
      <c r="C46" s="20">
        <f>IF(OR(H46=2,D46&gt;$D$8),2,IF(OR(H46=1,D46&gt;$D$9),1,0))</f>
        <v>0</v>
      </c>
      <c r="D46" s="20">
        <f t="shared" si="1"/>
        <v>0</v>
      </c>
      <c r="E46" s="20">
        <v>225</v>
      </c>
      <c r="F46" s="56">
        <v>207</v>
      </c>
      <c r="G46" s="56">
        <f t="shared" si="2"/>
        <v>18</v>
      </c>
      <c r="H46" s="64">
        <f t="shared" si="3"/>
        <v>0.08</v>
      </c>
      <c r="I46" t="e">
        <f t="shared" ca="1" si="4"/>
        <v>#NAME?</v>
      </c>
      <c r="J46" s="65" t="e">
        <f ca="1">_xlfn.TEXTJOIN(,0,E46,"/",F46,"/",G46," (",TEXT(H46,"0%"),")")</f>
        <v>#NAME?</v>
      </c>
    </row>
    <row r="47" spans="2:10">
      <c r="B47" s="12" t="s">
        <v>36</v>
      </c>
      <c r="C47" s="20">
        <f>IF(OR(H47=2,D47&gt;$D$8),2,IF(OR(H47=1,D47&gt;$D$9),1,0))</f>
        <v>1</v>
      </c>
      <c r="D47" s="20">
        <f t="shared" si="1"/>
        <v>1</v>
      </c>
      <c r="E47" s="20">
        <v>341</v>
      </c>
      <c r="F47" s="56">
        <v>290</v>
      </c>
      <c r="G47" s="56">
        <f t="shared" si="2"/>
        <v>51</v>
      </c>
      <c r="H47" s="64">
        <f t="shared" si="3"/>
        <v>0.14956011730205279</v>
      </c>
      <c r="I47" t="e">
        <f t="shared" ca="1" si="4"/>
        <v>#NAME?</v>
      </c>
      <c r="J47" s="65" t="e">
        <f ca="1">_xlfn.TEXTJOIN(,0,E47,"/",F47,"/",G47," (",TEXT(H47,"0%"),")")</f>
        <v>#NAME?</v>
      </c>
    </row>
    <row r="48" spans="2:10">
      <c r="B48" s="12" t="s">
        <v>37</v>
      </c>
      <c r="C48" s="20">
        <f>IF(OR(H48=2,D48&gt;$D$8),2,IF(OR(H48=1,D48&gt;$D$9),1,0))</f>
        <v>0</v>
      </c>
      <c r="D48" s="20">
        <f t="shared" si="1"/>
        <v>0</v>
      </c>
      <c r="E48" s="20">
        <v>205</v>
      </c>
      <c r="F48" s="56">
        <v>191</v>
      </c>
      <c r="G48" s="56">
        <f t="shared" si="2"/>
        <v>14</v>
      </c>
      <c r="H48" s="64">
        <f t="shared" si="3"/>
        <v>6.8292682926829273E-2</v>
      </c>
      <c r="I48" t="e">
        <f t="shared" ca="1" si="4"/>
        <v>#NAME?</v>
      </c>
      <c r="J48" s="65" t="e">
        <f ca="1">_xlfn.TEXTJOIN(,0,E48,"/",F48,"/",G48," (",TEXT(H48,"0%"),")")</f>
        <v>#NAME?</v>
      </c>
    </row>
    <row r="49" spans="2:10">
      <c r="B49" s="12" t="s">
        <v>581</v>
      </c>
      <c r="C49" s="20">
        <f>IF(OR(H49=2,D49&gt;$D$8),2,IF(OR(H49=1,D49&gt;$D$9),1,0))</f>
        <v>2</v>
      </c>
      <c r="D49" s="20">
        <f t="shared" si="1"/>
        <v>2</v>
      </c>
      <c r="E49" s="20">
        <v>532</v>
      </c>
      <c r="F49" s="56">
        <v>344</v>
      </c>
      <c r="G49" s="56">
        <f t="shared" si="2"/>
        <v>188</v>
      </c>
      <c r="H49" s="64">
        <f t="shared" si="3"/>
        <v>0.35338345864661652</v>
      </c>
      <c r="I49" t="e">
        <f t="shared" ca="1" si="4"/>
        <v>#NAME?</v>
      </c>
      <c r="J49" s="65" t="e">
        <f ca="1">_xlfn.TEXTJOIN(,0,E49,"/",F49,"/",G49," (",TEXT(H49,"0%"),")")</f>
        <v>#NAME?</v>
      </c>
    </row>
    <row r="50" spans="2:10">
      <c r="B50" s="12" t="s">
        <v>38</v>
      </c>
      <c r="C50" s="20">
        <f>IF(OR(H50=2,D50&gt;$D$8),2,IF(OR(H50=1,D50&gt;$D$9),1,0))</f>
        <v>2</v>
      </c>
      <c r="D50" s="20">
        <f t="shared" si="1"/>
        <v>2</v>
      </c>
      <c r="E50" s="20">
        <v>63</v>
      </c>
      <c r="F50" s="56">
        <v>34</v>
      </c>
      <c r="G50" s="56">
        <f t="shared" si="2"/>
        <v>29</v>
      </c>
      <c r="H50" s="64">
        <f t="shared" si="3"/>
        <v>0.46031746031746029</v>
      </c>
      <c r="I50" t="e">
        <f t="shared" ca="1" si="4"/>
        <v>#NAME?</v>
      </c>
      <c r="J50" s="65" t="e">
        <f ca="1">_xlfn.TEXTJOIN(,0,E50,"/",F50,"/",G50," (",TEXT(H50,"0%"),")")</f>
        <v>#NAME?</v>
      </c>
    </row>
    <row r="51" spans="2:10">
      <c r="B51" s="12" t="s">
        <v>39</v>
      </c>
      <c r="C51" s="20">
        <f>IF(OR(H51=2,D51&gt;$D$8),2,IF(OR(H51=1,D51&gt;$D$9),1,0))</f>
        <v>0</v>
      </c>
      <c r="D51" s="20">
        <f t="shared" si="1"/>
        <v>0</v>
      </c>
      <c r="E51" s="20">
        <v>1653</v>
      </c>
      <c r="F51" s="56">
        <v>1515</v>
      </c>
      <c r="G51" s="56">
        <f t="shared" si="2"/>
        <v>138</v>
      </c>
      <c r="H51" s="64">
        <f t="shared" si="3"/>
        <v>8.3484573502722328E-2</v>
      </c>
      <c r="I51" t="e">
        <f t="shared" ca="1" si="4"/>
        <v>#NAME?</v>
      </c>
      <c r="J51" s="65" t="e">
        <f ca="1">_xlfn.TEXTJOIN(,0,E51,"/",F51,"/",G51," (",TEXT(H51,"0%"),")")</f>
        <v>#NAME?</v>
      </c>
    </row>
    <row r="52" spans="2:10">
      <c r="B52" s="12" t="s">
        <v>40</v>
      </c>
      <c r="C52" s="20">
        <f>IF(OR(H52=2,D52&gt;$D$8),2,IF(OR(H52=1,D52&gt;$D$9),1,0))</f>
        <v>0</v>
      </c>
      <c r="D52" s="20">
        <f t="shared" si="1"/>
        <v>0</v>
      </c>
      <c r="E52" s="20">
        <v>171</v>
      </c>
      <c r="F52" s="56">
        <v>171</v>
      </c>
      <c r="G52" s="56">
        <f t="shared" si="2"/>
        <v>0</v>
      </c>
      <c r="H52" s="64">
        <f t="shared" si="3"/>
        <v>0</v>
      </c>
      <c r="I52" t="str">
        <f t="shared" si="4"/>
        <v>Дефицит спецтехники не заявлен</v>
      </c>
      <c r="J52" s="65" t="e">
        <f ca="1">_xlfn.TEXTJOIN(,0,E52,"/",F52,"/",G52," (",TEXT(H52,"0%"),")")</f>
        <v>#NAME?</v>
      </c>
    </row>
    <row r="53" spans="2:10">
      <c r="B53" s="12" t="s">
        <v>41</v>
      </c>
      <c r="C53" s="20">
        <f>IF(OR(H53=2,D53&gt;$D$8),2,IF(OR(H53=1,D53&gt;$D$9),1,0))</f>
        <v>1</v>
      </c>
      <c r="D53" s="20">
        <f t="shared" si="1"/>
        <v>1</v>
      </c>
      <c r="E53" s="20">
        <v>41</v>
      </c>
      <c r="F53" s="56">
        <v>37</v>
      </c>
      <c r="G53" s="56">
        <f t="shared" si="2"/>
        <v>4</v>
      </c>
      <c r="H53" s="64">
        <f t="shared" si="3"/>
        <v>9.7560975609756101E-2</v>
      </c>
      <c r="I53" t="e">
        <f t="shared" ca="1" si="4"/>
        <v>#NAME?</v>
      </c>
      <c r="J53" s="65" t="e">
        <f ca="1">_xlfn.TEXTJOIN(,0,E53,"/",F53,"/",G53," (",TEXT(H53,"0%"),")")</f>
        <v>#NAME?</v>
      </c>
    </row>
    <row r="54" spans="2:10">
      <c r="B54" s="12" t="s">
        <v>42</v>
      </c>
      <c r="C54" s="20">
        <f>IF(OR(H54=2,D54&gt;$D$8),2,IF(OR(H54=1,D54&gt;$D$9),1,0))</f>
        <v>1</v>
      </c>
      <c r="D54" s="20">
        <f t="shared" si="1"/>
        <v>1</v>
      </c>
      <c r="E54" s="20">
        <v>534</v>
      </c>
      <c r="F54" s="56">
        <v>482</v>
      </c>
      <c r="G54" s="56">
        <f t="shared" si="2"/>
        <v>52</v>
      </c>
      <c r="H54" s="64">
        <f t="shared" si="3"/>
        <v>9.7378277153558054E-2</v>
      </c>
      <c r="I54" t="e">
        <f t="shared" ca="1" si="4"/>
        <v>#NAME?</v>
      </c>
      <c r="J54" s="65" t="e">
        <f ca="1">_xlfn.TEXTJOIN(,0,E54,"/",F54,"/",G54," (",TEXT(H54,"0%"),")")</f>
        <v>#NAME?</v>
      </c>
    </row>
    <row r="55" spans="2:10">
      <c r="B55" s="12" t="s">
        <v>43</v>
      </c>
      <c r="C55" s="20">
        <f>IF(OR(H55=2,D55&gt;$D$8),2,IF(OR(H55=1,D55&gt;$D$9),1,0))</f>
        <v>1</v>
      </c>
      <c r="D55" s="20">
        <f t="shared" si="1"/>
        <v>1</v>
      </c>
      <c r="E55" s="20">
        <v>79</v>
      </c>
      <c r="F55" s="56">
        <v>65</v>
      </c>
      <c r="G55" s="56">
        <f t="shared" si="2"/>
        <v>14</v>
      </c>
      <c r="H55" s="64">
        <f t="shared" si="3"/>
        <v>0.17721518987341772</v>
      </c>
      <c r="I55" t="e">
        <f t="shared" ca="1" si="4"/>
        <v>#NAME?</v>
      </c>
      <c r="J55" s="65" t="e">
        <f ca="1">_xlfn.TEXTJOIN(,0,E55,"/",F55,"/",G55," (",TEXT(H55,"0%"),")")</f>
        <v>#NAME?</v>
      </c>
    </row>
    <row r="56" spans="2:10">
      <c r="B56" s="12" t="s">
        <v>44</v>
      </c>
      <c r="C56" s="20">
        <f>IF(OR(H56=2,D56&gt;$D$8),2,IF(OR(H56=1,D56&gt;$D$9),1,0))</f>
        <v>0</v>
      </c>
      <c r="D56" s="20">
        <f t="shared" si="1"/>
        <v>0</v>
      </c>
      <c r="E56" s="20">
        <v>631</v>
      </c>
      <c r="F56" s="56">
        <v>597</v>
      </c>
      <c r="G56" s="56">
        <f t="shared" si="2"/>
        <v>34</v>
      </c>
      <c r="H56" s="64">
        <f t="shared" si="3"/>
        <v>5.388272583201268E-2</v>
      </c>
      <c r="I56" t="e">
        <f t="shared" ca="1" si="4"/>
        <v>#NAME?</v>
      </c>
      <c r="J56" s="65" t="e">
        <f ca="1">_xlfn.TEXTJOIN(,0,E56,"/",F56,"/",G56," (",TEXT(H56,"0%"),")")</f>
        <v>#NAME?</v>
      </c>
    </row>
    <row r="57" spans="2:10">
      <c r="B57" s="12" t="s">
        <v>45</v>
      </c>
      <c r="C57" s="20">
        <f>IF(OR(H57=2,D57&gt;$D$8),2,IF(OR(H57=1,D57&gt;$D$9),1,0))</f>
        <v>0</v>
      </c>
      <c r="D57" s="20">
        <f t="shared" si="1"/>
        <v>0</v>
      </c>
      <c r="E57" s="20">
        <v>191</v>
      </c>
      <c r="F57" s="56">
        <v>191</v>
      </c>
      <c r="G57" s="56">
        <f t="shared" si="2"/>
        <v>0</v>
      </c>
      <c r="H57" s="64">
        <f t="shared" si="3"/>
        <v>0</v>
      </c>
      <c r="I57" t="str">
        <f t="shared" si="4"/>
        <v>Дефицит спецтехники не заявлен</v>
      </c>
      <c r="J57" s="65" t="e">
        <f ca="1">_xlfn.TEXTJOIN(,0,E57,"/",F57,"/",G57," (",TEXT(H57,"0%"),")")</f>
        <v>#NAME?</v>
      </c>
    </row>
    <row r="58" spans="2:10">
      <c r="B58" s="12" t="s">
        <v>46</v>
      </c>
      <c r="C58" s="20">
        <f>IF(OR(H58=2,D58&gt;$D$8),2,IF(OR(H58=1,D58&gt;$D$9),1,0))</f>
        <v>0</v>
      </c>
      <c r="D58" s="20">
        <f t="shared" si="1"/>
        <v>0</v>
      </c>
      <c r="E58" s="20">
        <v>202</v>
      </c>
      <c r="F58" s="56">
        <v>202</v>
      </c>
      <c r="G58" s="56">
        <f t="shared" si="2"/>
        <v>0</v>
      </c>
      <c r="H58" s="64">
        <f t="shared" si="3"/>
        <v>0</v>
      </c>
      <c r="I58" t="str">
        <f t="shared" si="4"/>
        <v>Дефицит спецтехники не заявлен</v>
      </c>
      <c r="J58" s="65" t="e">
        <f ca="1">_xlfn.TEXTJOIN(,0,E58,"/",F58,"/",G58," (",TEXT(H58,"0%"),")")</f>
        <v>#NAME?</v>
      </c>
    </row>
    <row r="59" spans="2:10">
      <c r="B59" s="12" t="s">
        <v>47</v>
      </c>
      <c r="C59" s="20">
        <f>IF(OR(H59=2,D59&gt;$D$8),2,IF(OR(H59=1,D59&gt;$D$9),1,0))</f>
        <v>0</v>
      </c>
      <c r="D59" s="20">
        <f t="shared" si="1"/>
        <v>0</v>
      </c>
      <c r="E59" s="20">
        <v>78</v>
      </c>
      <c r="F59" s="56">
        <v>78</v>
      </c>
      <c r="G59" s="56">
        <f t="shared" si="2"/>
        <v>0</v>
      </c>
      <c r="H59" s="64">
        <f t="shared" si="3"/>
        <v>0</v>
      </c>
      <c r="I59" t="str">
        <f t="shared" si="4"/>
        <v>Дефицит спецтехники не заявлен</v>
      </c>
      <c r="J59" s="65" t="e">
        <f ca="1">_xlfn.TEXTJOIN(,0,E59,"/",F59,"/",G59," (",TEXT(H59,"0%"),")")</f>
        <v>#NAME?</v>
      </c>
    </row>
    <row r="60" spans="2:10">
      <c r="B60" s="12" t="s">
        <v>48</v>
      </c>
      <c r="C60" s="20">
        <f>IF(OR(H60=2,D60&gt;$D$8),2,IF(OR(H60=1,D60&gt;$D$9),1,0))</f>
        <v>0</v>
      </c>
      <c r="D60" s="20">
        <f t="shared" si="1"/>
        <v>0</v>
      </c>
      <c r="E60" s="20">
        <v>260</v>
      </c>
      <c r="F60" s="56">
        <v>239</v>
      </c>
      <c r="G60" s="56">
        <f t="shared" si="2"/>
        <v>21</v>
      </c>
      <c r="H60" s="64">
        <f t="shared" si="3"/>
        <v>8.0769230769230774E-2</v>
      </c>
      <c r="I60" t="e">
        <f t="shared" ca="1" si="4"/>
        <v>#NAME?</v>
      </c>
      <c r="J60" s="65" t="e">
        <f ca="1">_xlfn.TEXTJOIN(,0,E60,"/",F60,"/",G60," (",TEXT(H60,"0%"),")")</f>
        <v>#NAME?</v>
      </c>
    </row>
    <row r="61" spans="2:10">
      <c r="B61" s="12" t="s">
        <v>49</v>
      </c>
      <c r="C61" s="20">
        <f>IF(OR(H61=2,D61&gt;$D$8),2,IF(OR(H61=1,D61&gt;$D$9),1,0))</f>
        <v>0</v>
      </c>
      <c r="D61" s="20">
        <f t="shared" si="1"/>
        <v>0</v>
      </c>
      <c r="E61" s="20">
        <v>365</v>
      </c>
      <c r="F61" s="56">
        <v>354</v>
      </c>
      <c r="G61" s="56">
        <f t="shared" si="2"/>
        <v>11</v>
      </c>
      <c r="H61" s="64">
        <f t="shared" si="3"/>
        <v>3.0136986301369864E-2</v>
      </c>
      <c r="I61" t="e">
        <f t="shared" ca="1" si="4"/>
        <v>#NAME?</v>
      </c>
      <c r="J61" s="65" t="e">
        <f ca="1">_xlfn.TEXTJOIN(,0,E61,"/",F61,"/",G61," (",TEXT(H61,"0%"),")")</f>
        <v>#NAME?</v>
      </c>
    </row>
    <row r="62" spans="2:10">
      <c r="B62" s="12" t="s">
        <v>50</v>
      </c>
      <c r="C62" s="20">
        <f>IF(OR(H62=2,D62&gt;$D$8),2,IF(OR(H62=1,D62&gt;$D$9),1,0))</f>
        <v>2</v>
      </c>
      <c r="D62" s="20">
        <f t="shared" si="1"/>
        <v>2</v>
      </c>
      <c r="E62" s="20">
        <v>368</v>
      </c>
      <c r="F62" s="56">
        <v>273</v>
      </c>
      <c r="G62" s="56">
        <f t="shared" si="2"/>
        <v>95</v>
      </c>
      <c r="H62" s="64">
        <f t="shared" si="3"/>
        <v>0.25815217391304346</v>
      </c>
      <c r="I62" t="e">
        <f t="shared" ca="1" si="4"/>
        <v>#NAME?</v>
      </c>
      <c r="J62" s="65" t="e">
        <f ca="1">_xlfn.TEXTJOIN(,0,E62,"/",F62,"/",G62," (",TEXT(H62,"0%"),")")</f>
        <v>#NAME?</v>
      </c>
    </row>
    <row r="63" spans="2:10">
      <c r="B63" s="12" t="s">
        <v>51</v>
      </c>
      <c r="C63" s="20">
        <f>IF(OR(H63=2,D63&gt;$D$8),2,IF(OR(H63=1,D63&gt;$D$9),1,0))</f>
        <v>2</v>
      </c>
      <c r="D63" s="20">
        <f t="shared" si="1"/>
        <v>2</v>
      </c>
      <c r="E63" s="20">
        <v>104</v>
      </c>
      <c r="F63" s="56">
        <v>84</v>
      </c>
      <c r="G63" s="56">
        <f t="shared" si="2"/>
        <v>20</v>
      </c>
      <c r="H63" s="64">
        <f t="shared" si="3"/>
        <v>0.19230769230769232</v>
      </c>
      <c r="I63" t="e">
        <f t="shared" ca="1" si="4"/>
        <v>#NAME?</v>
      </c>
      <c r="J63" s="65" t="e">
        <f ca="1">_xlfn.TEXTJOIN(,0,E63,"/",F63,"/",G63," (",TEXT(H63,"0%"),")")</f>
        <v>#NAME?</v>
      </c>
    </row>
    <row r="64" spans="2:10">
      <c r="B64" s="12" t="s">
        <v>52</v>
      </c>
      <c r="C64" s="20">
        <f>IF(OR(H64=2,D64&gt;$D$8),2,IF(OR(H64=1,D64&gt;$D$9),1,0))</f>
        <v>0</v>
      </c>
      <c r="D64" s="20">
        <f t="shared" si="1"/>
        <v>0</v>
      </c>
      <c r="E64" s="20">
        <v>76</v>
      </c>
      <c r="F64" s="56">
        <v>70</v>
      </c>
      <c r="G64" s="56">
        <f t="shared" si="2"/>
        <v>6</v>
      </c>
      <c r="H64" s="64">
        <f t="shared" si="3"/>
        <v>7.8947368421052627E-2</v>
      </c>
      <c r="I64" t="e">
        <f t="shared" ca="1" si="4"/>
        <v>#NAME?</v>
      </c>
      <c r="J64" s="65" t="e">
        <f ca="1">_xlfn.TEXTJOIN(,0,E64,"/",F64,"/",G64," (",TEXT(H64,"0%"),")")</f>
        <v>#NAME?</v>
      </c>
    </row>
    <row r="65" spans="2:10">
      <c r="B65" s="12" t="s">
        <v>53</v>
      </c>
      <c r="C65" s="20">
        <f>IF(OR(H65=2,D65&gt;$D$8),2,IF(OR(H65=1,D65&gt;$D$9),1,0))</f>
        <v>2</v>
      </c>
      <c r="D65" s="20">
        <f t="shared" si="1"/>
        <v>2</v>
      </c>
      <c r="E65" s="20">
        <v>68</v>
      </c>
      <c r="F65" s="56">
        <v>46</v>
      </c>
      <c r="G65" s="56">
        <f t="shared" si="2"/>
        <v>22</v>
      </c>
      <c r="H65" s="64">
        <f t="shared" si="3"/>
        <v>0.3235294117647059</v>
      </c>
      <c r="I65" t="e">
        <f t="shared" ca="1" si="4"/>
        <v>#NAME?</v>
      </c>
      <c r="J65" s="65" t="e">
        <f ca="1">_xlfn.TEXTJOIN(,0,E65,"/",F65,"/",G65," (",TEXT(H65,"0%"),")")</f>
        <v>#NAME?</v>
      </c>
    </row>
    <row r="66" spans="2:10">
      <c r="B66" s="12" t="s">
        <v>3</v>
      </c>
      <c r="C66" s="20">
        <f>IF(OR(H66=2,D66&gt;$D$8),2,IF(OR(H66=1,D66&gt;$D$9),1,0))</f>
        <v>1</v>
      </c>
      <c r="D66" s="20">
        <f t="shared" si="1"/>
        <v>1</v>
      </c>
      <c r="E66" s="20">
        <v>580</v>
      </c>
      <c r="F66" s="56">
        <v>526</v>
      </c>
      <c r="G66" s="56">
        <f t="shared" si="2"/>
        <v>54</v>
      </c>
      <c r="H66" s="64">
        <f t="shared" si="3"/>
        <v>9.3103448275862075E-2</v>
      </c>
      <c r="I66" t="e">
        <f t="shared" ca="1" si="4"/>
        <v>#NAME?</v>
      </c>
      <c r="J66" s="65" t="e">
        <f ca="1">_xlfn.TEXTJOIN(,0,E66,"/",F66,"/",G66," (",TEXT(H66,"0%"),")")</f>
        <v>#NAME?</v>
      </c>
    </row>
    <row r="67" spans="2:10">
      <c r="B67" s="12" t="s">
        <v>54</v>
      </c>
      <c r="C67" s="20">
        <f>IF(OR(H67=2,D67&gt;$D$8),2,IF(OR(H67=1,D67&gt;$D$9),1,0))</f>
        <v>0</v>
      </c>
      <c r="D67" s="20">
        <f t="shared" si="1"/>
        <v>0</v>
      </c>
      <c r="E67" s="20">
        <v>191</v>
      </c>
      <c r="F67" s="56">
        <v>191</v>
      </c>
      <c r="G67" s="56">
        <f t="shared" si="2"/>
        <v>0</v>
      </c>
      <c r="H67" s="64">
        <f t="shared" si="3"/>
        <v>0</v>
      </c>
      <c r="I67" t="str">
        <f t="shared" si="4"/>
        <v>Дефицит спецтехники не заявлен</v>
      </c>
      <c r="J67" s="65" t="e">
        <f ca="1">_xlfn.TEXTJOIN(,0,E67,"/",F67,"/",G67," (",TEXT(H67,"0%"),")")</f>
        <v>#NAME?</v>
      </c>
    </row>
    <row r="68" spans="2:10">
      <c r="B68" s="12" t="s">
        <v>55</v>
      </c>
      <c r="C68" s="20">
        <f>IF(OR(H68=2,D68&gt;$D$8),2,IF(OR(H68=1,D68&gt;$D$9),1,0))</f>
        <v>2</v>
      </c>
      <c r="D68" s="20">
        <f t="shared" si="1"/>
        <v>2</v>
      </c>
      <c r="E68" s="20">
        <v>263</v>
      </c>
      <c r="F68" s="56">
        <v>139</v>
      </c>
      <c r="G68" s="56">
        <f t="shared" si="2"/>
        <v>124</v>
      </c>
      <c r="H68" s="64">
        <f t="shared" si="3"/>
        <v>0.47148288973384028</v>
      </c>
      <c r="I68" t="e">
        <f t="shared" ca="1" si="4"/>
        <v>#NAME?</v>
      </c>
      <c r="J68" s="65" t="e">
        <f ca="1">_xlfn.TEXTJOIN(,0,E68,"/",F68,"/",G68," (",TEXT(H68,"0%"),")")</f>
        <v>#NAME?</v>
      </c>
    </row>
    <row r="69" spans="2:10">
      <c r="B69" s="12" t="s">
        <v>56</v>
      </c>
      <c r="C69" s="20">
        <f>IF(OR(H69=2,D69&gt;$D$8),2,IF(OR(H69=1,D69&gt;$D$9),1,0))</f>
        <v>2</v>
      </c>
      <c r="D69" s="20">
        <f t="shared" si="1"/>
        <v>2</v>
      </c>
      <c r="E69" s="20">
        <v>91</v>
      </c>
      <c r="F69" s="56">
        <v>36</v>
      </c>
      <c r="G69" s="56">
        <f t="shared" si="2"/>
        <v>55</v>
      </c>
      <c r="H69" s="64">
        <f t="shared" si="3"/>
        <v>0.60439560439560436</v>
      </c>
      <c r="I69" t="e">
        <f t="shared" ca="1" si="4"/>
        <v>#NAME?</v>
      </c>
      <c r="J69" s="65" t="e">
        <f ca="1">_xlfn.TEXTJOIN(,0,E69,"/",F69,"/",G69," (",TEXT(H69,"0%"),")")</f>
        <v>#NAME?</v>
      </c>
    </row>
    <row r="70" spans="2:10">
      <c r="B70" s="12" t="s">
        <v>57</v>
      </c>
      <c r="C70" s="20">
        <f>IF(OR(H70=2,D70&gt;$D$8),2,IF(OR(H70=1,D70&gt;$D$9),1,0))</f>
        <v>0</v>
      </c>
      <c r="D70" s="20">
        <f t="shared" si="1"/>
        <v>0</v>
      </c>
      <c r="E70" s="20">
        <v>66</v>
      </c>
      <c r="F70" s="56">
        <v>66</v>
      </c>
      <c r="G70" s="56">
        <f t="shared" si="2"/>
        <v>0</v>
      </c>
      <c r="H70" s="64">
        <f t="shared" si="3"/>
        <v>0</v>
      </c>
      <c r="I70" t="str">
        <f t="shared" si="4"/>
        <v>Дефицит спецтехники не заявлен</v>
      </c>
      <c r="J70" s="65" t="e">
        <f ca="1">_xlfn.TEXTJOIN(,0,E70,"/",F70,"/",G70," (",TEXT(H70,"0%"),")")</f>
        <v>#NAME?</v>
      </c>
    </row>
    <row r="71" spans="2:10">
      <c r="B71" s="12" t="s">
        <v>58</v>
      </c>
      <c r="C71" s="20">
        <f>IF(OR(H71=2,D71&gt;$D$8),2,IF(OR(H71=1,D71&gt;$D$9),1,0))</f>
        <v>0</v>
      </c>
      <c r="D71" s="20">
        <f t="shared" si="1"/>
        <v>0</v>
      </c>
      <c r="E71" s="20">
        <v>149</v>
      </c>
      <c r="F71" s="56">
        <v>149</v>
      </c>
      <c r="G71" s="56">
        <f t="shared" si="2"/>
        <v>0</v>
      </c>
      <c r="H71" s="64">
        <f t="shared" si="3"/>
        <v>0</v>
      </c>
      <c r="I71" t="str">
        <f t="shared" si="4"/>
        <v>Дефицит спецтехники не заявлен</v>
      </c>
      <c r="J71" s="65" t="e">
        <f ca="1">_xlfn.TEXTJOIN(,0,E71,"/",F71,"/",G71," (",TEXT(H71,"0%"),")")</f>
        <v>#NAME?</v>
      </c>
    </row>
    <row r="72" spans="2:10">
      <c r="B72" s="12" t="s">
        <v>59</v>
      </c>
      <c r="C72" s="20">
        <f>IF(OR(H72=2,D72&gt;$D$8),2,IF(OR(H72=1,D72&gt;$D$9),1,0))</f>
        <v>0</v>
      </c>
      <c r="D72" s="20">
        <f t="shared" si="1"/>
        <v>0</v>
      </c>
      <c r="E72" s="20">
        <v>179</v>
      </c>
      <c r="F72" s="56">
        <v>179</v>
      </c>
      <c r="G72" s="56">
        <f t="shared" si="2"/>
        <v>0</v>
      </c>
      <c r="H72" s="64">
        <f t="shared" si="3"/>
        <v>0</v>
      </c>
      <c r="I72" t="str">
        <f t="shared" si="4"/>
        <v>Дефицит спецтехники не заявлен</v>
      </c>
      <c r="J72" s="65" t="e">
        <f ca="1">_xlfn.TEXTJOIN(,0,E72,"/",F72,"/",G72," (",TEXT(H72,"0%"),")")</f>
        <v>#NAME?</v>
      </c>
    </row>
    <row r="73" spans="2:10">
      <c r="B73" s="12" t="s">
        <v>60</v>
      </c>
      <c r="C73" s="20">
        <f>IF(OR(H73=2,D73&gt;$D$8),2,IF(OR(H73=1,D73&gt;$D$9),1,0))</f>
        <v>1</v>
      </c>
      <c r="D73" s="20">
        <f t="shared" si="1"/>
        <v>1</v>
      </c>
      <c r="E73" s="20">
        <v>507</v>
      </c>
      <c r="F73" s="56">
        <v>445</v>
      </c>
      <c r="G73" s="56">
        <f t="shared" si="2"/>
        <v>62</v>
      </c>
      <c r="H73" s="64">
        <f t="shared" si="3"/>
        <v>0.1222879684418146</v>
      </c>
      <c r="I73" t="e">
        <f t="shared" ca="1" si="4"/>
        <v>#NAME?</v>
      </c>
      <c r="J73" s="65" t="e">
        <f ca="1">_xlfn.TEXTJOIN(,0,E73,"/",F73,"/",G73," (",TEXT(H73,"0%"),")")</f>
        <v>#NAME?</v>
      </c>
    </row>
    <row r="74" spans="2:10">
      <c r="B74" s="12" t="s">
        <v>61</v>
      </c>
      <c r="C74" s="20">
        <f>IF(OR(H74=2,D74&gt;$D$8),2,IF(OR(H74=1,D74&gt;$D$9),1,0))</f>
        <v>1</v>
      </c>
      <c r="D74" s="20">
        <f t="shared" si="1"/>
        <v>1</v>
      </c>
      <c r="E74" s="20">
        <v>102</v>
      </c>
      <c r="F74" s="56">
        <v>92</v>
      </c>
      <c r="G74" s="56">
        <f t="shared" si="2"/>
        <v>10</v>
      </c>
      <c r="H74" s="64">
        <f t="shared" si="3"/>
        <v>9.8039215686274508E-2</v>
      </c>
      <c r="I74" t="e">
        <f t="shared" ca="1" si="4"/>
        <v>#NAME?</v>
      </c>
      <c r="J74" s="65" t="e">
        <f ca="1">_xlfn.TEXTJOIN(,0,E74,"/",F74,"/",G74," (",TEXT(H74,"0%"),")")</f>
        <v>#NAME?</v>
      </c>
    </row>
    <row r="75" spans="2:10">
      <c r="B75" s="12" t="s">
        <v>62</v>
      </c>
      <c r="C75" s="20">
        <f>IF(OR(H75=2,D75&gt;$D$8),2,IF(OR(H75=1,D75&gt;$D$9),1,0))</f>
        <v>1</v>
      </c>
      <c r="D75" s="20">
        <f t="shared" si="1"/>
        <v>1</v>
      </c>
      <c r="E75" s="20">
        <v>104</v>
      </c>
      <c r="F75" s="56">
        <v>86</v>
      </c>
      <c r="G75" s="56">
        <f t="shared" si="2"/>
        <v>18</v>
      </c>
      <c r="H75" s="64">
        <f t="shared" si="3"/>
        <v>0.17307692307692307</v>
      </c>
      <c r="I75" t="e">
        <f t="shared" ca="1" si="4"/>
        <v>#NAME?</v>
      </c>
      <c r="J75" s="65" t="e">
        <f ca="1">_xlfn.TEXTJOIN(,0,E75,"/",F75,"/",G75," (",TEXT(H75,"0%"),")")</f>
        <v>#NAME?</v>
      </c>
    </row>
    <row r="76" spans="2:10">
      <c r="B76" s="12" t="s">
        <v>63</v>
      </c>
      <c r="C76" s="20">
        <f>IF(OR(H76=2,D76&gt;$D$8),2,IF(OR(H76=1,D76&gt;$D$9),1,0))</f>
        <v>1</v>
      </c>
      <c r="D76" s="20">
        <f t="shared" si="1"/>
        <v>1</v>
      </c>
      <c r="E76" s="20">
        <v>153</v>
      </c>
      <c r="F76" s="56">
        <v>138</v>
      </c>
      <c r="G76" s="56">
        <f t="shared" si="2"/>
        <v>15</v>
      </c>
      <c r="H76" s="64">
        <f t="shared" si="3"/>
        <v>9.8039215686274508E-2</v>
      </c>
      <c r="I76" t="e">
        <f t="shared" ca="1" si="4"/>
        <v>#NAME?</v>
      </c>
      <c r="J76" s="65" t="e">
        <f ca="1">_xlfn.TEXTJOIN(,0,E76,"/",F76,"/",G76," (",TEXT(H76,"0%"),")")</f>
        <v>#NAME?</v>
      </c>
    </row>
    <row r="77" spans="2:10">
      <c r="B77" s="12" t="s">
        <v>64</v>
      </c>
      <c r="C77" s="20">
        <f>IF(OR(H77=2,D77&gt;$D$8),2,IF(OR(H77=1,D77&gt;$D$9),1,0))</f>
        <v>0</v>
      </c>
      <c r="D77" s="20">
        <f t="shared" si="1"/>
        <v>0</v>
      </c>
      <c r="E77" s="20">
        <v>67</v>
      </c>
      <c r="F77" s="56">
        <v>67</v>
      </c>
      <c r="G77" s="56">
        <f t="shared" si="2"/>
        <v>0</v>
      </c>
      <c r="H77" s="64">
        <f t="shared" si="3"/>
        <v>0</v>
      </c>
      <c r="I77" t="str">
        <f t="shared" si="4"/>
        <v>Дефицит спецтехники не заявлен</v>
      </c>
      <c r="J77" s="65" t="e">
        <f ca="1">_xlfn.TEXTJOIN(,0,E77,"/",F77,"/",G77," (",TEXT(H77,"0%"),")")</f>
        <v>#NAME?</v>
      </c>
    </row>
    <row r="78" spans="2:10">
      <c r="B78" s="12" t="s">
        <v>65</v>
      </c>
      <c r="C78" s="20">
        <f>IF(OR(H78=2,D78&gt;$D$8),2,IF(OR(H78=1,D78&gt;$D$9),1,0))</f>
        <v>0</v>
      </c>
      <c r="D78" s="20">
        <f t="shared" si="1"/>
        <v>0</v>
      </c>
      <c r="E78" s="20">
        <v>334</v>
      </c>
      <c r="F78" s="56">
        <v>320</v>
      </c>
      <c r="G78" s="56">
        <f t="shared" si="2"/>
        <v>14</v>
      </c>
      <c r="H78" s="64">
        <f t="shared" si="3"/>
        <v>4.1916167664670656E-2</v>
      </c>
      <c r="I78" t="e">
        <f t="shared" ca="1" si="4"/>
        <v>#NAME?</v>
      </c>
      <c r="J78" s="65" t="e">
        <f ca="1">_xlfn.TEXTJOIN(,0,E78,"/",F78,"/",G78," (",TEXT(H78,"0%"),")")</f>
        <v>#NAME?</v>
      </c>
    </row>
    <row r="79" spans="2:10">
      <c r="B79" s="12" t="s">
        <v>66</v>
      </c>
      <c r="C79" s="20">
        <f>IF(OR(H79=2,D79&gt;$D$8),2,IF(OR(H79=1,D79&gt;$D$9),1,0))</f>
        <v>2</v>
      </c>
      <c r="D79" s="20">
        <f t="shared" si="1"/>
        <v>2</v>
      </c>
      <c r="E79" s="20">
        <v>66</v>
      </c>
      <c r="F79" s="56">
        <v>46</v>
      </c>
      <c r="G79" s="56">
        <f t="shared" si="2"/>
        <v>20</v>
      </c>
      <c r="H79" s="64">
        <f t="shared" si="3"/>
        <v>0.30303030303030304</v>
      </c>
      <c r="I79" t="e">
        <f t="shared" ca="1" si="4"/>
        <v>#NAME?</v>
      </c>
      <c r="J79" s="65" t="e">
        <f ca="1">_xlfn.TEXTJOIN(,0,E79,"/",F79,"/",G79," (",TEXT(H79,"0%"),")")</f>
        <v>#NAME?</v>
      </c>
    </row>
    <row r="80" spans="2:10">
      <c r="B80" s="12" t="s">
        <v>67</v>
      </c>
      <c r="C80" s="20">
        <f>IF(OR(H80=2,D80&gt;$D$8),2,IF(OR(H80=1,D80&gt;$D$9),1,0))</f>
        <v>0</v>
      </c>
      <c r="D80" s="20">
        <f t="shared" si="1"/>
        <v>0</v>
      </c>
      <c r="E80" s="20">
        <v>41</v>
      </c>
      <c r="F80" s="56">
        <v>41</v>
      </c>
      <c r="G80" s="56">
        <f t="shared" si="2"/>
        <v>0</v>
      </c>
      <c r="H80" s="64">
        <f t="shared" si="3"/>
        <v>0</v>
      </c>
      <c r="I80" t="str">
        <f t="shared" si="4"/>
        <v>Дефицит спецтехники не заявлен</v>
      </c>
      <c r="J80" s="65" t="e">
        <f ca="1">_xlfn.TEXTJOIN(,0,E80,"/",F80,"/",G80," (",TEXT(H80,"0%"),")")</f>
        <v>#NAME?</v>
      </c>
    </row>
    <row r="81" spans="2:10">
      <c r="B81" s="12" t="s">
        <v>68</v>
      </c>
      <c r="C81" s="20">
        <f>IF(OR(H81=2,D81&gt;$D$8),2,IF(OR(H81=1,D81&gt;$D$9),1,0))</f>
        <v>1</v>
      </c>
      <c r="D81" s="20">
        <f t="shared" ref="D81:D104" si="5">IF(H81&gt;$H$8,2,IF(H81&gt;$H$10,1,0))</f>
        <v>1</v>
      </c>
      <c r="E81" s="20">
        <v>761</v>
      </c>
      <c r="F81" s="56">
        <v>689</v>
      </c>
      <c r="G81" s="56">
        <f t="shared" ref="G81:G104" si="6">E81-F81</f>
        <v>72</v>
      </c>
      <c r="H81" s="64">
        <f t="shared" ref="H81:H104" si="7">G81/(F81+G81)</f>
        <v>9.4612352168199743E-2</v>
      </c>
      <c r="I81" t="e">
        <f t="shared" ref="I81:I104" ca="1" si="8">IF(H81&gt;0,_xlfn.TEXTJOIN(,0,"Дефицит спецтехники составляет ",TEXT(H81,"0%")),"Дефицит спецтехники не заявлен")</f>
        <v>#NAME?</v>
      </c>
      <c r="J81" s="65" t="e">
        <f ca="1">_xlfn.TEXTJOIN(,0,E81,"/",F81,"/",G81," (",TEXT(H81,"0%"),")")</f>
        <v>#NAME?</v>
      </c>
    </row>
    <row r="82" spans="2:10">
      <c r="B82" s="12" t="s">
        <v>69</v>
      </c>
      <c r="C82" s="20">
        <f>IF(OR(H82=2,D82&gt;$D$8),2,IF(OR(H82=1,D82&gt;$D$9),1,0))</f>
        <v>1</v>
      </c>
      <c r="D82" s="20">
        <f t="shared" si="5"/>
        <v>1</v>
      </c>
      <c r="E82" s="20">
        <v>222</v>
      </c>
      <c r="F82" s="56">
        <v>186</v>
      </c>
      <c r="G82" s="56">
        <f t="shared" si="6"/>
        <v>36</v>
      </c>
      <c r="H82" s="64">
        <f t="shared" si="7"/>
        <v>0.16216216216216217</v>
      </c>
      <c r="I82" t="e">
        <f t="shared" ca="1" si="8"/>
        <v>#NAME?</v>
      </c>
      <c r="J82" s="65" t="e">
        <f ca="1">_xlfn.TEXTJOIN(,0,E82,"/",F82,"/",G82," (",TEXT(H82,"0%"),")")</f>
        <v>#NAME?</v>
      </c>
    </row>
    <row r="83" spans="2:10">
      <c r="B83" s="12" t="s">
        <v>70</v>
      </c>
      <c r="C83" s="20">
        <f>IF(OR(H83=2,D83&gt;$D$8),2,IF(OR(H83=1,D83&gt;$D$9),1,0))</f>
        <v>0</v>
      </c>
      <c r="D83" s="20">
        <f t="shared" si="5"/>
        <v>0</v>
      </c>
      <c r="E83" s="20">
        <v>756</v>
      </c>
      <c r="F83" s="56">
        <v>739</v>
      </c>
      <c r="G83" s="56">
        <f t="shared" si="6"/>
        <v>17</v>
      </c>
      <c r="H83" s="64">
        <f t="shared" si="7"/>
        <v>2.2486772486772486E-2</v>
      </c>
      <c r="I83" t="e">
        <f t="shared" ca="1" si="8"/>
        <v>#NAME?</v>
      </c>
      <c r="J83" s="65" t="e">
        <f ca="1">_xlfn.TEXTJOIN(,0,E83,"/",F83,"/",G83," (",TEXT(H83,"0%"),")")</f>
        <v>#NAME?</v>
      </c>
    </row>
    <row r="84" spans="2:10">
      <c r="B84" s="12" t="s">
        <v>71</v>
      </c>
      <c r="C84" s="20">
        <f>IF(OR(H84=2,D84&gt;$D$8),2,IF(OR(H84=1,D84&gt;$D$9),1,0))</f>
        <v>0</v>
      </c>
      <c r="D84" s="20">
        <f t="shared" si="5"/>
        <v>0</v>
      </c>
      <c r="E84" s="20">
        <v>313</v>
      </c>
      <c r="F84" s="56">
        <v>303</v>
      </c>
      <c r="G84" s="56">
        <f t="shared" si="6"/>
        <v>10</v>
      </c>
      <c r="H84" s="64">
        <f t="shared" si="7"/>
        <v>3.1948881789137379E-2</v>
      </c>
      <c r="I84" t="e">
        <f t="shared" ca="1" si="8"/>
        <v>#NAME?</v>
      </c>
      <c r="J84" s="65" t="e">
        <f ca="1">_xlfn.TEXTJOIN(,0,E84,"/",F84,"/",G84," (",TEXT(H84,"0%"),")")</f>
        <v>#NAME?</v>
      </c>
    </row>
    <row r="85" spans="2:10">
      <c r="B85" s="12" t="s">
        <v>72</v>
      </c>
      <c r="C85" s="20">
        <f>IF(OR(H85=2,D85&gt;$D$8),2,IF(OR(H85=1,D85&gt;$D$9),1,0))</f>
        <v>0</v>
      </c>
      <c r="D85" s="20">
        <f t="shared" si="5"/>
        <v>0</v>
      </c>
      <c r="E85" s="20">
        <v>164</v>
      </c>
      <c r="F85" s="56">
        <v>155</v>
      </c>
      <c r="G85" s="56">
        <f t="shared" si="6"/>
        <v>9</v>
      </c>
      <c r="H85" s="64">
        <f t="shared" si="7"/>
        <v>5.4878048780487805E-2</v>
      </c>
      <c r="I85" t="e">
        <f t="shared" ca="1" si="8"/>
        <v>#NAME?</v>
      </c>
      <c r="J85" s="65" t="e">
        <f ca="1">_xlfn.TEXTJOIN(,0,E85,"/",F85,"/",G85," (",TEXT(H85,"0%"),")")</f>
        <v>#NAME?</v>
      </c>
    </row>
    <row r="86" spans="2:10">
      <c r="B86" s="12" t="s">
        <v>73</v>
      </c>
      <c r="C86" s="20">
        <f>IF(OR(H86=2,D86&gt;$D$8),2,IF(OR(H86=1,D86&gt;$D$9),1,0))</f>
        <v>0</v>
      </c>
      <c r="D86" s="20">
        <f t="shared" si="5"/>
        <v>0</v>
      </c>
      <c r="E86" s="20">
        <v>682</v>
      </c>
      <c r="F86" s="56">
        <v>664</v>
      </c>
      <c r="G86" s="56">
        <f t="shared" si="6"/>
        <v>18</v>
      </c>
      <c r="H86" s="64">
        <f t="shared" si="7"/>
        <v>2.6392961876832845E-2</v>
      </c>
      <c r="I86" t="e">
        <f t="shared" ca="1" si="8"/>
        <v>#NAME?</v>
      </c>
      <c r="J86" s="65" t="e">
        <f ca="1">_xlfn.TEXTJOIN(,0,E86,"/",F86,"/",G86," (",TEXT(H86,"0%"),")")</f>
        <v>#NAME?</v>
      </c>
    </row>
    <row r="87" spans="2:10">
      <c r="B87" s="12" t="s">
        <v>74</v>
      </c>
      <c r="C87" s="20">
        <f>IF(OR(H87=2,D87&gt;$D$8),2,IF(OR(H87=1,D87&gt;$D$9),1,0))</f>
        <v>0</v>
      </c>
      <c r="D87" s="20">
        <f t="shared" si="5"/>
        <v>0</v>
      </c>
      <c r="E87" s="20">
        <v>113</v>
      </c>
      <c r="F87" s="56">
        <v>107</v>
      </c>
      <c r="G87" s="56">
        <f t="shared" si="6"/>
        <v>6</v>
      </c>
      <c r="H87" s="64">
        <f t="shared" si="7"/>
        <v>5.3097345132743362E-2</v>
      </c>
      <c r="I87" t="e">
        <f t="shared" ca="1" si="8"/>
        <v>#NAME?</v>
      </c>
      <c r="J87" s="65" t="e">
        <f ca="1">_xlfn.TEXTJOIN(,0,E87,"/",F87,"/",G87," (",TEXT(H87,"0%"),")")</f>
        <v>#NAME?</v>
      </c>
    </row>
    <row r="88" spans="2:10">
      <c r="B88" s="12" t="s">
        <v>75</v>
      </c>
      <c r="C88" s="20">
        <f>IF(OR(H88=2,D88&gt;$D$8),2,IF(OR(H88=1,D88&gt;$D$9),1,0))</f>
        <v>1</v>
      </c>
      <c r="D88" s="20">
        <f t="shared" si="5"/>
        <v>1</v>
      </c>
      <c r="E88" s="20">
        <v>783</v>
      </c>
      <c r="F88" s="56">
        <v>679</v>
      </c>
      <c r="G88" s="56">
        <f t="shared" si="6"/>
        <v>104</v>
      </c>
      <c r="H88" s="64">
        <f t="shared" si="7"/>
        <v>0.13282247765006386</v>
      </c>
      <c r="I88" t="e">
        <f t="shared" ca="1" si="8"/>
        <v>#NAME?</v>
      </c>
      <c r="J88" s="65" t="e">
        <f ca="1">_xlfn.TEXTJOIN(,0,E88,"/",F88,"/",G88," (",TEXT(H88,"0%"),")")</f>
        <v>#NAME?</v>
      </c>
    </row>
    <row r="89" spans="2:10">
      <c r="B89" s="12" t="s">
        <v>76</v>
      </c>
      <c r="C89" s="20">
        <f>IF(OR(H89=2,D89&gt;$D$8),2,IF(OR(H89=1,D89&gt;$D$9),1,0))</f>
        <v>0</v>
      </c>
      <c r="D89" s="20">
        <f t="shared" si="5"/>
        <v>0</v>
      </c>
      <c r="E89" s="20">
        <v>227</v>
      </c>
      <c r="F89" s="56">
        <v>215</v>
      </c>
      <c r="G89" s="56">
        <f t="shared" si="6"/>
        <v>12</v>
      </c>
      <c r="H89" s="64">
        <f t="shared" si="7"/>
        <v>5.2863436123348019E-2</v>
      </c>
      <c r="I89" t="e">
        <f t="shared" ca="1" si="8"/>
        <v>#NAME?</v>
      </c>
      <c r="J89" s="65" t="e">
        <f ca="1">_xlfn.TEXTJOIN(,0,E89,"/",F89,"/",G89," (",TEXT(H89,"0%"),")")</f>
        <v>#NAME?</v>
      </c>
    </row>
    <row r="90" spans="2:10">
      <c r="B90" s="12" t="s">
        <v>77</v>
      </c>
      <c r="C90" s="20">
        <f>IF(OR(H90=2,D90&gt;$D$8),2,IF(OR(H90=1,D90&gt;$D$9),1,0))</f>
        <v>2</v>
      </c>
      <c r="D90" s="20">
        <f t="shared" si="5"/>
        <v>2</v>
      </c>
      <c r="E90" s="20">
        <v>335</v>
      </c>
      <c r="F90" s="56">
        <v>255</v>
      </c>
      <c r="G90" s="56">
        <f t="shared" si="6"/>
        <v>80</v>
      </c>
      <c r="H90" s="64">
        <f t="shared" si="7"/>
        <v>0.23880597014925373</v>
      </c>
      <c r="I90" t="e">
        <f t="shared" ca="1" si="8"/>
        <v>#NAME?</v>
      </c>
      <c r="J90" s="65" t="e">
        <f ca="1">_xlfn.TEXTJOIN(,0,E90,"/",F90,"/",G90," (",TEXT(H90,"0%"),")")</f>
        <v>#NAME?</v>
      </c>
    </row>
    <row r="91" spans="2:10">
      <c r="B91" s="12" t="s">
        <v>78</v>
      </c>
      <c r="C91" s="20">
        <f>IF(OR(H91=2,D91&gt;$D$8),2,IF(OR(H91=1,D91&gt;$D$9),1,0))</f>
        <v>1</v>
      </c>
      <c r="D91" s="20">
        <f t="shared" si="5"/>
        <v>1</v>
      </c>
      <c r="E91" s="20">
        <v>202</v>
      </c>
      <c r="F91" s="56">
        <v>170</v>
      </c>
      <c r="G91" s="56">
        <f t="shared" si="6"/>
        <v>32</v>
      </c>
      <c r="H91" s="64">
        <f t="shared" si="7"/>
        <v>0.15841584158415842</v>
      </c>
      <c r="I91" t="e">
        <f t="shared" ca="1" si="8"/>
        <v>#NAME?</v>
      </c>
      <c r="J91" s="65" t="e">
        <f ca="1">_xlfn.TEXTJOIN(,0,E91,"/",F91,"/",G91," (",TEXT(H91,"0%"),")")</f>
        <v>#NAME?</v>
      </c>
    </row>
    <row r="92" spans="2:10">
      <c r="B92" s="12" t="s">
        <v>79</v>
      </c>
      <c r="C92" s="20">
        <f>IF(OR(H92=2,D92&gt;$D$8),2,IF(OR(H92=1,D92&gt;$D$9),1,0))</f>
        <v>1</v>
      </c>
      <c r="D92" s="20">
        <f t="shared" si="5"/>
        <v>1</v>
      </c>
      <c r="E92" s="20">
        <v>272</v>
      </c>
      <c r="F92" s="56">
        <v>243</v>
      </c>
      <c r="G92" s="56">
        <f t="shared" si="6"/>
        <v>29</v>
      </c>
      <c r="H92" s="64">
        <f t="shared" si="7"/>
        <v>0.10661764705882353</v>
      </c>
      <c r="I92" t="e">
        <f t="shared" ca="1" si="8"/>
        <v>#NAME?</v>
      </c>
      <c r="J92" s="65" t="e">
        <f ca="1">_xlfn.TEXTJOIN(,0,E92,"/",F92,"/",G92," (",TEXT(H92,"0%"),")")</f>
        <v>#NAME?</v>
      </c>
    </row>
    <row r="93" spans="2:10">
      <c r="B93" s="12" t="s">
        <v>80</v>
      </c>
      <c r="C93" s="20">
        <f>IF(OR(H93=2,D93&gt;$D$8),2,IF(OR(H93=1,D93&gt;$D$9),1,0))</f>
        <v>0</v>
      </c>
      <c r="D93" s="20">
        <f t="shared" si="5"/>
        <v>0</v>
      </c>
      <c r="E93" s="20">
        <v>301</v>
      </c>
      <c r="F93" s="56">
        <v>298</v>
      </c>
      <c r="G93" s="56">
        <f t="shared" si="6"/>
        <v>3</v>
      </c>
      <c r="H93" s="64">
        <f t="shared" si="7"/>
        <v>9.9667774086378731E-3</v>
      </c>
      <c r="I93" t="e">
        <f t="shared" ca="1" si="8"/>
        <v>#NAME?</v>
      </c>
      <c r="J93" s="65" t="e">
        <f ca="1">_xlfn.TEXTJOIN(,0,E93,"/",F93,"/",G93," (",TEXT(H93,"0%"),")")</f>
        <v>#NAME?</v>
      </c>
    </row>
    <row r="94" spans="2:10">
      <c r="B94" s="12" t="s">
        <v>81</v>
      </c>
      <c r="C94" s="20">
        <f>IF(OR(H94=2,D94&gt;$D$8),2,IF(OR(H94=1,D94&gt;$D$9),1,0))</f>
        <v>1</v>
      </c>
      <c r="D94" s="20">
        <f t="shared" si="5"/>
        <v>1</v>
      </c>
      <c r="E94" s="20">
        <v>201</v>
      </c>
      <c r="F94" s="56">
        <v>179</v>
      </c>
      <c r="G94" s="56">
        <f t="shared" si="6"/>
        <v>22</v>
      </c>
      <c r="H94" s="64">
        <f t="shared" si="7"/>
        <v>0.10945273631840796</v>
      </c>
      <c r="I94" t="e">
        <f t="shared" ca="1" si="8"/>
        <v>#NAME?</v>
      </c>
      <c r="J94" s="65" t="e">
        <f ca="1">_xlfn.TEXTJOIN(,0,E94,"/",F94,"/",G94," (",TEXT(H94,"0%"),")")</f>
        <v>#NAME?</v>
      </c>
    </row>
    <row r="95" spans="2:10">
      <c r="B95" s="12" t="s">
        <v>82</v>
      </c>
      <c r="C95" s="20">
        <f>IF(OR(H95=2,D95&gt;$D$8),2,IF(OR(H95=1,D95&gt;$D$9),1,0))</f>
        <v>0</v>
      </c>
      <c r="D95" s="20">
        <f t="shared" si="5"/>
        <v>0</v>
      </c>
      <c r="E95" s="20">
        <v>151</v>
      </c>
      <c r="F95" s="56">
        <v>140</v>
      </c>
      <c r="G95" s="56">
        <f t="shared" si="6"/>
        <v>11</v>
      </c>
      <c r="H95" s="64">
        <f t="shared" si="7"/>
        <v>7.2847682119205295E-2</v>
      </c>
      <c r="I95" t="e">
        <f t="shared" ca="1" si="8"/>
        <v>#NAME?</v>
      </c>
      <c r="J95" s="65" t="e">
        <f ca="1">_xlfn.TEXTJOIN(,0,E95,"/",F95,"/",G95," (",TEXT(H95,"0%"),")")</f>
        <v>#NAME?</v>
      </c>
    </row>
    <row r="96" spans="2:10">
      <c r="B96" s="12" t="s">
        <v>83</v>
      </c>
      <c r="C96" s="20">
        <f>IF(OR(H96=2,D96&gt;$D$8),2,IF(OR(H96=1,D96&gt;$D$9),1,0))</f>
        <v>2</v>
      </c>
      <c r="D96" s="20">
        <f t="shared" si="5"/>
        <v>2</v>
      </c>
      <c r="E96" s="20">
        <v>299</v>
      </c>
      <c r="F96" s="56">
        <v>142</v>
      </c>
      <c r="G96" s="56">
        <f t="shared" si="6"/>
        <v>157</v>
      </c>
      <c r="H96" s="64">
        <f t="shared" si="7"/>
        <v>0.52508361204013376</v>
      </c>
      <c r="I96" t="e">
        <f t="shared" ca="1" si="8"/>
        <v>#NAME?</v>
      </c>
      <c r="J96" s="65" t="e">
        <f ca="1">_xlfn.TEXTJOIN(,0,E96,"/",F96,"/",G96," (",TEXT(H96,"0%"),")")</f>
        <v>#NAME?</v>
      </c>
    </row>
    <row r="97" spans="2:10">
      <c r="B97" s="12" t="s">
        <v>84</v>
      </c>
      <c r="C97" s="20">
        <f>IF(OR(H97=2,D97&gt;$D$8),2,IF(OR(H97=1,D97&gt;$D$9),1,0))</f>
        <v>0</v>
      </c>
      <c r="D97" s="20">
        <f t="shared" si="5"/>
        <v>0</v>
      </c>
      <c r="E97" s="20">
        <v>328</v>
      </c>
      <c r="F97" s="56">
        <v>309</v>
      </c>
      <c r="G97" s="56">
        <f t="shared" si="6"/>
        <v>19</v>
      </c>
      <c r="H97" s="64">
        <f t="shared" si="7"/>
        <v>5.7926829268292686E-2</v>
      </c>
      <c r="I97" t="e">
        <f t="shared" ca="1" si="8"/>
        <v>#NAME?</v>
      </c>
      <c r="J97" s="65" t="e">
        <f ca="1">_xlfn.TEXTJOIN(,0,E97,"/",F97,"/",G97," (",TEXT(H97,"0%"),")")</f>
        <v>#NAME?</v>
      </c>
    </row>
    <row r="98" spans="2:10">
      <c r="B98" s="12" t="s">
        <v>166</v>
      </c>
      <c r="C98" s="20">
        <f>IF(OR(H98=2,D98&gt;$D$8),2,IF(OR(H98=1,D98&gt;$D$9),1,0))</f>
        <v>1</v>
      </c>
      <c r="D98" s="20">
        <f t="shared" si="5"/>
        <v>1</v>
      </c>
      <c r="E98" s="20">
        <v>50</v>
      </c>
      <c r="F98" s="56">
        <v>42</v>
      </c>
      <c r="G98" s="56">
        <f t="shared" si="6"/>
        <v>8</v>
      </c>
      <c r="H98" s="64">
        <f t="shared" si="7"/>
        <v>0.16</v>
      </c>
      <c r="I98" t="e">
        <f t="shared" ca="1" si="8"/>
        <v>#NAME?</v>
      </c>
      <c r="J98" s="65" t="e">
        <f ca="1">_xlfn.TEXTJOIN(,0,E98,"/",F98,"/",G98," (",TEXT(H98,"0%"),")")</f>
        <v>#NAME?</v>
      </c>
    </row>
    <row r="99" spans="2:10">
      <c r="B99" s="12" t="s">
        <v>85</v>
      </c>
      <c r="C99" s="20">
        <f>IF(OR(H99=2,D99&gt;$D$8),2,IF(OR(H99=1,D99&gt;$D$9),1,0))</f>
        <v>0</v>
      </c>
      <c r="D99" s="20">
        <f t="shared" si="5"/>
        <v>0</v>
      </c>
      <c r="E99" s="20">
        <v>484</v>
      </c>
      <c r="F99" s="56">
        <v>444</v>
      </c>
      <c r="G99" s="56">
        <f t="shared" si="6"/>
        <v>40</v>
      </c>
      <c r="H99" s="64">
        <f t="shared" si="7"/>
        <v>8.2644628099173556E-2</v>
      </c>
      <c r="I99" t="e">
        <f t="shared" ca="1" si="8"/>
        <v>#NAME?</v>
      </c>
      <c r="J99" s="65" t="e">
        <f ca="1">_xlfn.TEXTJOIN(,0,E99,"/",F99,"/",G99," (",TEXT(H99,"0%"),")")</f>
        <v>#NAME?</v>
      </c>
    </row>
    <row r="100" spans="2:10">
      <c r="B100" s="12" t="s">
        <v>86</v>
      </c>
      <c r="C100" s="20">
        <f>IF(OR(H100=2,D100&gt;$D$8),2,IF(OR(H100=1,D100&gt;$D$9),1,0))</f>
        <v>0</v>
      </c>
      <c r="D100" s="20">
        <f t="shared" si="5"/>
        <v>0</v>
      </c>
      <c r="E100" s="20">
        <v>111</v>
      </c>
      <c r="F100" s="56">
        <v>111</v>
      </c>
      <c r="G100" s="56">
        <f t="shared" si="6"/>
        <v>0</v>
      </c>
      <c r="H100" s="64">
        <f t="shared" si="7"/>
        <v>0</v>
      </c>
      <c r="I100" t="str">
        <f t="shared" si="8"/>
        <v>Дефицит спецтехники не заявлен</v>
      </c>
      <c r="J100" s="65" t="e">
        <f ca="1">_xlfn.TEXTJOIN(,0,E100,"/",F100,"/",G100," (",TEXT(H100,"0%"),")")</f>
        <v>#NAME?</v>
      </c>
    </row>
    <row r="101" spans="2:10">
      <c r="B101" s="12" t="s">
        <v>87</v>
      </c>
      <c r="C101" s="20">
        <f>IF(OR(H101=2,D101&gt;$D$8),2,IF(OR(H101=1,D101&gt;$D$9),1,0))</f>
        <v>0</v>
      </c>
      <c r="D101" s="20">
        <f t="shared" si="5"/>
        <v>0</v>
      </c>
      <c r="E101" s="20">
        <v>149</v>
      </c>
      <c r="F101" s="56">
        <v>149</v>
      </c>
      <c r="G101" s="56">
        <f t="shared" si="6"/>
        <v>0</v>
      </c>
      <c r="H101" s="64">
        <f t="shared" si="7"/>
        <v>0</v>
      </c>
      <c r="I101" t="str">
        <f t="shared" si="8"/>
        <v>Дефицит спецтехники не заявлен</v>
      </c>
      <c r="J101" s="65" t="e">
        <f ca="1">_xlfn.TEXTJOIN(,0,E101,"/",F101,"/",G101," (",TEXT(H101,"0%"),")")</f>
        <v>#NAME?</v>
      </c>
    </row>
    <row r="102" spans="2:10">
      <c r="B102" s="12" t="s">
        <v>88</v>
      </c>
      <c r="C102" s="20">
        <f>IF(OR(H102=2,D102&gt;$D$8),2,IF(OR(H102=1,D102&gt;$D$9),1,0))</f>
        <v>2</v>
      </c>
      <c r="D102" s="20">
        <f t="shared" si="5"/>
        <v>2</v>
      </c>
      <c r="E102" s="20">
        <v>50</v>
      </c>
      <c r="F102" s="56">
        <v>40</v>
      </c>
      <c r="G102" s="56">
        <f t="shared" si="6"/>
        <v>10</v>
      </c>
      <c r="H102" s="64">
        <f t="shared" si="7"/>
        <v>0.2</v>
      </c>
      <c r="I102" t="e">
        <f t="shared" ca="1" si="8"/>
        <v>#NAME?</v>
      </c>
      <c r="J102" s="65" t="e">
        <f ca="1">_xlfn.TEXTJOIN(,0,E102,"/",F102,"/",G102," (",TEXT(H102,"0%"),")")</f>
        <v>#NAME?</v>
      </c>
    </row>
    <row r="103" spans="2:10">
      <c r="B103" s="12" t="s">
        <v>89</v>
      </c>
      <c r="C103" s="20">
        <f>IF(OR(H103=2,D103&gt;$D$8),2,IF(OR(H103=1,D103&gt;$D$9),1,0))</f>
        <v>0</v>
      </c>
      <c r="D103" s="20">
        <f t="shared" si="5"/>
        <v>0</v>
      </c>
      <c r="E103" s="20">
        <v>222</v>
      </c>
      <c r="F103" s="56">
        <v>222</v>
      </c>
      <c r="G103" s="56">
        <f t="shared" si="6"/>
        <v>0</v>
      </c>
      <c r="H103" s="64">
        <f t="shared" si="7"/>
        <v>0</v>
      </c>
      <c r="I103" t="str">
        <f t="shared" si="8"/>
        <v>Дефицит спецтехники не заявлен</v>
      </c>
      <c r="J103" s="65" t="e">
        <f ca="1">_xlfn.TEXTJOIN(,0,E103,"/",F103,"/",G103," (",TEXT(H103,"0%"),")")</f>
        <v>#NAME?</v>
      </c>
    </row>
    <row r="104" spans="2:10">
      <c r="B104" s="12" t="s">
        <v>90</v>
      </c>
      <c r="C104" s="20">
        <f>IF(OR(H104=2,D104&gt;$D$8),2,IF(OR(H104=1,D104&gt;$D$9),1,0))</f>
        <v>0</v>
      </c>
      <c r="D104" s="20">
        <f t="shared" si="5"/>
        <v>0</v>
      </c>
      <c r="E104" s="20">
        <v>298</v>
      </c>
      <c r="F104" s="56">
        <v>298</v>
      </c>
      <c r="G104" s="56">
        <f t="shared" si="6"/>
        <v>0</v>
      </c>
      <c r="H104" s="64">
        <f t="shared" si="7"/>
        <v>0</v>
      </c>
      <c r="I104" t="str">
        <f t="shared" si="8"/>
        <v>Дефицит спецтехники не заявлен</v>
      </c>
      <c r="J104" s="65" t="e">
        <f ca="1">_xlfn.TEXTJOIN(,0,E104,"/",F104,"/",G104," (",TEXT(H104,"0%"),")")</f>
        <v>#NAME?</v>
      </c>
    </row>
    <row r="105" spans="2:10">
      <c r="B105" s="12"/>
      <c r="C105" s="20"/>
      <c r="D105" s="24"/>
      <c r="E105" s="24"/>
      <c r="F105" s="20"/>
      <c r="G105" s="20"/>
      <c r="H105" s="64"/>
    </row>
    <row r="106" spans="2:10">
      <c r="B106" s="12"/>
      <c r="C106" s="20"/>
      <c r="D106" s="24"/>
      <c r="E106" s="24"/>
      <c r="F106" s="20"/>
      <c r="G106" s="20"/>
      <c r="H106" s="64"/>
    </row>
    <row r="107" spans="2:10">
      <c r="B107" s="12"/>
      <c r="C107" s="20"/>
      <c r="D107" s="24"/>
      <c r="E107" s="24"/>
      <c r="F107" s="20"/>
      <c r="G107" s="20"/>
      <c r="H107" s="64"/>
    </row>
    <row r="108" spans="2:10">
      <c r="B108" s="12"/>
      <c r="C108" s="20"/>
      <c r="D108" s="24"/>
      <c r="E108" s="24"/>
      <c r="F108" s="20"/>
      <c r="G108" s="20"/>
      <c r="H108" s="64"/>
    </row>
  </sheetData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B109"/>
  <sheetViews>
    <sheetView zoomScale="85" zoomScaleNormal="85" workbookViewId="0">
      <pane xSplit="2" ySplit="15" topLeftCell="C16" activePane="bottomRight" state="frozen"/>
      <selection pane="topRight"/>
      <selection pane="bottomLeft"/>
      <selection pane="bottomRight" activeCell="H1" sqref="H1:H1048576"/>
    </sheetView>
  </sheetViews>
  <sheetFormatPr defaultColWidth="10.8984375" defaultRowHeight="15"/>
  <cols>
    <col min="1" max="1" width="10.8984375" style="9"/>
    <col min="2" max="2" width="30.59765625" style="9" customWidth="1"/>
    <col min="3" max="7" width="13.5" style="13" customWidth="1"/>
    <col min="8" max="13" width="13.5" style="8" customWidth="1"/>
    <col min="14" max="16" width="13.5" style="14" customWidth="1"/>
    <col min="17" max="17" width="13.5" style="84" customWidth="1"/>
    <col min="18" max="19" width="13.5" style="14" customWidth="1"/>
    <col min="20" max="20" width="58.5" style="14" customWidth="1"/>
    <col min="21" max="21" width="32" style="9" customWidth="1"/>
    <col min="22" max="22" width="42.8984375" style="9" customWidth="1"/>
    <col min="23" max="23" width="61.59765625" style="9" customWidth="1"/>
    <col min="24" max="24" width="12.09765625" style="9" customWidth="1"/>
    <col min="25" max="25" width="12" style="9" customWidth="1"/>
    <col min="26" max="26" width="48.5" style="9" customWidth="1"/>
    <col min="27" max="27" width="56.3984375" style="9" customWidth="1"/>
    <col min="28" max="28" width="19.8984375" style="69" customWidth="1"/>
    <col min="29" max="16384" width="10.8984375" style="9"/>
  </cols>
  <sheetData>
    <row r="1" spans="1:28">
      <c r="A1" s="9">
        <v>1</v>
      </c>
      <c r="B1" s="9">
        <f>A1+1</f>
        <v>2</v>
      </c>
      <c r="C1" s="9">
        <f t="shared" ref="C1:AB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</row>
    <row r="2" spans="1:28" ht="15.6">
      <c r="B2" s="7" t="s">
        <v>5</v>
      </c>
    </row>
    <row r="4" spans="1:28" s="7" customFormat="1" ht="15.6">
      <c r="B4" s="7" t="s">
        <v>574</v>
      </c>
      <c r="C4" s="50" t="s">
        <v>573</v>
      </c>
      <c r="D4" s="50"/>
      <c r="E4" s="51"/>
      <c r="F4" s="51"/>
      <c r="G4" s="50"/>
      <c r="H4" s="50"/>
      <c r="I4" s="52"/>
      <c r="J4" s="52"/>
      <c r="K4" s="52"/>
      <c r="L4" s="52"/>
      <c r="M4" s="52"/>
      <c r="N4" s="52"/>
      <c r="O4" s="53"/>
      <c r="P4" s="53"/>
      <c r="Q4" s="85"/>
      <c r="R4" s="53"/>
      <c r="S4" s="53"/>
      <c r="T4" s="53"/>
      <c r="U4" s="53"/>
      <c r="AB4" s="70"/>
    </row>
    <row r="5" spans="1:28">
      <c r="B5" s="9" t="s">
        <v>588</v>
      </c>
      <c r="C5" s="263">
        <v>45574</v>
      </c>
      <c r="E5" s="38"/>
      <c r="F5" s="38"/>
      <c r="H5" s="13"/>
      <c r="N5" s="8"/>
      <c r="U5" s="14"/>
    </row>
    <row r="7" spans="1:28">
      <c r="B7" s="9" t="s">
        <v>92</v>
      </c>
      <c r="N7" s="14">
        <f>N9/2</f>
        <v>2.9721221689744008</v>
      </c>
      <c r="R7" s="15">
        <v>0</v>
      </c>
      <c r="S7" s="15">
        <f>S15</f>
        <v>0.67392218341499344</v>
      </c>
    </row>
    <row r="8" spans="1:28">
      <c r="B8" s="9" t="s">
        <v>93</v>
      </c>
      <c r="D8" s="14">
        <v>1.5</v>
      </c>
      <c r="K8" s="9"/>
      <c r="O8" s="16"/>
      <c r="Q8" s="86"/>
      <c r="R8" s="15">
        <f>R10*2</f>
        <v>0.36757990867579909</v>
      </c>
    </row>
    <row r="9" spans="1:28">
      <c r="B9" s="9" t="s">
        <v>94</v>
      </c>
      <c r="D9" s="14">
        <v>0.5</v>
      </c>
      <c r="N9" s="14">
        <f>N15</f>
        <v>5.9442443379488017</v>
      </c>
      <c r="S9" s="15">
        <f>S7+(1-S7)/2</f>
        <v>0.83696109170749677</v>
      </c>
    </row>
    <row r="10" spans="1:28">
      <c r="B10" s="9" t="s">
        <v>95</v>
      </c>
      <c r="K10" s="17"/>
      <c r="R10" s="15">
        <f>R15</f>
        <v>0.18378995433789955</v>
      </c>
    </row>
    <row r="11" spans="1:28">
      <c r="B11" s="9" t="s">
        <v>96</v>
      </c>
      <c r="C11" s="15"/>
      <c r="E11" s="15">
        <v>0</v>
      </c>
      <c r="F11" s="15">
        <v>0</v>
      </c>
      <c r="G11" s="15">
        <v>1</v>
      </c>
    </row>
    <row r="12" spans="1:28">
      <c r="C12" s="15"/>
      <c r="E12" s="15"/>
      <c r="F12" s="15"/>
      <c r="G12" s="15"/>
      <c r="K12" s="9"/>
      <c r="O12" s="9"/>
      <c r="Q12" s="86"/>
    </row>
    <row r="14" spans="1:28" s="11" customFormat="1" ht="60">
      <c r="B14" s="11" t="s">
        <v>0</v>
      </c>
      <c r="C14" s="18" t="s">
        <v>118</v>
      </c>
      <c r="D14" s="18" t="s">
        <v>117</v>
      </c>
      <c r="E14" s="18" t="s">
        <v>114</v>
      </c>
      <c r="F14" s="18" t="s">
        <v>115</v>
      </c>
      <c r="G14" s="18" t="s">
        <v>116</v>
      </c>
      <c r="H14" s="10" t="s">
        <v>6</v>
      </c>
      <c r="I14" s="10" t="s">
        <v>7</v>
      </c>
      <c r="J14" s="10" t="s">
        <v>100</v>
      </c>
      <c r="K14" s="10" t="s">
        <v>8</v>
      </c>
      <c r="L14" s="10" t="s">
        <v>101</v>
      </c>
      <c r="M14" s="10" t="s">
        <v>104</v>
      </c>
      <c r="N14" s="19" t="s">
        <v>597</v>
      </c>
      <c r="O14" s="19" t="s">
        <v>91</v>
      </c>
      <c r="P14" s="19" t="s">
        <v>97</v>
      </c>
      <c r="Q14" s="87" t="s">
        <v>620</v>
      </c>
      <c r="R14" s="19" t="s">
        <v>102</v>
      </c>
      <c r="S14" s="19" t="s">
        <v>103</v>
      </c>
      <c r="T14" s="19" t="s">
        <v>108</v>
      </c>
      <c r="U14" s="19" t="s">
        <v>107</v>
      </c>
      <c r="V14" s="19" t="s">
        <v>120</v>
      </c>
      <c r="W14" s="19" t="s">
        <v>109</v>
      </c>
      <c r="X14" s="19" t="s">
        <v>121</v>
      </c>
      <c r="Y14" s="19" t="s">
        <v>113</v>
      </c>
      <c r="Z14" s="19" t="s">
        <v>110</v>
      </c>
      <c r="AA14" s="19" t="s">
        <v>112</v>
      </c>
      <c r="AB14" s="68" t="s">
        <v>135</v>
      </c>
    </row>
    <row r="15" spans="1:28" s="11" customFormat="1">
      <c r="B15" s="11" t="s">
        <v>105</v>
      </c>
      <c r="C15" s="20"/>
      <c r="D15" s="20"/>
      <c r="E15" s="20"/>
      <c r="F15" s="20"/>
      <c r="G15" s="20"/>
      <c r="H15" s="21">
        <f t="shared" ref="H15:M15" si="1">SUM(H16:H104)</f>
        <v>146150789</v>
      </c>
      <c r="I15" s="54">
        <f>SUM(I16:I104)</f>
        <v>980980</v>
      </c>
      <c r="J15" s="54">
        <f>SUM(J16:J104)</f>
        <v>868756</v>
      </c>
      <c r="K15" s="54">
        <f t="shared" si="1"/>
        <v>1455628</v>
      </c>
      <c r="L15" s="54">
        <f t="shared" si="1"/>
        <v>220892</v>
      </c>
      <c r="M15" s="21">
        <f t="shared" si="1"/>
        <v>1517602</v>
      </c>
      <c r="N15" s="22">
        <f>J15/$H15*1000</f>
        <v>5.9442443379488017</v>
      </c>
      <c r="O15" s="22">
        <f>K15/$H15*1000</f>
        <v>9.9597683321435913</v>
      </c>
      <c r="P15" s="22">
        <f>SUMPRODUCT(P16:P104,H16:H104)/H15</f>
        <v>10.165740535276891</v>
      </c>
      <c r="Q15" s="21">
        <f>I15+L15</f>
        <v>1201872</v>
      </c>
      <c r="R15" s="23">
        <f>L15/(I15+L15)</f>
        <v>0.18378995433789955</v>
      </c>
      <c r="S15" s="23">
        <f t="shared" ref="S15:S25" si="2">I15/MAX(I15,K15)</f>
        <v>0.67392218341499344</v>
      </c>
      <c r="T15" s="23"/>
      <c r="AB15" s="69" t="str">
        <f>_xlfn.TEXTJOIN(,0,ROUND((J15+L15)/1000,1),"/",ROUND(J15/1000,1)," (",TEXT(R15,"0%"),")")</f>
        <v>1089,6/868,8 (18%)</v>
      </c>
    </row>
    <row r="16" spans="1:28">
      <c r="B16" s="12" t="s">
        <v>1</v>
      </c>
      <c r="C16" s="20">
        <f>IF(D16&gt;$D$8,2,IF(D16&gt;$D$9,1,0))</f>
        <v>2</v>
      </c>
      <c r="D16" s="24">
        <f t="shared" ref="D16:D25" si="3">E16*$E$11+F16*$F$11+G16*$G$11</f>
        <v>2</v>
      </c>
      <c r="E16" s="20">
        <f>IF(N16&lt;$N$7,2,IF(AND(N16&lt;$N$9,N16&gt;=$N$7),1,0))</f>
        <v>0</v>
      </c>
      <c r="F16" s="20">
        <f t="shared" ref="F16:F25" si="4">IF(S16&lt;$S$7,2,IF(S16&lt;$S$9,1,0))</f>
        <v>0</v>
      </c>
      <c r="G16" s="20">
        <f t="shared" ref="G16:G25" si="5">IF(OR(R16&gt;$R$8,R16&lt;=$R$7),2,IF(R16&gt;$R$10,1,0))</f>
        <v>2</v>
      </c>
      <c r="H16" s="21">
        <v>2115308</v>
      </c>
      <c r="I16" s="54">
        <v>20660</v>
      </c>
      <c r="J16" s="54">
        <v>17284</v>
      </c>
      <c r="K16" s="54">
        <v>9736</v>
      </c>
      <c r="L16" s="54">
        <v>17421</v>
      </c>
      <c r="M16" s="21">
        <f>MAX(I16,K16)</f>
        <v>20660</v>
      </c>
      <c r="N16" s="22">
        <f>J16/$H16*1000</f>
        <v>8.1709141174713089</v>
      </c>
      <c r="O16" s="22">
        <f>K16/$H16*1000</f>
        <v>4.6026394265043198</v>
      </c>
      <c r="P16" s="22">
        <f t="shared" ref="P16:P82" si="6">MAX(N16,O16)</f>
        <v>8.1709141174713089</v>
      </c>
      <c r="Q16" s="21">
        <f>I16+L16</f>
        <v>38081</v>
      </c>
      <c r="R16" s="23">
        <f>L16/(I16+L16)</f>
        <v>0.45747223024605449</v>
      </c>
      <c r="S16" s="23">
        <f t="shared" si="2"/>
        <v>1</v>
      </c>
      <c r="T16" s="9" t="str">
        <f>_xlfn.TEXTJOIN(,0,"Места накопления ТКО (МНО): ",I16," по ФГИС УТКО / ",K16," по ТС")</f>
        <v>Места накопления ТКО (МНО): 20660 по ФГИС УТКО / 9736 по ТС</v>
      </c>
      <c r="U16" s="9" t="str">
        <f t="shared" ref="U16:U28" si="7">_xlfn.TEXTJOIN(,0,"Наполнение ФГИС УТКО"," ",IF(I16&lt;=K16,TEXT(S16,"0%"),"более 100%"))</f>
        <v>Наполнение ФГИС УТКО более 100%</v>
      </c>
      <c r="V16" s="25" t="str">
        <f t="shared" ref="V16:V28" si="8">IF(O16&gt;$O$8,$V$107,IF(Q16&gt;$Q$10,$V$108,IF(I16&gt;K16*(1+$K$10),$V$109,"")))</f>
        <v>Аномальные данные территориальной схемы</v>
      </c>
      <c r="W16" s="9" t="str">
        <f>_xlfn.TEXTJOIN(,0,"Контейнерные площадки (КП): ",J16," по ФГИС УТКО / ",TEXT(Q16,"0,0")," на 1000 чел.")</f>
        <v>Контейнерные площадки (КП): 17284 по ФГИС УТКО / 38081,0 на 1000 чел.</v>
      </c>
      <c r="X16" s="9">
        <f t="shared" ref="X16:X50" si="9">IF(Q16&gt;=$Q$15,Q16/$Q$15-1,1-Q16/$Q$15)</f>
        <v>0.96831526152535374</v>
      </c>
      <c r="Y16" s="9" t="str">
        <f>IF(Q16&gt;=$Q$15,"выше ","ниже ")</f>
        <v xml:space="preserve">ниже </v>
      </c>
      <c r="Z16" s="9" t="str">
        <f>_xlfn.TEXTJOIN(,0,"Обеспеченность КП ",Y16,"среднего по России на ",TEXT(X16,"0%"))</f>
        <v>Обеспеченность КП ниже среднего по России на 97%</v>
      </c>
      <c r="AA16" s="9" t="str">
        <f>IF(L16&gt;0,_xlfn.TEXTJOIN(,0,"Потребность в КП по данным субъекта ",L16," шт. (",TEXT(R16,"0%")," от МНО)"),"Потребность в КП не представлена")</f>
        <v>Потребность в КП по данным субъекта 17421 шт. (46% от МНО)</v>
      </c>
      <c r="AB16" s="69" t="str">
        <f>_xlfn.TEXTJOIN(,0,ROUND((J16+L16)/1000,0),"/",ROUND(J16/1000,0),"/",ROUND(L16/1000,0)," (",TEXT(R16,"0%"),")")</f>
        <v>35/17/17 (46%)</v>
      </c>
    </row>
    <row r="17" spans="2:28">
      <c r="B17" s="12" t="s">
        <v>9</v>
      </c>
      <c r="C17" s="20">
        <f t="shared" ref="C17:C80" si="10">IF(D17&gt;$D$8,2,IF(D17&gt;$D$9,1,0))</f>
        <v>1</v>
      </c>
      <c r="D17" s="24">
        <f t="shared" si="3"/>
        <v>1</v>
      </c>
      <c r="E17" s="20">
        <f t="shared" ref="E17:E80" si="11">IF(N17&lt;$N$7,2,IF(AND(N17&lt;$N$9,N17&gt;=$N$7),1,0))</f>
        <v>0</v>
      </c>
      <c r="F17" s="20">
        <f t="shared" si="4"/>
        <v>0</v>
      </c>
      <c r="G17" s="20">
        <f t="shared" si="5"/>
        <v>1</v>
      </c>
      <c r="H17" s="21">
        <v>750083</v>
      </c>
      <c r="I17" s="54">
        <v>13606</v>
      </c>
      <c r="J17" s="54">
        <v>12331</v>
      </c>
      <c r="K17" s="54">
        <v>13282</v>
      </c>
      <c r="L17" s="54">
        <v>3429</v>
      </c>
      <c r="M17" s="21">
        <f t="shared" ref="M17:M28" si="12">MAX(I17,K17)</f>
        <v>13606</v>
      </c>
      <c r="N17" s="22">
        <f t="shared" ref="N17:N80" si="13">J17/$H17*1000</f>
        <v>16.439514027114335</v>
      </c>
      <c r="O17" s="22">
        <f t="shared" ref="O17:O83" si="14">K17/$H17*1000</f>
        <v>17.707373717308617</v>
      </c>
      <c r="P17" s="22">
        <f t="shared" si="6"/>
        <v>17.707373717308617</v>
      </c>
      <c r="Q17" s="21">
        <f t="shared" ref="Q17:Q80" si="15">I17+L17</f>
        <v>17035</v>
      </c>
      <c r="R17" s="23">
        <f t="shared" ref="R17:R80" si="16">L17/(I17+L17)</f>
        <v>0.20129145876137364</v>
      </c>
      <c r="S17" s="23">
        <f t="shared" si="2"/>
        <v>1</v>
      </c>
      <c r="T17" s="9" t="str">
        <f t="shared" ref="T17:T28" si="17">_xlfn.TEXTJOIN(,0,"Места накопления ТКО (МНО): ",I17," по ФГИС УТКО / ",K17," по ТС")</f>
        <v>Места накопления ТКО (МНО): 13606 по ФГИС УТКО / 13282 по ТС</v>
      </c>
      <c r="U17" s="9" t="str">
        <f t="shared" si="7"/>
        <v>Наполнение ФГИС УТКО более 100%</v>
      </c>
      <c r="V17" s="25" t="str">
        <f t="shared" si="8"/>
        <v>Аномальные данные территориальной схемы</v>
      </c>
      <c r="W17" s="9" t="str">
        <f t="shared" ref="W17:W28" si="18">_xlfn.TEXTJOIN(,0,"Контейнерные площадки (КП): ",J17," по ФГИС УТКО / ",TEXT(Q17,"0,0")," на 1000 чел.")</f>
        <v>Контейнерные площадки (КП): 12331 по ФГИС УТКО / 17035,0 на 1000 чел.</v>
      </c>
      <c r="X17" s="9">
        <f t="shared" si="9"/>
        <v>0.98582627767349607</v>
      </c>
      <c r="Y17" s="9" t="str">
        <f t="shared" ref="Y17:Y83" si="19">IF(Q17&gt;=$Q$15,"выше ","ниже ")</f>
        <v xml:space="preserve">ниже </v>
      </c>
      <c r="Z17" s="9" t="str">
        <f t="shared" ref="Z17:Z83" si="20">_xlfn.TEXTJOIN(,0,"Обеспеченность КП ",Y17,"среднего по России на ",TEXT(X17,"0%"))</f>
        <v>Обеспеченность КП ниже среднего по России на 99%</v>
      </c>
      <c r="AA17" s="9" t="str">
        <f t="shared" ref="AA17:AA83" si="21">IF(L17&gt;0,_xlfn.TEXTJOIN(,0,"Потребность в КП по данным субъекта ",L17," шт. (",TEXT(R17,"0%")," от МНО)"),"Потребность в КП не представлена")</f>
        <v>Потребность в КП по данным субъекта 3429 шт. (20% от МНО)</v>
      </c>
      <c r="AB17" s="69" t="str">
        <f t="shared" ref="AB17:AB80" si="22">_xlfn.TEXTJOIN(,0,ROUND((J17+L17)/1000,0),"/",ROUND(J17/1000,0),"/",ROUND(L17/1000,0)," (",TEXT(R17,"0%"),")")</f>
        <v>16/12/3 (20%)</v>
      </c>
    </row>
    <row r="18" spans="2:28">
      <c r="B18" s="12" t="s">
        <v>10</v>
      </c>
      <c r="C18" s="20">
        <f t="shared" si="10"/>
        <v>0</v>
      </c>
      <c r="D18" s="24">
        <f t="shared" si="3"/>
        <v>0</v>
      </c>
      <c r="E18" s="20">
        <f t="shared" si="11"/>
        <v>0</v>
      </c>
      <c r="F18" s="20">
        <f t="shared" si="4"/>
        <v>0</v>
      </c>
      <c r="G18" s="20">
        <f t="shared" si="5"/>
        <v>0</v>
      </c>
      <c r="H18" s="21">
        <v>955848</v>
      </c>
      <c r="I18" s="54">
        <v>11033</v>
      </c>
      <c r="J18" s="54">
        <v>10090</v>
      </c>
      <c r="K18" s="54">
        <v>9092</v>
      </c>
      <c r="L18" s="54">
        <v>1463</v>
      </c>
      <c r="M18" s="21">
        <f t="shared" si="12"/>
        <v>11033</v>
      </c>
      <c r="N18" s="22">
        <f t="shared" si="13"/>
        <v>10.556071676668257</v>
      </c>
      <c r="O18" s="22">
        <f t="shared" si="14"/>
        <v>9.5119726148927448</v>
      </c>
      <c r="P18" s="22">
        <f t="shared" si="6"/>
        <v>10.556071676668257</v>
      </c>
      <c r="Q18" s="21">
        <f t="shared" si="15"/>
        <v>12496</v>
      </c>
      <c r="R18" s="23">
        <f t="shared" si="16"/>
        <v>0.11707746478873239</v>
      </c>
      <c r="S18" s="23">
        <f t="shared" si="2"/>
        <v>1</v>
      </c>
      <c r="T18" s="9" t="str">
        <f t="shared" si="17"/>
        <v>Места накопления ТКО (МНО): 11033 по ФГИС УТКО / 9092 по ТС</v>
      </c>
      <c r="U18" s="9" t="str">
        <f t="shared" si="7"/>
        <v>Наполнение ФГИС УТКО более 100%</v>
      </c>
      <c r="V18" s="25" t="str">
        <f t="shared" si="8"/>
        <v>Аномальные данные территориальной схемы</v>
      </c>
      <c r="W18" s="9" t="str">
        <f t="shared" si="18"/>
        <v>Контейнерные площадки (КП): 10090 по ФГИС УТКО / 12496,0 на 1000 чел.</v>
      </c>
      <c r="X18" s="9">
        <f t="shared" si="9"/>
        <v>0.98960288616425041</v>
      </c>
      <c r="Y18" s="9" t="str">
        <f t="shared" si="19"/>
        <v xml:space="preserve">ниже </v>
      </c>
      <c r="Z18" s="9" t="str">
        <f t="shared" si="20"/>
        <v>Обеспеченность КП ниже среднего по России на 99%</v>
      </c>
      <c r="AA18" s="9" t="str">
        <f t="shared" si="21"/>
        <v>Потребность в КП по данным субъекта 1463 шт. (12% от МНО)</v>
      </c>
      <c r="AB18" s="69" t="str">
        <f t="shared" si="22"/>
        <v>12/10/1 (12%)</v>
      </c>
    </row>
    <row r="19" spans="2:28">
      <c r="B19" s="12" t="s">
        <v>2</v>
      </c>
      <c r="C19" s="20">
        <f t="shared" si="10"/>
        <v>0</v>
      </c>
      <c r="D19" s="24">
        <f t="shared" si="3"/>
        <v>0</v>
      </c>
      <c r="E19" s="20">
        <f t="shared" si="11"/>
        <v>1</v>
      </c>
      <c r="F19" s="20">
        <f t="shared" si="4"/>
        <v>2</v>
      </c>
      <c r="G19" s="20">
        <f t="shared" si="5"/>
        <v>0</v>
      </c>
      <c r="H19" s="21">
        <v>946429</v>
      </c>
      <c r="I19" s="54">
        <v>4098</v>
      </c>
      <c r="J19" s="54">
        <v>4053</v>
      </c>
      <c r="K19" s="54">
        <v>13028</v>
      </c>
      <c r="L19" s="54">
        <v>119</v>
      </c>
      <c r="M19" s="21">
        <f t="shared" si="12"/>
        <v>13028</v>
      </c>
      <c r="N19" s="22">
        <f t="shared" si="13"/>
        <v>4.2824131551336659</v>
      </c>
      <c r="O19" s="22">
        <f t="shared" si="14"/>
        <v>13.765427728862914</v>
      </c>
      <c r="P19" s="22">
        <f t="shared" si="6"/>
        <v>13.765427728862914</v>
      </c>
      <c r="Q19" s="21">
        <f t="shared" si="15"/>
        <v>4217</v>
      </c>
      <c r="R19" s="23">
        <f t="shared" si="16"/>
        <v>2.8219113113587858E-2</v>
      </c>
      <c r="S19" s="23">
        <f t="shared" si="2"/>
        <v>0.31455326988025789</v>
      </c>
      <c r="T19" s="9" t="str">
        <f t="shared" si="17"/>
        <v>Места накопления ТКО (МНО): 4098 по ФГИС УТКО / 13028 по ТС</v>
      </c>
      <c r="U19" s="9" t="str">
        <f t="shared" si="7"/>
        <v>Наполнение ФГИС УТКО 31%</v>
      </c>
      <c r="V19" s="25" t="str">
        <f t="shared" si="8"/>
        <v>Аномальные данные территориальной схемы</v>
      </c>
      <c r="W19" s="9" t="str">
        <f t="shared" si="18"/>
        <v>Контейнерные площадки (КП): 4053 по ФГИС УТКО / 4217,0 на 1000 чел.</v>
      </c>
      <c r="X19" s="9">
        <f t="shared" si="9"/>
        <v>0.99649130689457777</v>
      </c>
      <c r="Y19" s="9" t="str">
        <f t="shared" si="19"/>
        <v xml:space="preserve">ниже </v>
      </c>
      <c r="Z19" s="9" t="str">
        <f t="shared" si="20"/>
        <v>Обеспеченность КП ниже среднего по России на 100%</v>
      </c>
      <c r="AA19" s="9" t="str">
        <f t="shared" si="21"/>
        <v>Потребность в КП по данным субъекта 119 шт. (3% от МНО)</v>
      </c>
      <c r="AB19" s="69" t="str">
        <f t="shared" si="22"/>
        <v>4/4/0 (3%)</v>
      </c>
    </row>
    <row r="20" spans="2:28">
      <c r="B20" s="12" t="s">
        <v>11</v>
      </c>
      <c r="C20" s="20">
        <f t="shared" si="10"/>
        <v>0</v>
      </c>
      <c r="D20" s="24">
        <f t="shared" si="3"/>
        <v>0</v>
      </c>
      <c r="E20" s="20">
        <f t="shared" si="11"/>
        <v>0</v>
      </c>
      <c r="F20" s="20">
        <f t="shared" si="4"/>
        <v>0</v>
      </c>
      <c r="G20" s="20">
        <f t="shared" si="5"/>
        <v>0</v>
      </c>
      <c r="H20" s="21">
        <v>1500659</v>
      </c>
      <c r="I20" s="54">
        <v>23354</v>
      </c>
      <c r="J20" s="54">
        <v>22859</v>
      </c>
      <c r="K20" s="54">
        <v>15401</v>
      </c>
      <c r="L20" s="54">
        <v>2373</v>
      </c>
      <c r="M20" s="21">
        <f t="shared" si="12"/>
        <v>23354</v>
      </c>
      <c r="N20" s="22">
        <f t="shared" si="13"/>
        <v>15.232641126331831</v>
      </c>
      <c r="O20" s="22">
        <f t="shared" si="14"/>
        <v>10.262824532422089</v>
      </c>
      <c r="P20" s="22">
        <f t="shared" si="6"/>
        <v>15.232641126331831</v>
      </c>
      <c r="Q20" s="21">
        <f t="shared" si="15"/>
        <v>25727</v>
      </c>
      <c r="R20" s="23">
        <f t="shared" si="16"/>
        <v>9.2237726901698611E-2</v>
      </c>
      <c r="S20" s="23">
        <f t="shared" si="2"/>
        <v>1</v>
      </c>
      <c r="T20" s="9" t="str">
        <f t="shared" si="17"/>
        <v>Места накопления ТКО (МНО): 23354 по ФГИС УТКО / 15401 по ТС</v>
      </c>
      <c r="U20" s="9" t="str">
        <f t="shared" si="7"/>
        <v>Наполнение ФГИС УТКО более 100%</v>
      </c>
      <c r="V20" s="25" t="str">
        <f t="shared" si="8"/>
        <v>Аномальные данные территориальной схемы</v>
      </c>
      <c r="W20" s="9" t="str">
        <f t="shared" si="18"/>
        <v>Контейнерные площадки (КП): 22859 по ФГИС УТКО / 25727,0 на 1000 чел.</v>
      </c>
      <c r="X20" s="9">
        <f t="shared" si="9"/>
        <v>0.97859422634024251</v>
      </c>
      <c r="Y20" s="9" t="str">
        <f t="shared" si="19"/>
        <v xml:space="preserve">ниже </v>
      </c>
      <c r="Z20" s="9" t="str">
        <f t="shared" si="20"/>
        <v>Обеспеченность КП ниже среднего по России на 98%</v>
      </c>
      <c r="AA20" s="9" t="str">
        <f t="shared" si="21"/>
        <v>Потребность в КП по данным субъекта 2373 шт. (9% от МНО)</v>
      </c>
      <c r="AB20" s="69" t="str">
        <f t="shared" si="22"/>
        <v>25/23/2 (9%)</v>
      </c>
    </row>
    <row r="21" spans="2:28">
      <c r="B21" s="12" t="s">
        <v>12</v>
      </c>
      <c r="C21" s="20">
        <f t="shared" si="10"/>
        <v>1</v>
      </c>
      <c r="D21" s="24">
        <f t="shared" si="3"/>
        <v>1</v>
      </c>
      <c r="E21" s="20">
        <f t="shared" si="11"/>
        <v>1</v>
      </c>
      <c r="F21" s="20">
        <f t="shared" si="4"/>
        <v>0</v>
      </c>
      <c r="G21" s="20">
        <f t="shared" si="5"/>
        <v>1</v>
      </c>
      <c r="H21" s="21">
        <v>1142404</v>
      </c>
      <c r="I21" s="54">
        <v>6622</v>
      </c>
      <c r="J21" s="54">
        <v>4562</v>
      </c>
      <c r="K21" s="54">
        <v>4704</v>
      </c>
      <c r="L21" s="54">
        <v>3170</v>
      </c>
      <c r="M21" s="21">
        <f t="shared" si="12"/>
        <v>6622</v>
      </c>
      <c r="N21" s="22">
        <f t="shared" si="13"/>
        <v>3.9933333566759224</v>
      </c>
      <c r="O21" s="22">
        <f t="shared" si="14"/>
        <v>4.1176326413422926</v>
      </c>
      <c r="P21" s="22">
        <f t="shared" si="6"/>
        <v>4.1176326413422926</v>
      </c>
      <c r="Q21" s="21">
        <f t="shared" si="15"/>
        <v>9792</v>
      </c>
      <c r="R21" s="23">
        <f t="shared" si="16"/>
        <v>0.32373366013071897</v>
      </c>
      <c r="S21" s="23">
        <f t="shared" si="2"/>
        <v>1</v>
      </c>
      <c r="T21" s="9" t="str">
        <f t="shared" si="17"/>
        <v>Места накопления ТКО (МНО): 6622 по ФГИС УТКО / 4704 по ТС</v>
      </c>
      <c r="U21" s="9" t="str">
        <f t="shared" si="7"/>
        <v>Наполнение ФГИС УТКО более 100%</v>
      </c>
      <c r="V21" s="25" t="str">
        <f t="shared" si="8"/>
        <v>Аномальные данные территориальной схемы</v>
      </c>
      <c r="W21" s="9" t="str">
        <f t="shared" si="18"/>
        <v>Контейнерные площадки (КП): 4562 по ФГИС УТКО / 9792,0 на 1000 чел.</v>
      </c>
      <c r="X21" s="9">
        <f t="shared" si="9"/>
        <v>0.99185270977275453</v>
      </c>
      <c r="Y21" s="9" t="str">
        <f t="shared" si="19"/>
        <v xml:space="preserve">ниже </v>
      </c>
      <c r="Z21" s="9" t="str">
        <f t="shared" si="20"/>
        <v>Обеспеченность КП ниже среднего по России на 99%</v>
      </c>
      <c r="AA21" s="9" t="str">
        <f t="shared" si="21"/>
        <v>Потребность в КП по данным субъекта 3170 шт. (32% от МНО)</v>
      </c>
      <c r="AB21" s="69" t="str">
        <f t="shared" si="22"/>
        <v>8/5/3 (32%)</v>
      </c>
    </row>
    <row r="22" spans="2:28">
      <c r="B22" s="12" t="s">
        <v>13</v>
      </c>
      <c r="C22" s="20">
        <f t="shared" si="10"/>
        <v>0</v>
      </c>
      <c r="D22" s="24">
        <f t="shared" si="3"/>
        <v>0</v>
      </c>
      <c r="E22" s="20">
        <f t="shared" si="11"/>
        <v>0</v>
      </c>
      <c r="F22" s="20">
        <f t="shared" si="4"/>
        <v>0</v>
      </c>
      <c r="G22" s="20">
        <f t="shared" si="5"/>
        <v>0</v>
      </c>
      <c r="H22" s="21">
        <v>1309942</v>
      </c>
      <c r="I22" s="54">
        <v>11298</v>
      </c>
      <c r="J22" s="54">
        <v>10378</v>
      </c>
      <c r="K22" s="54">
        <v>9967</v>
      </c>
      <c r="L22" s="54">
        <v>597</v>
      </c>
      <c r="M22" s="21">
        <f t="shared" si="12"/>
        <v>11298</v>
      </c>
      <c r="N22" s="22">
        <f t="shared" si="13"/>
        <v>7.9224881712320094</v>
      </c>
      <c r="O22" s="22">
        <f t="shared" si="14"/>
        <v>7.6087338218027973</v>
      </c>
      <c r="P22" s="22">
        <f t="shared" si="6"/>
        <v>7.9224881712320094</v>
      </c>
      <c r="Q22" s="21">
        <f t="shared" si="15"/>
        <v>11895</v>
      </c>
      <c r="R22" s="23">
        <f t="shared" si="16"/>
        <v>5.0189155107187897E-2</v>
      </c>
      <c r="S22" s="23">
        <f t="shared" si="2"/>
        <v>1</v>
      </c>
      <c r="T22" s="9" t="str">
        <f t="shared" si="17"/>
        <v>Места накопления ТКО (МНО): 11298 по ФГИС УТКО / 9967 по ТС</v>
      </c>
      <c r="U22" s="9" t="str">
        <f t="shared" si="7"/>
        <v>Наполнение ФГИС УТКО более 100%</v>
      </c>
      <c r="V22" s="25" t="str">
        <f t="shared" si="8"/>
        <v>Аномальные данные территориальной схемы</v>
      </c>
      <c r="W22" s="9" t="str">
        <f t="shared" si="18"/>
        <v>Контейнерные площадки (КП): 10378 по ФГИС УТКО / 11895,0 на 1000 чел.</v>
      </c>
      <c r="X22" s="9">
        <f t="shared" si="9"/>
        <v>0.99010293941451333</v>
      </c>
      <c r="Y22" s="9" t="str">
        <f t="shared" si="19"/>
        <v xml:space="preserve">ниже </v>
      </c>
      <c r="Z22" s="9" t="str">
        <f t="shared" si="20"/>
        <v>Обеспеченность КП ниже среднего по России на 99%</v>
      </c>
      <c r="AA22" s="9" t="str">
        <f t="shared" si="21"/>
        <v>Потребность в КП по данным субъекта 597 шт. (5% от МНО)</v>
      </c>
      <c r="AB22" s="69" t="str">
        <f t="shared" si="22"/>
        <v>11/10/1 (5%)</v>
      </c>
    </row>
    <row r="23" spans="2:28">
      <c r="B23" s="12" t="s">
        <v>14</v>
      </c>
      <c r="C23" s="20">
        <f t="shared" si="10"/>
        <v>1</v>
      </c>
      <c r="D23" s="24">
        <f t="shared" si="3"/>
        <v>1</v>
      </c>
      <c r="E23" s="20">
        <f t="shared" si="11"/>
        <v>0</v>
      </c>
      <c r="F23" s="20">
        <f t="shared" si="4"/>
        <v>0</v>
      </c>
      <c r="G23" s="20">
        <f t="shared" si="5"/>
        <v>1</v>
      </c>
      <c r="H23" s="21">
        <v>2453898</v>
      </c>
      <c r="I23" s="54">
        <v>20660</v>
      </c>
      <c r="J23" s="54">
        <v>19977</v>
      </c>
      <c r="K23" s="54">
        <v>18006</v>
      </c>
      <c r="L23" s="54">
        <v>5397</v>
      </c>
      <c r="M23" s="21">
        <f t="shared" si="12"/>
        <v>20660</v>
      </c>
      <c r="N23" s="22">
        <f t="shared" si="13"/>
        <v>8.1409251729289469</v>
      </c>
      <c r="O23" s="22">
        <f t="shared" si="14"/>
        <v>7.3377133034869422</v>
      </c>
      <c r="P23" s="22">
        <f t="shared" si="6"/>
        <v>8.1409251729289469</v>
      </c>
      <c r="Q23" s="21">
        <f>I23+L23</f>
        <v>26057</v>
      </c>
      <c r="R23" s="23">
        <f t="shared" si="16"/>
        <v>0.20712284606823503</v>
      </c>
      <c r="S23" s="23">
        <f t="shared" si="2"/>
        <v>1</v>
      </c>
      <c r="T23" s="9" t="str">
        <f t="shared" si="17"/>
        <v>Места накопления ТКО (МНО): 20660 по ФГИС УТКО / 18006 по ТС</v>
      </c>
      <c r="U23" s="9" t="str">
        <f t="shared" si="7"/>
        <v>Наполнение ФГИС УТКО более 100%</v>
      </c>
      <c r="V23" s="25" t="str">
        <f t="shared" si="8"/>
        <v>Аномальные данные территориальной схемы</v>
      </c>
      <c r="W23" s="9" t="str">
        <f t="shared" si="18"/>
        <v>Контейнерные площадки (КП): 19977 по ФГИС УТКО / 26057,0 на 1000 чел.</v>
      </c>
      <c r="X23" s="9">
        <f t="shared" si="9"/>
        <v>0.97831965467204496</v>
      </c>
      <c r="Y23" s="9" t="str">
        <f t="shared" si="19"/>
        <v xml:space="preserve">ниже </v>
      </c>
      <c r="Z23" s="9" t="str">
        <f t="shared" si="20"/>
        <v>Обеспеченность КП ниже среднего по России на 98%</v>
      </c>
      <c r="AA23" s="9" t="str">
        <f t="shared" si="21"/>
        <v>Потребность в КП по данным субъекта 5397 шт. (21% от МНО)</v>
      </c>
      <c r="AB23" s="69" t="str">
        <f t="shared" si="22"/>
        <v>25/20/5 (21%)</v>
      </c>
    </row>
    <row r="24" spans="2:28">
      <c r="B24" s="12" t="s">
        <v>15</v>
      </c>
      <c r="C24" s="20">
        <f t="shared" si="10"/>
        <v>1</v>
      </c>
      <c r="D24" s="24">
        <f t="shared" si="3"/>
        <v>1</v>
      </c>
      <c r="E24" s="20">
        <f t="shared" si="11"/>
        <v>0</v>
      </c>
      <c r="F24" s="20">
        <f t="shared" si="4"/>
        <v>0</v>
      </c>
      <c r="G24" s="20">
        <f t="shared" si="5"/>
        <v>1</v>
      </c>
      <c r="H24" s="21">
        <v>1121343</v>
      </c>
      <c r="I24" s="54">
        <v>14936</v>
      </c>
      <c r="J24" s="54">
        <v>14399</v>
      </c>
      <c r="K24" s="54">
        <v>12713</v>
      </c>
      <c r="L24" s="54">
        <v>5278</v>
      </c>
      <c r="M24" s="21">
        <f t="shared" si="12"/>
        <v>14936</v>
      </c>
      <c r="N24" s="22">
        <f t="shared" si="13"/>
        <v>12.840852442116285</v>
      </c>
      <c r="O24" s="22">
        <f t="shared" si="14"/>
        <v>11.337298221864318</v>
      </c>
      <c r="P24" s="22">
        <f t="shared" si="6"/>
        <v>12.840852442116285</v>
      </c>
      <c r="Q24" s="21">
        <f t="shared" si="15"/>
        <v>20214</v>
      </c>
      <c r="R24" s="23">
        <f t="shared" si="16"/>
        <v>0.26110616404472148</v>
      </c>
      <c r="S24" s="23">
        <f t="shared" si="2"/>
        <v>1</v>
      </c>
      <c r="T24" s="9" t="str">
        <f t="shared" si="17"/>
        <v>Места накопления ТКО (МНО): 14936 по ФГИС УТКО / 12713 по ТС</v>
      </c>
      <c r="U24" s="9" t="str">
        <f t="shared" si="7"/>
        <v>Наполнение ФГИС УТКО более 100%</v>
      </c>
      <c r="V24" s="25" t="str">
        <f t="shared" si="8"/>
        <v>Аномальные данные территориальной схемы</v>
      </c>
      <c r="W24" s="9" t="str">
        <f t="shared" si="18"/>
        <v>Контейнерные площадки (КП): 14399 по ФГИС УТКО / 20214,0 на 1000 чел.</v>
      </c>
      <c r="X24" s="9">
        <f t="shared" si="9"/>
        <v>0.98318123726985907</v>
      </c>
      <c r="Y24" s="9" t="str">
        <f t="shared" si="19"/>
        <v xml:space="preserve">ниже </v>
      </c>
      <c r="Z24" s="9" t="str">
        <f t="shared" si="20"/>
        <v>Обеспеченность КП ниже среднего по России на 98%</v>
      </c>
      <c r="AA24" s="9" t="str">
        <f t="shared" si="21"/>
        <v>Потребность в КП по данным субъекта 5278 шт. (26% от МНО)</v>
      </c>
      <c r="AB24" s="69" t="str">
        <f t="shared" si="22"/>
        <v>20/14/5 (26%)</v>
      </c>
    </row>
    <row r="25" spans="2:28">
      <c r="B25" s="12" t="s">
        <v>16</v>
      </c>
      <c r="C25" s="20">
        <f t="shared" si="10"/>
        <v>1</v>
      </c>
      <c r="D25" s="24">
        <f t="shared" si="3"/>
        <v>1</v>
      </c>
      <c r="E25" s="20">
        <f t="shared" si="11"/>
        <v>0</v>
      </c>
      <c r="F25" s="20">
        <f t="shared" si="4"/>
        <v>0</v>
      </c>
      <c r="G25" s="20">
        <f t="shared" si="5"/>
        <v>1</v>
      </c>
      <c r="H25" s="21">
        <v>2273417</v>
      </c>
      <c r="I25" s="54">
        <v>21745</v>
      </c>
      <c r="J25" s="54">
        <v>19315</v>
      </c>
      <c r="K25" s="54">
        <v>21653</v>
      </c>
      <c r="L25" s="54">
        <v>10395</v>
      </c>
      <c r="M25" s="21">
        <f t="shared" si="12"/>
        <v>21745</v>
      </c>
      <c r="N25" s="22">
        <f t="shared" si="13"/>
        <v>8.4960216273565283</v>
      </c>
      <c r="O25" s="22">
        <f t="shared" si="14"/>
        <v>9.5244295261274114</v>
      </c>
      <c r="P25" s="22">
        <f t="shared" si="6"/>
        <v>9.5244295261274114</v>
      </c>
      <c r="Q25" s="21">
        <f t="shared" si="15"/>
        <v>32140</v>
      </c>
      <c r="R25" s="23">
        <f t="shared" si="16"/>
        <v>0.32342874922215309</v>
      </c>
      <c r="S25" s="23">
        <f t="shared" si="2"/>
        <v>1</v>
      </c>
      <c r="T25" s="9" t="str">
        <f t="shared" si="17"/>
        <v>Места накопления ТКО (МНО): 21745 по ФГИС УТКО / 21653 по ТС</v>
      </c>
      <c r="U25" s="9" t="str">
        <f t="shared" si="7"/>
        <v>Наполнение ФГИС УТКО более 100%</v>
      </c>
      <c r="V25" s="25" t="str">
        <f t="shared" si="8"/>
        <v>Аномальные данные территориальной схемы</v>
      </c>
      <c r="W25" s="9" t="str">
        <f t="shared" si="18"/>
        <v>Контейнерные площадки (КП): 19315 по ФГИС УТКО / 32140,0 на 1000 чел.</v>
      </c>
      <c r="X25" s="9">
        <f t="shared" si="9"/>
        <v>0.97325838358826899</v>
      </c>
      <c r="Y25" s="9" t="str">
        <f t="shared" si="19"/>
        <v xml:space="preserve">ниже </v>
      </c>
      <c r="Z25" s="9" t="str">
        <f t="shared" si="20"/>
        <v>Обеспеченность КП ниже среднего по России на 97%</v>
      </c>
      <c r="AA25" s="9" t="str">
        <f t="shared" si="21"/>
        <v>Потребность в КП по данным субъекта 10395 шт. (32% от МНО)</v>
      </c>
      <c r="AB25" s="69" t="str">
        <f t="shared" si="22"/>
        <v>30/19/10 (32%)</v>
      </c>
    </row>
    <row r="26" spans="2:28">
      <c r="B26" s="12" t="s">
        <v>17</v>
      </c>
      <c r="C26" s="60">
        <v>0</v>
      </c>
      <c r="D26" s="60">
        <v>0</v>
      </c>
      <c r="E26" s="60">
        <v>0</v>
      </c>
      <c r="F26" s="60">
        <v>0</v>
      </c>
      <c r="G26" s="60">
        <v>0</v>
      </c>
      <c r="H26" s="21">
        <v>13149803</v>
      </c>
      <c r="I26" s="54">
        <v>0</v>
      </c>
      <c r="J26" s="54">
        <v>0</v>
      </c>
      <c r="K26" s="54">
        <v>46252</v>
      </c>
      <c r="L26" s="54">
        <v>0</v>
      </c>
      <c r="M26" s="21">
        <f t="shared" si="12"/>
        <v>46252</v>
      </c>
      <c r="N26" s="22">
        <f t="shared" si="13"/>
        <v>0</v>
      </c>
      <c r="O26" s="22">
        <f t="shared" si="14"/>
        <v>3.5173150502710953</v>
      </c>
      <c r="P26" s="22">
        <f t="shared" si="6"/>
        <v>3.5173150502710953</v>
      </c>
      <c r="Q26" s="21">
        <f t="shared" si="15"/>
        <v>0</v>
      </c>
      <c r="R26" s="23"/>
      <c r="S26" s="23"/>
      <c r="T26" s="9" t="str">
        <f t="shared" si="17"/>
        <v>Места накопления ТКО (МНО): 0 по ФГИС УТКО / 46252 по ТС</v>
      </c>
      <c r="U26" s="9" t="str">
        <f t="shared" si="7"/>
        <v>Наполнение ФГИС УТКО 0%</v>
      </c>
      <c r="V26" s="25" t="str">
        <f t="shared" si="8"/>
        <v>Аномальные данные территориальной схемы</v>
      </c>
      <c r="W26" s="9" t="str">
        <f t="shared" si="18"/>
        <v>Контейнерные площадки (КП): 0 по ФГИС УТКО / 0,0 на 1000 чел.</v>
      </c>
      <c r="X26" s="9">
        <f t="shared" si="9"/>
        <v>1</v>
      </c>
      <c r="Y26" s="9" t="str">
        <f t="shared" si="19"/>
        <v xml:space="preserve">ниже </v>
      </c>
      <c r="Z26" s="9" t="str">
        <f t="shared" si="20"/>
        <v>Обеспеченность КП ниже среднего по России на 100%</v>
      </c>
      <c r="AA26" s="9" t="str">
        <f t="shared" si="21"/>
        <v>Потребность в КП не представлена</v>
      </c>
    </row>
    <row r="27" spans="2:28">
      <c r="B27" s="12" t="s">
        <v>18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21">
        <v>5597763</v>
      </c>
      <c r="I27" s="54">
        <v>0</v>
      </c>
      <c r="J27" s="54">
        <v>0</v>
      </c>
      <c r="K27" s="54">
        <v>38963</v>
      </c>
      <c r="L27" s="54">
        <v>0</v>
      </c>
      <c r="M27" s="21">
        <f t="shared" si="12"/>
        <v>38963</v>
      </c>
      <c r="N27" s="22">
        <f t="shared" si="13"/>
        <v>0</v>
      </c>
      <c r="O27" s="22">
        <f t="shared" si="14"/>
        <v>6.9604590262217245</v>
      </c>
      <c r="P27" s="22">
        <f t="shared" si="6"/>
        <v>6.9604590262217245</v>
      </c>
      <c r="Q27" s="21">
        <f t="shared" si="15"/>
        <v>0</v>
      </c>
      <c r="R27" s="23"/>
      <c r="S27" s="23"/>
      <c r="T27" s="9" t="str">
        <f t="shared" si="17"/>
        <v>Места накопления ТКО (МНО): 0 по ФГИС УТКО / 38963 по ТС</v>
      </c>
      <c r="U27" s="9" t="str">
        <f t="shared" si="7"/>
        <v>Наполнение ФГИС УТКО 0%</v>
      </c>
      <c r="V27" s="25" t="str">
        <f t="shared" si="8"/>
        <v>Аномальные данные территориальной схемы</v>
      </c>
      <c r="W27" s="9" t="str">
        <f t="shared" si="18"/>
        <v>Контейнерные площадки (КП): 0 по ФГИС УТКО / 0,0 на 1000 чел.</v>
      </c>
      <c r="X27" s="9">
        <f t="shared" si="9"/>
        <v>1</v>
      </c>
      <c r="Y27" s="9" t="str">
        <f t="shared" si="19"/>
        <v xml:space="preserve">ниже </v>
      </c>
      <c r="Z27" s="9" t="str">
        <f t="shared" si="20"/>
        <v>Обеспеченность КП ниже среднего по России на 100%</v>
      </c>
      <c r="AA27" s="9" t="str">
        <f t="shared" si="21"/>
        <v>Потребность в КП не представлена</v>
      </c>
    </row>
    <row r="28" spans="2:28">
      <c r="B28" s="12" t="s">
        <v>19</v>
      </c>
      <c r="C28" s="60">
        <v>0</v>
      </c>
      <c r="D28" s="60">
        <v>0</v>
      </c>
      <c r="E28" s="60">
        <v>0</v>
      </c>
      <c r="F28" s="60">
        <v>0</v>
      </c>
      <c r="G28" s="60">
        <v>0</v>
      </c>
      <c r="H28" s="21">
        <v>561374</v>
      </c>
      <c r="I28" s="54">
        <v>0</v>
      </c>
      <c r="J28" s="54">
        <v>0</v>
      </c>
      <c r="K28" s="54">
        <v>2205</v>
      </c>
      <c r="L28" s="54">
        <v>0</v>
      </c>
      <c r="M28" s="21">
        <f t="shared" si="12"/>
        <v>2205</v>
      </c>
      <c r="N28" s="22">
        <f t="shared" si="13"/>
        <v>0</v>
      </c>
      <c r="O28" s="22">
        <f t="shared" si="14"/>
        <v>3.9278627082836044</v>
      </c>
      <c r="P28" s="22">
        <f t="shared" si="6"/>
        <v>3.9278627082836044</v>
      </c>
      <c r="Q28" s="21">
        <f t="shared" si="15"/>
        <v>0</v>
      </c>
      <c r="R28" s="23"/>
      <c r="S28" s="23"/>
      <c r="T28" s="9" t="str">
        <f t="shared" si="17"/>
        <v>Места накопления ТКО (МНО): 0 по ФГИС УТКО / 2205 по ТС</v>
      </c>
      <c r="U28" s="9" t="str">
        <f t="shared" si="7"/>
        <v>Наполнение ФГИС УТКО 0%</v>
      </c>
      <c r="V28" s="25" t="str">
        <f t="shared" si="8"/>
        <v>Аномальные данные территориальной схемы</v>
      </c>
      <c r="W28" s="9" t="str">
        <f t="shared" si="18"/>
        <v>Контейнерные площадки (КП): 0 по ФГИС УТКО / 0,0 на 1000 чел.</v>
      </c>
      <c r="X28" s="9">
        <f t="shared" si="9"/>
        <v>1</v>
      </c>
      <c r="Y28" s="9" t="str">
        <f t="shared" si="19"/>
        <v xml:space="preserve">ниже </v>
      </c>
      <c r="Z28" s="9" t="str">
        <f t="shared" si="20"/>
        <v>Обеспеченность КП ниже среднего по России на 100%</v>
      </c>
      <c r="AA28" s="9" t="str">
        <f t="shared" si="21"/>
        <v>Потребность в КП не представлена</v>
      </c>
    </row>
    <row r="29" spans="2:28">
      <c r="B29" s="12" t="s">
        <v>580</v>
      </c>
      <c r="C29" s="60">
        <v>0</v>
      </c>
      <c r="D29" s="60">
        <v>0</v>
      </c>
      <c r="E29" s="60">
        <v>0</v>
      </c>
      <c r="F29" s="60">
        <v>0</v>
      </c>
      <c r="G29" s="60">
        <v>0</v>
      </c>
      <c r="H29" s="21"/>
      <c r="I29" s="54"/>
      <c r="J29" s="54"/>
      <c r="K29" s="54">
        <v>0</v>
      </c>
      <c r="L29" s="54">
        <v>0</v>
      </c>
      <c r="M29" s="21"/>
      <c r="N29" s="22"/>
      <c r="O29" s="22"/>
      <c r="P29" s="22"/>
      <c r="Q29" s="21">
        <f t="shared" si="15"/>
        <v>0</v>
      </c>
      <c r="R29" s="23"/>
      <c r="S29" s="23"/>
      <c r="T29" s="9"/>
      <c r="V29" s="25"/>
    </row>
    <row r="30" spans="2:28">
      <c r="B30" s="12" t="s">
        <v>20</v>
      </c>
      <c r="C30" s="20">
        <f t="shared" si="10"/>
        <v>1</v>
      </c>
      <c r="D30" s="24">
        <f t="shared" ref="D30:D93" si="23">E30*$E$11+F30*$F$11+G30*$G$11</f>
        <v>1</v>
      </c>
      <c r="E30" s="20">
        <f t="shared" si="11"/>
        <v>1</v>
      </c>
      <c r="F30" s="20">
        <f t="shared" ref="F30:F93" si="24">IF(S30&lt;$S$7,2,IF(S30&lt;$S$9,1,0))</f>
        <v>0</v>
      </c>
      <c r="G30" s="20">
        <f>IF(OR(R30&gt;$R$8,R30&lt;=$R$7),2,IF(R30&gt;$R$10,1,0))</f>
        <v>1</v>
      </c>
      <c r="H30" s="21">
        <v>145802</v>
      </c>
      <c r="I30" s="54">
        <v>742</v>
      </c>
      <c r="J30" s="54">
        <v>719</v>
      </c>
      <c r="K30" s="54">
        <v>856</v>
      </c>
      <c r="L30" s="54">
        <v>300</v>
      </c>
      <c r="M30" s="21">
        <f>MAX(I30,K30)</f>
        <v>856</v>
      </c>
      <c r="N30" s="22">
        <f t="shared" si="13"/>
        <v>4.9313452490363643</v>
      </c>
      <c r="O30" s="22">
        <f t="shared" si="14"/>
        <v>5.8709757067804285</v>
      </c>
      <c r="P30" s="22">
        <f t="shared" si="6"/>
        <v>5.8709757067804285</v>
      </c>
      <c r="Q30" s="21">
        <f t="shared" si="15"/>
        <v>1042</v>
      </c>
      <c r="R30" s="23">
        <f t="shared" si="16"/>
        <v>0.28790786948176583</v>
      </c>
      <c r="S30" s="23">
        <f>I30/MAX(I30,K30)</f>
        <v>0.86682242990654201</v>
      </c>
      <c r="T30" s="9" t="str">
        <f>_xlfn.TEXTJOIN(,0,"Места накопления ТКО (МНО): ",I30," по ФГИС УТКО / ",K30," по ТС")</f>
        <v>Места накопления ТКО (МНО): 742 по ФГИС УТКО / 856 по ТС</v>
      </c>
      <c r="U30" s="9" t="str">
        <f>_xlfn.TEXTJOIN(,0,"Наполнение ФГИС УТКО"," ",IF(I30&lt;=K30,TEXT(S30,"0%"),"более 100%"))</f>
        <v>Наполнение ФГИС УТКО 87%</v>
      </c>
      <c r="V30" s="25" t="str">
        <f>IF(O30&gt;$O$8,$V$107,IF(Q30&gt;$Q$10,$V$108,IF(I30&gt;K30*(1+$K$10),$V$109,"")))</f>
        <v>Аномальные данные территориальной схемы</v>
      </c>
      <c r="W30" s="9" t="str">
        <f>_xlfn.TEXTJOIN(,0,"Контейнерные площадки (КП): ",J30," по ФГИС УТКО / ",TEXT(Q30,"0,0")," на 1000 чел.")</f>
        <v>Контейнерные площадки (КП): 719 по ФГИС УТКО / 1042,0 на 1000 чел.</v>
      </c>
      <c r="X30" s="9">
        <f t="shared" si="9"/>
        <v>0.9991330191567821</v>
      </c>
      <c r="Y30" s="9" t="str">
        <f t="shared" si="19"/>
        <v xml:space="preserve">ниже </v>
      </c>
      <c r="Z30" s="9" t="str">
        <f t="shared" si="20"/>
        <v>Обеспеченность КП ниже среднего по России на 100%</v>
      </c>
      <c r="AA30" s="9" t="str">
        <f t="shared" si="21"/>
        <v>Потребность в КП по данным субъекта 300 шт. (29% от МНО)</v>
      </c>
      <c r="AB30" s="69" t="str">
        <f t="shared" si="22"/>
        <v>1/1/0 (29%)</v>
      </c>
    </row>
    <row r="31" spans="2:28">
      <c r="B31" s="12" t="s">
        <v>21</v>
      </c>
      <c r="C31" s="20">
        <f t="shared" si="10"/>
        <v>2</v>
      </c>
      <c r="D31" s="24">
        <f t="shared" si="23"/>
        <v>2</v>
      </c>
      <c r="E31" s="20">
        <f t="shared" si="11"/>
        <v>1</v>
      </c>
      <c r="F31" s="20">
        <f t="shared" si="24"/>
        <v>2</v>
      </c>
      <c r="G31" s="20">
        <f t="shared" ref="G31:G93" si="25">IF(OR(R31&gt;$R$8,R31&lt;=$R$7),2,IF(R31&gt;$R$10,1,0))</f>
        <v>2</v>
      </c>
      <c r="H31" s="21">
        <v>984395</v>
      </c>
      <c r="I31" s="54">
        <v>5551</v>
      </c>
      <c r="J31" s="54">
        <v>4003</v>
      </c>
      <c r="K31" s="54">
        <v>8880</v>
      </c>
      <c r="L31" s="54">
        <v>4539</v>
      </c>
      <c r="M31" s="21">
        <f>MAX(I31,K31)</f>
        <v>8880</v>
      </c>
      <c r="N31" s="22">
        <f t="shared" si="13"/>
        <v>4.0664570624596834</v>
      </c>
      <c r="O31" s="22">
        <f t="shared" si="14"/>
        <v>9.0207691018341212</v>
      </c>
      <c r="P31" s="22">
        <f t="shared" si="6"/>
        <v>9.0207691018341212</v>
      </c>
      <c r="Q31" s="21">
        <f t="shared" si="15"/>
        <v>10090</v>
      </c>
      <c r="R31" s="23">
        <f t="shared" si="16"/>
        <v>0.44985133795837462</v>
      </c>
      <c r="S31" s="23">
        <f>I31/MAX(I31,K31)</f>
        <v>0.62511261261261264</v>
      </c>
      <c r="T31" s="9" t="str">
        <f>_xlfn.TEXTJOIN(,0,"Места накопления ТКО (МНО): ",I31," по ФГИС УТКО / ",K31," по ТС")</f>
        <v>Места накопления ТКО (МНО): 5551 по ФГИС УТКО / 8880 по ТС</v>
      </c>
      <c r="U31" s="9" t="str">
        <f>_xlfn.TEXTJOIN(,0,"Наполнение ФГИС УТКО"," ",IF(I31&lt;=K31,TEXT(S31,"0%"),"более 100%"))</f>
        <v>Наполнение ФГИС УТКО 63%</v>
      </c>
      <c r="V31" s="25" t="str">
        <f>IF(O31&gt;$O$8,$V$107,IF(Q31&gt;$Q$10,$V$108,IF(I31&gt;K31*(1+$K$10),$V$109,"")))</f>
        <v>Аномальные данные территориальной схемы</v>
      </c>
      <c r="W31" s="9" t="str">
        <f>_xlfn.TEXTJOIN(,0,"Контейнерные площадки (КП): ",J31," по ФГИС УТКО / ",TEXT(Q31,"0,0")," на 1000 чел.")</f>
        <v>Контейнерные площадки (КП): 4003 по ФГИС УТКО / 10090,0 на 1000 чел.</v>
      </c>
      <c r="X31" s="9">
        <f t="shared" si="9"/>
        <v>0.99160476323601843</v>
      </c>
      <c r="Y31" s="9" t="str">
        <f t="shared" si="19"/>
        <v xml:space="preserve">ниже </v>
      </c>
      <c r="Z31" s="9" t="str">
        <f t="shared" si="20"/>
        <v>Обеспеченность КП ниже среднего по России на 99%</v>
      </c>
      <c r="AA31" s="9" t="str">
        <f t="shared" si="21"/>
        <v>Потребность в КП по данным субъекта 4539 шт. (45% от МНО)</v>
      </c>
      <c r="AB31" s="69" t="str">
        <f t="shared" si="22"/>
        <v>9/4/5 (45%)</v>
      </c>
    </row>
    <row r="32" spans="2:28">
      <c r="B32" s="12" t="s">
        <v>163</v>
      </c>
      <c r="C32" s="60">
        <v>0</v>
      </c>
      <c r="D32" s="60">
        <v>0</v>
      </c>
      <c r="E32" s="60">
        <v>0</v>
      </c>
      <c r="F32" s="60">
        <v>0</v>
      </c>
      <c r="G32" s="60">
        <v>0</v>
      </c>
      <c r="H32" s="21"/>
      <c r="I32" s="54"/>
      <c r="J32" s="54"/>
      <c r="K32" s="54">
        <v>0</v>
      </c>
      <c r="L32" s="54">
        <v>0</v>
      </c>
      <c r="M32" s="21"/>
      <c r="N32" s="22"/>
      <c r="O32" s="22"/>
      <c r="P32" s="22"/>
      <c r="Q32" s="21">
        <f t="shared" si="15"/>
        <v>0</v>
      </c>
      <c r="R32" s="23"/>
      <c r="S32" s="23"/>
      <c r="T32" s="9"/>
      <c r="V32" s="25"/>
    </row>
    <row r="33" spans="2:28">
      <c r="B33" s="12" t="s">
        <v>22</v>
      </c>
      <c r="C33" s="20">
        <f t="shared" si="10"/>
        <v>2</v>
      </c>
      <c r="D33" s="24">
        <f t="shared" si="23"/>
        <v>2</v>
      </c>
      <c r="E33" s="20">
        <f t="shared" si="11"/>
        <v>1</v>
      </c>
      <c r="F33" s="20">
        <f t="shared" si="24"/>
        <v>2</v>
      </c>
      <c r="G33" s="20">
        <f t="shared" si="25"/>
        <v>2</v>
      </c>
      <c r="H33" s="21">
        <v>905900</v>
      </c>
      <c r="I33" s="54">
        <v>5441</v>
      </c>
      <c r="J33" s="54">
        <v>5379</v>
      </c>
      <c r="K33" s="54">
        <v>8927</v>
      </c>
      <c r="L33" s="54">
        <v>0</v>
      </c>
      <c r="M33" s="21">
        <f t="shared" ref="M33:M48" si="26">MAX(I33,K33)</f>
        <v>8927</v>
      </c>
      <c r="N33" s="22">
        <f t="shared" si="13"/>
        <v>5.9377414725687157</v>
      </c>
      <c r="O33" s="22">
        <f t="shared" si="14"/>
        <v>9.8542885528203996</v>
      </c>
      <c r="P33" s="22">
        <f t="shared" si="6"/>
        <v>9.8542885528203996</v>
      </c>
      <c r="Q33" s="21">
        <f t="shared" si="15"/>
        <v>5441</v>
      </c>
      <c r="R33" s="23">
        <f t="shared" si="16"/>
        <v>0</v>
      </c>
      <c r="S33" s="23">
        <f t="shared" ref="S33:S48" si="27">I33/MAX(I33,K33)</f>
        <v>0.60949927187184949</v>
      </c>
      <c r="T33" s="9" t="str">
        <f t="shared" ref="T33:T48" si="28">_xlfn.TEXTJOIN(,0,"Места накопления ТКО (МНО): ",I33," по ФГИС УТКО / ",K33," по ТС")</f>
        <v>Места накопления ТКО (МНО): 5441 по ФГИС УТКО / 8927 по ТС</v>
      </c>
      <c r="U33" s="9" t="str">
        <f t="shared" ref="U33:U48" si="29">_xlfn.TEXTJOIN(,0,"Наполнение ФГИС УТКО"," ",IF(I33&lt;=K33,TEXT(S33,"0%"),"более 100%"))</f>
        <v>Наполнение ФГИС УТКО 61%</v>
      </c>
      <c r="V33" s="25" t="str">
        <f t="shared" ref="V33:V48" si="30">IF(O33&gt;$O$8,$V$107,IF(Q33&gt;$Q$10,$V$108,IF(I33&gt;K33*(1+$K$10),$V$109,"")))</f>
        <v>Аномальные данные территориальной схемы</v>
      </c>
      <c r="W33" s="9" t="str">
        <f t="shared" ref="W33:W48" si="31">_xlfn.TEXTJOIN(,0,"Контейнерные площадки (КП): ",J33," по ФГИС УТКО / ",TEXT(Q33,"0,0")," на 1000 чел.")</f>
        <v>Контейнерные площадки (КП): 5379 по ФГИС УТКО / 5441,0 на 1000 чел.</v>
      </c>
      <c r="X33" s="9">
        <f t="shared" si="9"/>
        <v>0.99547289561617214</v>
      </c>
      <c r="Y33" s="9" t="str">
        <f t="shared" si="19"/>
        <v xml:space="preserve">ниже </v>
      </c>
      <c r="Z33" s="9" t="str">
        <f t="shared" si="20"/>
        <v>Обеспеченность КП ниже среднего по России на 100%</v>
      </c>
      <c r="AA33" s="9" t="str">
        <f t="shared" si="21"/>
        <v>Потребность в КП не представлена</v>
      </c>
      <c r="AB33" s="69" t="str">
        <f t="shared" si="22"/>
        <v>5/5/0 (0%)</v>
      </c>
    </row>
    <row r="34" spans="2:28">
      <c r="B34" s="12" t="s">
        <v>23</v>
      </c>
      <c r="C34" s="20">
        <f t="shared" si="10"/>
        <v>0</v>
      </c>
      <c r="D34" s="24">
        <f t="shared" si="23"/>
        <v>0</v>
      </c>
      <c r="E34" s="20">
        <f t="shared" si="11"/>
        <v>0</v>
      </c>
      <c r="F34" s="20">
        <f t="shared" si="24"/>
        <v>1</v>
      </c>
      <c r="G34" s="20">
        <f t="shared" si="25"/>
        <v>0</v>
      </c>
      <c r="H34" s="21">
        <v>2330537</v>
      </c>
      <c r="I34" s="54">
        <v>17919</v>
      </c>
      <c r="J34" s="54">
        <v>17277</v>
      </c>
      <c r="K34" s="54">
        <v>26480</v>
      </c>
      <c r="L34" s="54">
        <v>3622</v>
      </c>
      <c r="M34" s="21">
        <f t="shared" si="26"/>
        <v>26480</v>
      </c>
      <c r="N34" s="22">
        <f t="shared" si="13"/>
        <v>7.4133128974137721</v>
      </c>
      <c r="O34" s="22">
        <f t="shared" si="14"/>
        <v>11.362188199543709</v>
      </c>
      <c r="P34" s="22">
        <f t="shared" si="6"/>
        <v>11.362188199543709</v>
      </c>
      <c r="Q34" s="21">
        <f>I34+L34</f>
        <v>21541</v>
      </c>
      <c r="R34" s="23">
        <f t="shared" si="16"/>
        <v>0.16814446868761895</v>
      </c>
      <c r="S34" s="23">
        <f t="shared" si="27"/>
        <v>0.67669939577039273</v>
      </c>
      <c r="T34" s="9" t="str">
        <f t="shared" si="28"/>
        <v>Места накопления ТКО (МНО): 17919 по ФГИС УТКО / 26480 по ТС</v>
      </c>
      <c r="U34" s="9" t="str">
        <f t="shared" si="29"/>
        <v>Наполнение ФГИС УТКО 68%</v>
      </c>
      <c r="V34" s="25" t="str">
        <f t="shared" si="30"/>
        <v>Аномальные данные территориальной схемы</v>
      </c>
      <c r="W34" s="9" t="str">
        <f t="shared" si="31"/>
        <v>Контейнерные площадки (КП): 17277 по ФГИС УТКО / 21541,0 на 1000 чел.</v>
      </c>
      <c r="X34" s="9">
        <f t="shared" si="9"/>
        <v>0.98207712634956135</v>
      </c>
      <c r="Y34" s="9" t="str">
        <f t="shared" si="19"/>
        <v xml:space="preserve">ниже </v>
      </c>
      <c r="Z34" s="9" t="str">
        <f t="shared" si="20"/>
        <v>Обеспеченность КП ниже среднего по России на 98%</v>
      </c>
      <c r="AA34" s="9" t="str">
        <f t="shared" si="21"/>
        <v>Потребность в КП по данным субъекта 3622 шт. (17% от МНО)</v>
      </c>
      <c r="AB34" s="69" t="str">
        <f t="shared" si="22"/>
        <v>21/17/4 (17%)</v>
      </c>
    </row>
    <row r="35" spans="2:28">
      <c r="B35" s="12" t="s">
        <v>24</v>
      </c>
      <c r="C35" s="20">
        <f t="shared" si="10"/>
        <v>2</v>
      </c>
      <c r="D35" s="24">
        <f t="shared" si="23"/>
        <v>2</v>
      </c>
      <c r="E35" s="20">
        <f t="shared" si="11"/>
        <v>2</v>
      </c>
      <c r="F35" s="20">
        <f t="shared" si="24"/>
        <v>2</v>
      </c>
      <c r="G35" s="20">
        <f t="shared" si="25"/>
        <v>2</v>
      </c>
      <c r="H35" s="21">
        <v>905464</v>
      </c>
      <c r="I35" s="54">
        <v>2337</v>
      </c>
      <c r="J35" s="54">
        <v>1818</v>
      </c>
      <c r="K35" s="54">
        <v>4092</v>
      </c>
      <c r="L35" s="54">
        <v>0</v>
      </c>
      <c r="M35" s="21">
        <f t="shared" si="26"/>
        <v>4092</v>
      </c>
      <c r="N35" s="22">
        <f t="shared" si="13"/>
        <v>2.0078103602131065</v>
      </c>
      <c r="O35" s="22">
        <f t="shared" si="14"/>
        <v>4.5192299196875849</v>
      </c>
      <c r="P35" s="22">
        <f t="shared" si="6"/>
        <v>4.5192299196875849</v>
      </c>
      <c r="Q35" s="21">
        <f t="shared" si="15"/>
        <v>2337</v>
      </c>
      <c r="R35" s="23">
        <f t="shared" si="16"/>
        <v>0</v>
      </c>
      <c r="S35" s="23">
        <f t="shared" si="27"/>
        <v>0.57111436950146632</v>
      </c>
      <c r="T35" s="9" t="str">
        <f t="shared" si="28"/>
        <v>Места накопления ТКО (МНО): 2337 по ФГИС УТКО / 4092 по ТС</v>
      </c>
      <c r="U35" s="9" t="str">
        <f t="shared" si="29"/>
        <v>Наполнение ФГИС УТКО 57%</v>
      </c>
      <c r="V35" s="25" t="str">
        <f t="shared" si="30"/>
        <v>Аномальные данные территориальной схемы</v>
      </c>
      <c r="W35" s="9" t="str">
        <f t="shared" si="31"/>
        <v>Контейнерные площадки (КП): 1818 по ФГИС УТКО / 2337,0 на 1000 чел.</v>
      </c>
      <c r="X35" s="9">
        <f t="shared" si="9"/>
        <v>0.99805553336794606</v>
      </c>
      <c r="Y35" s="9" t="str">
        <f t="shared" si="19"/>
        <v xml:space="preserve">ниже </v>
      </c>
      <c r="Z35" s="9" t="str">
        <f t="shared" si="20"/>
        <v>Обеспеченность КП ниже среднего по России на 100%</v>
      </c>
      <c r="AA35" s="9" t="str">
        <f t="shared" si="21"/>
        <v>Потребность в КП не представлена</v>
      </c>
      <c r="AB35" s="69" t="str">
        <f t="shared" si="22"/>
        <v>2/2/0 (0%)</v>
      </c>
    </row>
    <row r="36" spans="2:28">
      <c r="B36" s="12" t="s">
        <v>25</v>
      </c>
      <c r="C36" s="20">
        <f t="shared" si="10"/>
        <v>0</v>
      </c>
      <c r="D36" s="24">
        <f t="shared" si="23"/>
        <v>0</v>
      </c>
      <c r="E36" s="20">
        <f t="shared" si="11"/>
        <v>0</v>
      </c>
      <c r="F36" s="20">
        <f t="shared" si="24"/>
        <v>0</v>
      </c>
      <c r="G36" s="20">
        <f t="shared" si="25"/>
        <v>0</v>
      </c>
      <c r="H36" s="21">
        <v>1033914</v>
      </c>
      <c r="I36" s="54">
        <v>11788</v>
      </c>
      <c r="J36" s="54">
        <v>10857</v>
      </c>
      <c r="K36" s="54">
        <v>13421</v>
      </c>
      <c r="L36" s="54">
        <v>2554</v>
      </c>
      <c r="M36" s="21">
        <f t="shared" si="26"/>
        <v>13421</v>
      </c>
      <c r="N36" s="22">
        <f t="shared" si="13"/>
        <v>10.500873380184425</v>
      </c>
      <c r="O36" s="22">
        <f t="shared" si="14"/>
        <v>12.980770160767722</v>
      </c>
      <c r="P36" s="22">
        <f t="shared" si="6"/>
        <v>12.980770160767722</v>
      </c>
      <c r="Q36" s="21">
        <f t="shared" si="15"/>
        <v>14342</v>
      </c>
      <c r="R36" s="23">
        <f t="shared" si="16"/>
        <v>0.17807837121740344</v>
      </c>
      <c r="S36" s="23">
        <f t="shared" si="27"/>
        <v>0.8783250130392668</v>
      </c>
      <c r="T36" s="9" t="str">
        <f t="shared" si="28"/>
        <v>Места накопления ТКО (МНО): 11788 по ФГИС УТКО / 13421 по ТС</v>
      </c>
      <c r="U36" s="9" t="str">
        <f t="shared" si="29"/>
        <v>Наполнение ФГИС УТКО 88%</v>
      </c>
      <c r="V36" s="25" t="str">
        <f t="shared" si="30"/>
        <v>Аномальные данные территориальной схемы</v>
      </c>
      <c r="W36" s="9" t="str">
        <f t="shared" si="31"/>
        <v>Контейнерные площадки (КП): 10857 по ФГИС УТКО / 14342,0 на 1000 чел.</v>
      </c>
      <c r="X36" s="9">
        <f t="shared" si="9"/>
        <v>0.98806694889306013</v>
      </c>
      <c r="Y36" s="9" t="str">
        <f t="shared" si="19"/>
        <v xml:space="preserve">ниже </v>
      </c>
      <c r="Z36" s="9" t="str">
        <f t="shared" si="20"/>
        <v>Обеспеченность КП ниже среднего по России на 99%</v>
      </c>
      <c r="AA36" s="9" t="str">
        <f t="shared" si="21"/>
        <v>Потребность в КП по данным субъекта 2554 шт. (18% от МНО)</v>
      </c>
      <c r="AB36" s="69" t="str">
        <f t="shared" si="22"/>
        <v>13/11/3 (18%)</v>
      </c>
    </row>
    <row r="37" spans="2:28">
      <c r="B37" s="12" t="s">
        <v>26</v>
      </c>
      <c r="C37" s="20">
        <f t="shared" si="10"/>
        <v>0</v>
      </c>
      <c r="D37" s="24">
        <f t="shared" si="23"/>
        <v>0</v>
      </c>
      <c r="E37" s="20">
        <f t="shared" si="11"/>
        <v>0</v>
      </c>
      <c r="F37" s="20">
        <f t="shared" si="24"/>
        <v>0</v>
      </c>
      <c r="G37" s="20">
        <f t="shared" si="25"/>
        <v>0</v>
      </c>
      <c r="H37" s="21">
        <v>1068410</v>
      </c>
      <c r="I37" s="54">
        <v>7982</v>
      </c>
      <c r="J37" s="54">
        <v>7942</v>
      </c>
      <c r="K37" s="54">
        <v>8127</v>
      </c>
      <c r="L37" s="54">
        <v>590</v>
      </c>
      <c r="M37" s="21">
        <f t="shared" si="26"/>
        <v>8127</v>
      </c>
      <c r="N37" s="22">
        <f t="shared" si="13"/>
        <v>7.4334759128050099</v>
      </c>
      <c r="O37" s="22">
        <f t="shared" si="14"/>
        <v>7.6066304134180704</v>
      </c>
      <c r="P37" s="22">
        <f t="shared" si="6"/>
        <v>7.6066304134180704</v>
      </c>
      <c r="Q37" s="21">
        <f t="shared" si="15"/>
        <v>8572</v>
      </c>
      <c r="R37" s="23">
        <f t="shared" si="16"/>
        <v>6.8828744750349974E-2</v>
      </c>
      <c r="S37" s="23">
        <f t="shared" si="27"/>
        <v>0.98215823797219148</v>
      </c>
      <c r="T37" s="9" t="str">
        <f t="shared" si="28"/>
        <v>Места накопления ТКО (МНО): 7982 по ФГИС УТКО / 8127 по ТС</v>
      </c>
      <c r="U37" s="9" t="str">
        <f t="shared" si="29"/>
        <v>Наполнение ФГИС УТКО 98%</v>
      </c>
      <c r="V37" s="25" t="str">
        <f t="shared" si="30"/>
        <v>Аномальные данные территориальной схемы</v>
      </c>
      <c r="W37" s="9" t="str">
        <f t="shared" si="31"/>
        <v>Контейнерные площадки (КП): 7942 по ФГИС УТКО / 8572,0 на 1000 чел.</v>
      </c>
      <c r="X37" s="9">
        <f t="shared" si="9"/>
        <v>0.99286779290972749</v>
      </c>
      <c r="Y37" s="9" t="str">
        <f t="shared" si="19"/>
        <v xml:space="preserve">ниже </v>
      </c>
      <c r="Z37" s="9" t="str">
        <f t="shared" si="20"/>
        <v>Обеспеченность КП ниже среднего по России на 99%</v>
      </c>
      <c r="AA37" s="9" t="str">
        <f t="shared" si="21"/>
        <v>Потребность в КП по данным субъекта 590 шт. (7% от МНО)</v>
      </c>
      <c r="AB37" s="69" t="str">
        <f t="shared" si="22"/>
        <v>9/8/1 (7%)</v>
      </c>
    </row>
    <row r="38" spans="2:28">
      <c r="B38" s="12" t="s">
        <v>27</v>
      </c>
      <c r="C38" s="20">
        <f t="shared" si="10"/>
        <v>0</v>
      </c>
      <c r="D38" s="24">
        <f t="shared" si="23"/>
        <v>0</v>
      </c>
      <c r="E38" s="20">
        <f t="shared" si="11"/>
        <v>1</v>
      </c>
      <c r="F38" s="20">
        <f t="shared" si="24"/>
        <v>2</v>
      </c>
      <c r="G38" s="20">
        <f t="shared" si="25"/>
        <v>0</v>
      </c>
      <c r="H38" s="21">
        <v>288947</v>
      </c>
      <c r="I38" s="54">
        <v>1619</v>
      </c>
      <c r="J38" s="54">
        <v>1507</v>
      </c>
      <c r="K38" s="54">
        <v>2556</v>
      </c>
      <c r="L38" s="54">
        <v>202</v>
      </c>
      <c r="M38" s="21">
        <f t="shared" si="26"/>
        <v>2556</v>
      </c>
      <c r="N38" s="22">
        <f t="shared" si="13"/>
        <v>5.2154893457969802</v>
      </c>
      <c r="O38" s="22">
        <f t="shared" si="14"/>
        <v>8.8459129182860519</v>
      </c>
      <c r="P38" s="22">
        <f t="shared" si="6"/>
        <v>8.8459129182860519</v>
      </c>
      <c r="Q38" s="21">
        <f>I38+L38</f>
        <v>1821</v>
      </c>
      <c r="R38" s="23">
        <f t="shared" si="16"/>
        <v>0.11092806150466776</v>
      </c>
      <c r="S38" s="23">
        <f t="shared" si="27"/>
        <v>0.63341158059467917</v>
      </c>
      <c r="T38" s="9" t="str">
        <f t="shared" si="28"/>
        <v>Места накопления ТКО (МНО): 1619 по ФГИС УТКО / 2556 по ТС</v>
      </c>
      <c r="U38" s="9" t="str">
        <f t="shared" si="29"/>
        <v>Наполнение ФГИС УТКО 63%</v>
      </c>
      <c r="V38" s="25" t="str">
        <f t="shared" si="30"/>
        <v>Аномальные данные территориальной схемы</v>
      </c>
      <c r="W38" s="9" t="str">
        <f t="shared" si="31"/>
        <v>Контейнерные площадки (КП): 1507 по ФГИС УТКО / 1821,0 на 1000 чел.</v>
      </c>
      <c r="X38" s="9">
        <f t="shared" si="9"/>
        <v>0.99848486361276412</v>
      </c>
      <c r="Y38" s="9" t="str">
        <f t="shared" si="19"/>
        <v xml:space="preserve">ниже </v>
      </c>
      <c r="Z38" s="9" t="str">
        <f t="shared" si="20"/>
        <v>Обеспеченность КП ниже среднего по России на 100%</v>
      </c>
      <c r="AA38" s="9" t="str">
        <f t="shared" si="21"/>
        <v>Потребность в КП по данным субъекта 202 шт. (11% от МНО)</v>
      </c>
      <c r="AB38" s="69" t="str">
        <f t="shared" si="22"/>
        <v>2/2/0 (11%)</v>
      </c>
    </row>
    <row r="39" spans="2:28">
      <c r="B39" s="12" t="s">
        <v>28</v>
      </c>
      <c r="C39" s="20">
        <f t="shared" si="10"/>
        <v>2</v>
      </c>
      <c r="D39" s="24">
        <f t="shared" si="23"/>
        <v>2</v>
      </c>
      <c r="E39" s="20">
        <f t="shared" si="11"/>
        <v>2</v>
      </c>
      <c r="F39" s="20">
        <f t="shared" si="24"/>
        <v>1</v>
      </c>
      <c r="G39" s="20">
        <f t="shared" si="25"/>
        <v>2</v>
      </c>
      <c r="H39" s="21">
        <v>468322</v>
      </c>
      <c r="I39" s="54">
        <v>1118</v>
      </c>
      <c r="J39" s="54">
        <v>1103</v>
      </c>
      <c r="K39" s="54">
        <v>1608</v>
      </c>
      <c r="L39" s="54">
        <v>1700</v>
      </c>
      <c r="M39" s="21">
        <f t="shared" si="26"/>
        <v>1608</v>
      </c>
      <c r="N39" s="22">
        <f t="shared" si="13"/>
        <v>2.3552171369271568</v>
      </c>
      <c r="O39" s="22">
        <f t="shared" si="14"/>
        <v>3.4335350463996992</v>
      </c>
      <c r="P39" s="22">
        <f t="shared" si="6"/>
        <v>3.4335350463996992</v>
      </c>
      <c r="Q39" s="21">
        <f t="shared" si="15"/>
        <v>2818</v>
      </c>
      <c r="R39" s="23">
        <f t="shared" si="16"/>
        <v>0.60326472675656495</v>
      </c>
      <c r="S39" s="23">
        <f t="shared" si="27"/>
        <v>0.69527363184079605</v>
      </c>
      <c r="T39" s="9" t="str">
        <f t="shared" si="28"/>
        <v>Места накопления ТКО (МНО): 1118 по ФГИС УТКО / 1608 по ТС</v>
      </c>
      <c r="U39" s="9" t="str">
        <f t="shared" si="29"/>
        <v>Наполнение ФГИС УТКО 70%</v>
      </c>
      <c r="V39" s="25" t="str">
        <f t="shared" si="30"/>
        <v>Аномальные данные территориальной схемы</v>
      </c>
      <c r="W39" s="9" t="str">
        <f t="shared" si="31"/>
        <v>Контейнерные площадки (КП): 1103 по ФГИС УТКО / 2818,0 на 1000 чел.</v>
      </c>
      <c r="X39" s="9">
        <f t="shared" si="9"/>
        <v>0.99765532436066406</v>
      </c>
      <c r="Y39" s="9" t="str">
        <f t="shared" si="19"/>
        <v xml:space="preserve">ниже </v>
      </c>
      <c r="Z39" s="9" t="str">
        <f t="shared" si="20"/>
        <v>Обеспеченность КП ниже среднего по России на 100%</v>
      </c>
      <c r="AA39" s="9" t="str">
        <f t="shared" si="21"/>
        <v>Потребность в КП по данным субъекта 1700 шт. (60% от МНО)</v>
      </c>
      <c r="AB39" s="69" t="str">
        <f t="shared" si="22"/>
        <v>3/1/2 (60%)</v>
      </c>
    </row>
    <row r="40" spans="2:28">
      <c r="B40" s="12" t="s">
        <v>29</v>
      </c>
      <c r="C40" s="20">
        <f t="shared" si="10"/>
        <v>2</v>
      </c>
      <c r="D40" s="24">
        <f t="shared" si="23"/>
        <v>2</v>
      </c>
      <c r="E40" s="20">
        <f t="shared" si="11"/>
        <v>0</v>
      </c>
      <c r="F40" s="20">
        <f t="shared" si="24"/>
        <v>0</v>
      </c>
      <c r="G40" s="20">
        <f t="shared" si="25"/>
        <v>2</v>
      </c>
      <c r="H40" s="21">
        <v>2547684</v>
      </c>
      <c r="I40" s="54">
        <v>44859</v>
      </c>
      <c r="J40" s="54">
        <v>42880</v>
      </c>
      <c r="K40" s="54">
        <v>46188</v>
      </c>
      <c r="L40" s="54">
        <v>0</v>
      </c>
      <c r="M40" s="21">
        <f t="shared" si="26"/>
        <v>46188</v>
      </c>
      <c r="N40" s="22">
        <f t="shared" si="13"/>
        <v>16.830972758002954</v>
      </c>
      <c r="O40" s="22">
        <f t="shared" si="14"/>
        <v>18.129406943718294</v>
      </c>
      <c r="P40" s="22">
        <f t="shared" si="6"/>
        <v>18.129406943718294</v>
      </c>
      <c r="Q40" s="21">
        <f t="shared" si="15"/>
        <v>44859</v>
      </c>
      <c r="R40" s="23">
        <f t="shared" si="16"/>
        <v>0</v>
      </c>
      <c r="S40" s="23">
        <f t="shared" si="27"/>
        <v>0.97122629254351778</v>
      </c>
      <c r="T40" s="9" t="str">
        <f t="shared" si="28"/>
        <v>Места накопления ТКО (МНО): 44859 по ФГИС УТКО / 46188 по ТС</v>
      </c>
      <c r="U40" s="9" t="str">
        <f t="shared" si="29"/>
        <v>Наполнение ФГИС УТКО 97%</v>
      </c>
      <c r="V40" s="25" t="str">
        <f t="shared" si="30"/>
        <v>Аномальные данные территориальной схемы</v>
      </c>
      <c r="W40" s="9" t="str">
        <f t="shared" si="31"/>
        <v>Контейнерные площадки (КП): 42880 по ФГИС УТКО / 44859,0 на 1000 чел.</v>
      </c>
      <c r="X40" s="9">
        <f t="shared" si="9"/>
        <v>0.96267572586764649</v>
      </c>
      <c r="Y40" s="9" t="str">
        <f t="shared" si="19"/>
        <v xml:space="preserve">ниже </v>
      </c>
      <c r="Z40" s="9" t="str">
        <f t="shared" si="20"/>
        <v>Обеспеченность КП ниже среднего по России на 96%</v>
      </c>
      <c r="AA40" s="9" t="str">
        <f t="shared" si="21"/>
        <v>Потребность в КП не представлена</v>
      </c>
      <c r="AB40" s="69" t="str">
        <f t="shared" si="22"/>
        <v>43/43/0 (0%)</v>
      </c>
    </row>
    <row r="41" spans="2:28">
      <c r="B41" s="12" t="s">
        <v>30</v>
      </c>
      <c r="C41" s="20">
        <f t="shared" si="10"/>
        <v>0</v>
      </c>
      <c r="D41" s="24">
        <f t="shared" si="23"/>
        <v>0</v>
      </c>
      <c r="E41" s="20">
        <f t="shared" si="11"/>
        <v>0</v>
      </c>
      <c r="F41" s="20">
        <f t="shared" si="24"/>
        <v>2</v>
      </c>
      <c r="G41" s="20">
        <f t="shared" si="25"/>
        <v>0</v>
      </c>
      <c r="H41" s="21">
        <v>1129935</v>
      </c>
      <c r="I41" s="54">
        <v>12185</v>
      </c>
      <c r="J41" s="54">
        <v>11495</v>
      </c>
      <c r="K41" s="54">
        <v>18142</v>
      </c>
      <c r="L41" s="54">
        <v>2028</v>
      </c>
      <c r="M41" s="21">
        <f t="shared" si="26"/>
        <v>18142</v>
      </c>
      <c r="N41" s="22">
        <f t="shared" si="13"/>
        <v>10.173151552965436</v>
      </c>
      <c r="O41" s="22">
        <f t="shared" si="14"/>
        <v>16.055790819825919</v>
      </c>
      <c r="P41" s="22">
        <f t="shared" si="6"/>
        <v>16.055790819825919</v>
      </c>
      <c r="Q41" s="21">
        <f t="shared" si="15"/>
        <v>14213</v>
      </c>
      <c r="R41" s="23">
        <f t="shared" si="16"/>
        <v>0.14268627313023288</v>
      </c>
      <c r="S41" s="23">
        <f t="shared" si="27"/>
        <v>0.67164590453092277</v>
      </c>
      <c r="T41" s="9" t="str">
        <f t="shared" si="28"/>
        <v>Места накопления ТКО (МНО): 12185 по ФГИС УТКО / 18142 по ТС</v>
      </c>
      <c r="U41" s="9" t="str">
        <f t="shared" si="29"/>
        <v>Наполнение ФГИС УТКО 67%</v>
      </c>
      <c r="V41" s="25" t="str">
        <f t="shared" si="30"/>
        <v>Аномальные данные территориальной схемы</v>
      </c>
      <c r="W41" s="9" t="str">
        <f t="shared" si="31"/>
        <v>Контейнерные площадки (КП): 11495 по ФГИС УТКО / 14213,0 на 1000 чел.</v>
      </c>
      <c r="X41" s="9">
        <f t="shared" si="9"/>
        <v>0.98817428145426467</v>
      </c>
      <c r="Y41" s="9" t="str">
        <f t="shared" si="19"/>
        <v xml:space="preserve">ниже </v>
      </c>
      <c r="Z41" s="9" t="str">
        <f t="shared" si="20"/>
        <v>Обеспеченность КП ниже среднего по России на 99%</v>
      </c>
      <c r="AA41" s="9" t="str">
        <f t="shared" si="21"/>
        <v>Потребность в КП по данным субъекта 2028 шт. (14% от МНО)</v>
      </c>
      <c r="AB41" s="69" t="str">
        <f t="shared" si="22"/>
        <v>14/11/2 (14%)</v>
      </c>
    </row>
    <row r="42" spans="2:28">
      <c r="B42" s="12" t="s">
        <v>31</v>
      </c>
      <c r="C42" s="20">
        <f t="shared" si="10"/>
        <v>0</v>
      </c>
      <c r="D42" s="24">
        <f t="shared" si="23"/>
        <v>0</v>
      </c>
      <c r="E42" s="20">
        <f t="shared" si="11"/>
        <v>0</v>
      </c>
      <c r="F42" s="20">
        <f t="shared" si="24"/>
        <v>1</v>
      </c>
      <c r="G42" s="20">
        <f t="shared" si="25"/>
        <v>0</v>
      </c>
      <c r="H42" s="21">
        <v>566266</v>
      </c>
      <c r="I42" s="54">
        <v>4920</v>
      </c>
      <c r="J42" s="54">
        <v>4772</v>
      </c>
      <c r="K42" s="54">
        <v>6638</v>
      </c>
      <c r="L42" s="54">
        <v>173</v>
      </c>
      <c r="M42" s="21">
        <f t="shared" si="26"/>
        <v>6638</v>
      </c>
      <c r="N42" s="22">
        <f t="shared" si="13"/>
        <v>8.42713495071221</v>
      </c>
      <c r="O42" s="22">
        <f t="shared" si="14"/>
        <v>11.722406077709062</v>
      </c>
      <c r="P42" s="22">
        <f t="shared" si="6"/>
        <v>11.722406077709062</v>
      </c>
      <c r="Q42" s="21">
        <f t="shared" si="15"/>
        <v>5093</v>
      </c>
      <c r="R42" s="23">
        <f t="shared" si="16"/>
        <v>3.3968191635578245E-2</v>
      </c>
      <c r="S42" s="23">
        <f t="shared" si="27"/>
        <v>0.74118710454956316</v>
      </c>
      <c r="T42" s="9" t="str">
        <f t="shared" si="28"/>
        <v>Места накопления ТКО (МНО): 4920 по ФГИС УТКО / 6638 по ТС</v>
      </c>
      <c r="U42" s="9" t="str">
        <f t="shared" si="29"/>
        <v>Наполнение ФГИС УТКО 74%</v>
      </c>
      <c r="V42" s="25" t="str">
        <f t="shared" si="30"/>
        <v>Аномальные данные территориальной схемы</v>
      </c>
      <c r="W42" s="9" t="str">
        <f t="shared" si="31"/>
        <v>Контейнерные площадки (КП): 4772 по ФГИС УТКО / 5093,0 на 1000 чел.</v>
      </c>
      <c r="X42" s="9">
        <f t="shared" si="9"/>
        <v>0.99576244392081681</v>
      </c>
      <c r="Y42" s="9" t="str">
        <f t="shared" si="19"/>
        <v xml:space="preserve">ниже </v>
      </c>
      <c r="Z42" s="9" t="str">
        <f t="shared" si="20"/>
        <v>Обеспеченность КП ниже среднего по России на 100%</v>
      </c>
      <c r="AA42" s="9" t="str">
        <f t="shared" si="21"/>
        <v>Потребность в КП по данным субъекта 173 шт. (3% от МНО)</v>
      </c>
      <c r="AB42" s="69" t="str">
        <f t="shared" si="22"/>
        <v>5/5/0 (3%)</v>
      </c>
    </row>
    <row r="43" spans="2:28">
      <c r="B43" s="12" t="s">
        <v>32</v>
      </c>
      <c r="C43" s="20">
        <f t="shared" si="10"/>
        <v>1</v>
      </c>
      <c r="D43" s="24">
        <f t="shared" si="23"/>
        <v>1</v>
      </c>
      <c r="E43" s="20">
        <f t="shared" si="11"/>
        <v>1</v>
      </c>
      <c r="F43" s="20">
        <f t="shared" si="24"/>
        <v>2</v>
      </c>
      <c r="G43" s="20">
        <f t="shared" si="25"/>
        <v>1</v>
      </c>
      <c r="H43" s="21">
        <v>5833002</v>
      </c>
      <c r="I43" s="54">
        <v>21178</v>
      </c>
      <c r="J43" s="54">
        <v>20810</v>
      </c>
      <c r="K43" s="54">
        <v>47868</v>
      </c>
      <c r="L43" s="54">
        <v>7455</v>
      </c>
      <c r="M43" s="21">
        <f t="shared" si="26"/>
        <v>47868</v>
      </c>
      <c r="N43" s="22">
        <f t="shared" si="13"/>
        <v>3.5676312128814631</v>
      </c>
      <c r="O43" s="22">
        <f t="shared" si="14"/>
        <v>8.2064089811729879</v>
      </c>
      <c r="P43" s="22">
        <f t="shared" si="6"/>
        <v>8.2064089811729879</v>
      </c>
      <c r="Q43" s="21">
        <f t="shared" si="15"/>
        <v>28633</v>
      </c>
      <c r="R43" s="23">
        <f t="shared" si="16"/>
        <v>0.26036391576153389</v>
      </c>
      <c r="S43" s="23">
        <f t="shared" si="27"/>
        <v>0.44242500208907831</v>
      </c>
      <c r="T43" s="9" t="str">
        <f t="shared" si="28"/>
        <v>Места накопления ТКО (МНО): 21178 по ФГИС УТКО / 47868 по ТС</v>
      </c>
      <c r="U43" s="9" t="str">
        <f t="shared" si="29"/>
        <v>Наполнение ФГИС УТКО 44%</v>
      </c>
      <c r="V43" s="25" t="str">
        <f t="shared" si="30"/>
        <v>Аномальные данные территориальной схемы</v>
      </c>
      <c r="W43" s="9" t="str">
        <f t="shared" si="31"/>
        <v>Контейнерные площадки (КП): 20810 по ФГИС УТКО / 28633,0 на 1000 чел.</v>
      </c>
      <c r="X43" s="9">
        <f t="shared" si="9"/>
        <v>0.97617633158938721</v>
      </c>
      <c r="Y43" s="9" t="str">
        <f t="shared" si="19"/>
        <v xml:space="preserve">ниже </v>
      </c>
      <c r="Z43" s="9" t="str">
        <f t="shared" si="20"/>
        <v>Обеспеченность КП ниже среднего по России на 98%</v>
      </c>
      <c r="AA43" s="9" t="str">
        <f t="shared" si="21"/>
        <v>Потребность в КП по данным субъекта 7455 шт. (26% от МНО)</v>
      </c>
      <c r="AB43" s="69" t="str">
        <f t="shared" si="22"/>
        <v>28/21/7 (26%)</v>
      </c>
    </row>
    <row r="44" spans="2:28">
      <c r="B44" s="12" t="s">
        <v>33</v>
      </c>
      <c r="C44" s="20">
        <f t="shared" si="10"/>
        <v>1</v>
      </c>
      <c r="D44" s="24">
        <f t="shared" si="23"/>
        <v>1</v>
      </c>
      <c r="E44" s="20">
        <f t="shared" si="11"/>
        <v>1</v>
      </c>
      <c r="F44" s="20">
        <f t="shared" si="24"/>
        <v>2</v>
      </c>
      <c r="G44" s="20">
        <f t="shared" si="25"/>
        <v>1</v>
      </c>
      <c r="H44" s="21">
        <v>2846120</v>
      </c>
      <c r="I44" s="54">
        <v>23450</v>
      </c>
      <c r="J44" s="54">
        <v>12540</v>
      </c>
      <c r="K44" s="54">
        <v>49398</v>
      </c>
      <c r="L44" s="54">
        <v>5762</v>
      </c>
      <c r="M44" s="21">
        <f t="shared" si="26"/>
        <v>49398</v>
      </c>
      <c r="N44" s="22">
        <f t="shared" si="13"/>
        <v>4.4059983416019</v>
      </c>
      <c r="O44" s="22">
        <f t="shared" si="14"/>
        <v>17.356260452827009</v>
      </c>
      <c r="P44" s="22">
        <f t="shared" si="6"/>
        <v>17.356260452827009</v>
      </c>
      <c r="Q44" s="21">
        <f t="shared" si="15"/>
        <v>29212</v>
      </c>
      <c r="R44" s="23">
        <f t="shared" si="16"/>
        <v>0.19724770642201836</v>
      </c>
      <c r="S44" s="23">
        <f t="shared" si="27"/>
        <v>0.47471557552937366</v>
      </c>
      <c r="T44" s="9" t="str">
        <f t="shared" si="28"/>
        <v>Места накопления ТКО (МНО): 23450 по ФГИС УТКО / 49398 по ТС</v>
      </c>
      <c r="U44" s="9" t="str">
        <f t="shared" si="29"/>
        <v>Наполнение ФГИС УТКО 47%</v>
      </c>
      <c r="V44" s="25" t="str">
        <f t="shared" si="30"/>
        <v>Аномальные данные территориальной схемы</v>
      </c>
      <c r="W44" s="9" t="str">
        <f t="shared" si="31"/>
        <v>Контейнерные площадки (КП): 12540 по ФГИС УТКО / 29212,0 на 1000 чел.</v>
      </c>
      <c r="X44" s="9">
        <f t="shared" si="9"/>
        <v>0.97569458311700419</v>
      </c>
      <c r="Y44" s="9" t="str">
        <f t="shared" si="19"/>
        <v xml:space="preserve">ниже </v>
      </c>
      <c r="Z44" s="9" t="str">
        <f t="shared" si="20"/>
        <v>Обеспеченность КП ниже среднего по России на 98%</v>
      </c>
      <c r="AA44" s="9" t="str">
        <f t="shared" si="21"/>
        <v>Потребность в КП по данным субъекта 5762 шт. (20% от МНО)</v>
      </c>
      <c r="AB44" s="69" t="str">
        <f t="shared" si="22"/>
        <v>18/13/6 (20%)</v>
      </c>
    </row>
    <row r="45" spans="2:28">
      <c r="B45" s="12" t="s">
        <v>34</v>
      </c>
      <c r="C45" s="20">
        <f t="shared" si="10"/>
        <v>2</v>
      </c>
      <c r="D45" s="24">
        <f t="shared" si="23"/>
        <v>2</v>
      </c>
      <c r="E45" s="20">
        <f t="shared" si="11"/>
        <v>0</v>
      </c>
      <c r="F45" s="20">
        <f t="shared" si="24"/>
        <v>2</v>
      </c>
      <c r="G45" s="20">
        <f t="shared" si="25"/>
        <v>2</v>
      </c>
      <c r="H45" s="21">
        <v>753002</v>
      </c>
      <c r="I45" s="54">
        <v>8593</v>
      </c>
      <c r="J45" s="54">
        <v>8588</v>
      </c>
      <c r="K45" s="54">
        <v>13021</v>
      </c>
      <c r="L45" s="54">
        <v>0</v>
      </c>
      <c r="M45" s="21">
        <f t="shared" si="26"/>
        <v>13021</v>
      </c>
      <c r="N45" s="22">
        <f t="shared" si="13"/>
        <v>11.40501618853602</v>
      </c>
      <c r="O45" s="22">
        <f t="shared" si="14"/>
        <v>17.292118746032546</v>
      </c>
      <c r="P45" s="22">
        <f t="shared" si="6"/>
        <v>17.292118746032546</v>
      </c>
      <c r="Q45" s="21">
        <f t="shared" si="15"/>
        <v>8593</v>
      </c>
      <c r="R45" s="23">
        <f t="shared" si="16"/>
        <v>0</v>
      </c>
      <c r="S45" s="23">
        <f t="shared" si="27"/>
        <v>0.65993395284540357</v>
      </c>
      <c r="T45" s="9" t="str">
        <f t="shared" si="28"/>
        <v>Места накопления ТКО (МНО): 8593 по ФГИС УТКО / 13021 по ТС</v>
      </c>
      <c r="U45" s="9" t="str">
        <f t="shared" si="29"/>
        <v>Наполнение ФГИС УТКО 66%</v>
      </c>
      <c r="V45" s="25" t="str">
        <f t="shared" si="30"/>
        <v>Аномальные данные территориальной схемы</v>
      </c>
      <c r="W45" s="9" t="str">
        <f t="shared" si="31"/>
        <v>Контейнерные площадки (КП): 8588 по ФГИС УТКО / 8593,0 на 1000 чел.</v>
      </c>
      <c r="X45" s="9">
        <f t="shared" si="9"/>
        <v>0.99285032016720587</v>
      </c>
      <c r="Y45" s="9" t="str">
        <f t="shared" si="19"/>
        <v xml:space="preserve">ниже </v>
      </c>
      <c r="Z45" s="9" t="str">
        <f t="shared" si="20"/>
        <v>Обеспеченность КП ниже среднего по России на 99%</v>
      </c>
      <c r="AA45" s="9" t="str">
        <f t="shared" si="21"/>
        <v>Потребность в КП не представлена</v>
      </c>
      <c r="AB45" s="69" t="str">
        <f t="shared" si="22"/>
        <v>9/9/0 (0%)</v>
      </c>
    </row>
    <row r="46" spans="2:28">
      <c r="B46" s="12" t="s">
        <v>35</v>
      </c>
      <c r="C46" s="20">
        <f t="shared" si="10"/>
        <v>1</v>
      </c>
      <c r="D46" s="24">
        <f t="shared" si="23"/>
        <v>1</v>
      </c>
      <c r="E46" s="20">
        <f t="shared" si="11"/>
        <v>0</v>
      </c>
      <c r="F46" s="20">
        <f t="shared" si="24"/>
        <v>0</v>
      </c>
      <c r="G46" s="20">
        <f t="shared" si="25"/>
        <v>1</v>
      </c>
      <c r="H46" s="21">
        <v>1060892</v>
      </c>
      <c r="I46" s="54">
        <v>7506</v>
      </c>
      <c r="J46" s="54">
        <v>7335</v>
      </c>
      <c r="K46" s="54">
        <v>7471</v>
      </c>
      <c r="L46" s="54">
        <v>2937</v>
      </c>
      <c r="M46" s="21">
        <f t="shared" si="26"/>
        <v>7506</v>
      </c>
      <c r="N46" s="22">
        <f t="shared" si="13"/>
        <v>6.9139931303092119</v>
      </c>
      <c r="O46" s="22">
        <f t="shared" si="14"/>
        <v>7.0421871406325991</v>
      </c>
      <c r="P46" s="22">
        <f t="shared" si="6"/>
        <v>7.0421871406325991</v>
      </c>
      <c r="Q46" s="21">
        <f t="shared" si="15"/>
        <v>10443</v>
      </c>
      <c r="R46" s="23">
        <f t="shared" si="16"/>
        <v>0.28124102269462797</v>
      </c>
      <c r="S46" s="23">
        <f t="shared" si="27"/>
        <v>1</v>
      </c>
      <c r="T46" s="9" t="str">
        <f t="shared" si="28"/>
        <v>Места накопления ТКО (МНО): 7506 по ФГИС УТКО / 7471 по ТС</v>
      </c>
      <c r="U46" s="9" t="str">
        <f t="shared" si="29"/>
        <v>Наполнение ФГИС УТКО более 100%</v>
      </c>
      <c r="V46" s="25" t="str">
        <f t="shared" si="30"/>
        <v>Аномальные данные территориальной схемы</v>
      </c>
      <c r="W46" s="9" t="str">
        <f t="shared" si="31"/>
        <v>Контейнерные площадки (КП): 7335 по ФГИС УТКО / 10443,0 на 1000 чел.</v>
      </c>
      <c r="X46" s="9">
        <f t="shared" si="9"/>
        <v>0.99131105475458281</v>
      </c>
      <c r="Y46" s="9" t="str">
        <f t="shared" si="19"/>
        <v xml:space="preserve">ниже </v>
      </c>
      <c r="Z46" s="9" t="str">
        <f t="shared" si="20"/>
        <v>Обеспеченность КП ниже среднего по России на 99%</v>
      </c>
      <c r="AA46" s="9" t="str">
        <f t="shared" si="21"/>
        <v>Потребность в КП по данным субъекта 2937 шт. (28% от МНО)</v>
      </c>
      <c r="AB46" s="69" t="str">
        <f t="shared" si="22"/>
        <v>10/7/3 (28%)</v>
      </c>
    </row>
    <row r="47" spans="2:28">
      <c r="B47" s="12" t="s">
        <v>36</v>
      </c>
      <c r="C47" s="20">
        <f t="shared" si="10"/>
        <v>0</v>
      </c>
      <c r="D47" s="24">
        <f t="shared" si="23"/>
        <v>0</v>
      </c>
      <c r="E47" s="20">
        <f t="shared" si="11"/>
        <v>1</v>
      </c>
      <c r="F47" s="20">
        <f t="shared" si="24"/>
        <v>2</v>
      </c>
      <c r="G47" s="20">
        <f t="shared" si="25"/>
        <v>0</v>
      </c>
      <c r="H47" s="21">
        <v>2035762</v>
      </c>
      <c r="I47" s="54">
        <v>10166</v>
      </c>
      <c r="J47" s="54">
        <v>9819</v>
      </c>
      <c r="K47" s="54">
        <v>21971</v>
      </c>
      <c r="L47" s="54">
        <v>619</v>
      </c>
      <c r="M47" s="21">
        <f t="shared" si="26"/>
        <v>21971</v>
      </c>
      <c r="N47" s="22">
        <f t="shared" si="13"/>
        <v>4.8232553707162236</v>
      </c>
      <c r="O47" s="22">
        <f t="shared" si="14"/>
        <v>10.792518968327339</v>
      </c>
      <c r="P47" s="22">
        <f t="shared" si="6"/>
        <v>10.792518968327339</v>
      </c>
      <c r="Q47" s="21">
        <f t="shared" si="15"/>
        <v>10785</v>
      </c>
      <c r="R47" s="23">
        <f t="shared" si="16"/>
        <v>5.7394529439035696E-2</v>
      </c>
      <c r="S47" s="23">
        <f t="shared" si="27"/>
        <v>0.46270083291611669</v>
      </c>
      <c r="T47" s="9" t="str">
        <f t="shared" si="28"/>
        <v>Места накопления ТКО (МНО): 10166 по ФГИС УТКО / 21971 по ТС</v>
      </c>
      <c r="U47" s="9" t="str">
        <f t="shared" si="29"/>
        <v>Наполнение ФГИС УТКО 46%</v>
      </c>
      <c r="V47" s="25" t="str">
        <f t="shared" si="30"/>
        <v>Аномальные данные территориальной схемы</v>
      </c>
      <c r="W47" s="9" t="str">
        <f t="shared" si="31"/>
        <v>Контейнерные площадки (КП): 9819 по ФГИС УТКО / 10785,0 на 1000 чел.</v>
      </c>
      <c r="X47" s="9">
        <f t="shared" si="9"/>
        <v>0.99102649866208714</v>
      </c>
      <c r="Y47" s="9" t="str">
        <f t="shared" si="19"/>
        <v xml:space="preserve">ниже </v>
      </c>
      <c r="Z47" s="9" t="str">
        <f t="shared" si="20"/>
        <v>Обеспеченность КП ниже среднего по России на 99%</v>
      </c>
      <c r="AA47" s="9" t="str">
        <f t="shared" si="21"/>
        <v>Потребность в КП по данным субъекта 619 шт. (6% от МНО)</v>
      </c>
      <c r="AB47" s="69" t="str">
        <f t="shared" si="22"/>
        <v>10/10/1 (6%)</v>
      </c>
    </row>
    <row r="48" spans="2:28">
      <c r="B48" s="12" t="s">
        <v>37</v>
      </c>
      <c r="C48" s="20">
        <f t="shared" si="10"/>
        <v>1</v>
      </c>
      <c r="D48" s="24">
        <f t="shared" si="23"/>
        <v>1</v>
      </c>
      <c r="E48" s="20">
        <f t="shared" si="11"/>
        <v>0</v>
      </c>
      <c r="F48" s="20">
        <f t="shared" si="24"/>
        <v>0</v>
      </c>
      <c r="G48" s="20">
        <f t="shared" si="25"/>
        <v>1</v>
      </c>
      <c r="H48" s="21">
        <v>1116265</v>
      </c>
      <c r="I48" s="54">
        <v>17046</v>
      </c>
      <c r="J48" s="54">
        <v>17039</v>
      </c>
      <c r="K48" s="54">
        <v>15798</v>
      </c>
      <c r="L48" s="54">
        <v>5833</v>
      </c>
      <c r="M48" s="21">
        <f t="shared" si="26"/>
        <v>17046</v>
      </c>
      <c r="N48" s="22">
        <f t="shared" si="13"/>
        <v>15.264296560404564</v>
      </c>
      <c r="O48" s="22">
        <f t="shared" si="14"/>
        <v>14.152553381141574</v>
      </c>
      <c r="P48" s="22">
        <f t="shared" si="6"/>
        <v>15.264296560404564</v>
      </c>
      <c r="Q48" s="21">
        <f t="shared" si="15"/>
        <v>22879</v>
      </c>
      <c r="R48" s="23">
        <f t="shared" si="16"/>
        <v>0.25494995410638577</v>
      </c>
      <c r="S48" s="23">
        <f t="shared" si="27"/>
        <v>1</v>
      </c>
      <c r="T48" s="9" t="str">
        <f t="shared" si="28"/>
        <v>Места накопления ТКО (МНО): 17046 по ФГИС УТКО / 15798 по ТС</v>
      </c>
      <c r="U48" s="9" t="str">
        <f t="shared" si="29"/>
        <v>Наполнение ФГИС УТКО более 100%</v>
      </c>
      <c r="V48" s="25" t="str">
        <f t="shared" si="30"/>
        <v>Аномальные данные территориальной схемы</v>
      </c>
      <c r="W48" s="9" t="str">
        <f t="shared" si="31"/>
        <v>Контейнерные площадки (КП): 17039 по ФГИС УТКО / 22879,0 на 1000 чел.</v>
      </c>
      <c r="X48" s="9">
        <f t="shared" si="9"/>
        <v>0.98096386304032379</v>
      </c>
      <c r="Y48" s="9" t="str">
        <f t="shared" si="19"/>
        <v xml:space="preserve">ниже </v>
      </c>
      <c r="Z48" s="9" t="str">
        <f t="shared" si="20"/>
        <v>Обеспеченность КП ниже среднего по России на 98%</v>
      </c>
      <c r="AA48" s="9" t="str">
        <f t="shared" si="21"/>
        <v>Потребность в КП по данным субъекта 5833 шт. (25% от МНО)</v>
      </c>
      <c r="AB48" s="69" t="str">
        <f t="shared" si="22"/>
        <v>23/17/6 (25%)</v>
      </c>
    </row>
    <row r="49" spans="2:28">
      <c r="B49" s="12" t="s">
        <v>581</v>
      </c>
      <c r="C49" s="60">
        <v>0</v>
      </c>
      <c r="D49" s="60">
        <v>0</v>
      </c>
      <c r="E49" s="60">
        <v>0</v>
      </c>
      <c r="F49" s="60">
        <v>0</v>
      </c>
      <c r="G49" s="60">
        <v>0</v>
      </c>
      <c r="H49" s="21"/>
      <c r="I49" s="54"/>
      <c r="J49" s="54"/>
      <c r="K49" s="54">
        <v>2058</v>
      </c>
      <c r="L49" s="54">
        <v>5695</v>
      </c>
      <c r="M49" s="21"/>
      <c r="N49" s="22"/>
      <c r="O49" s="22"/>
      <c r="P49" s="22"/>
      <c r="Q49" s="21">
        <f t="shared" si="15"/>
        <v>5695</v>
      </c>
      <c r="R49" s="23"/>
      <c r="S49" s="23"/>
      <c r="T49" s="9"/>
      <c r="V49" s="25"/>
    </row>
    <row r="50" spans="2:28">
      <c r="B50" s="12" t="s">
        <v>38</v>
      </c>
      <c r="C50" s="20">
        <f t="shared" si="10"/>
        <v>2</v>
      </c>
      <c r="D50" s="24">
        <f t="shared" si="23"/>
        <v>2</v>
      </c>
      <c r="E50" s="20">
        <f t="shared" si="11"/>
        <v>0</v>
      </c>
      <c r="F50" s="20">
        <f t="shared" si="24"/>
        <v>0</v>
      </c>
      <c r="G50" s="20">
        <f t="shared" si="25"/>
        <v>2</v>
      </c>
      <c r="H50" s="21">
        <v>133387</v>
      </c>
      <c r="I50" s="54">
        <v>954</v>
      </c>
      <c r="J50" s="54">
        <v>916</v>
      </c>
      <c r="K50" s="54">
        <v>746</v>
      </c>
      <c r="L50" s="54">
        <v>0</v>
      </c>
      <c r="M50" s="21">
        <f t="shared" ref="M50:M97" si="32">MAX(I50,K50)</f>
        <v>954</v>
      </c>
      <c r="N50" s="22">
        <f t="shared" si="13"/>
        <v>6.8672359375351419</v>
      </c>
      <c r="O50" s="22">
        <f t="shared" si="14"/>
        <v>5.5927489185602797</v>
      </c>
      <c r="P50" s="22">
        <f t="shared" si="6"/>
        <v>6.8672359375351419</v>
      </c>
      <c r="Q50" s="21">
        <f t="shared" si="15"/>
        <v>954</v>
      </c>
      <c r="R50" s="23">
        <f t="shared" si="16"/>
        <v>0</v>
      </c>
      <c r="S50" s="23">
        <f t="shared" ref="S50:S97" si="33">I50/MAX(I50,K50)</f>
        <v>1</v>
      </c>
      <c r="T50" s="9" t="str">
        <f t="shared" ref="T50:T97" si="34">_xlfn.TEXTJOIN(,0,"Места накопления ТКО (МНО): ",I50," по ФГИС УТКО / ",K50," по ТС")</f>
        <v>Места накопления ТКО (МНО): 954 по ФГИС УТКО / 746 по ТС</v>
      </c>
      <c r="U50" s="9" t="str">
        <f t="shared" ref="U50:U97" si="35">_xlfn.TEXTJOIN(,0,"Наполнение ФГИС УТКО"," ",IF(I50&lt;=K50,TEXT(S50,"0%"),"более 100%"))</f>
        <v>Наполнение ФГИС УТКО более 100%</v>
      </c>
      <c r="V50" s="25" t="str">
        <f t="shared" ref="V50:V97" si="36">IF(O50&gt;$O$8,$V$107,IF(Q50&gt;$Q$10,$V$108,IF(I50&gt;K50*(1+$K$10),$V$109,"")))</f>
        <v>Аномальные данные территориальной схемы</v>
      </c>
      <c r="W50" s="9" t="str">
        <f t="shared" ref="W50:W97" si="37">_xlfn.TEXTJOIN(,0,"Контейнерные площадки (КП): ",J50," по ФГИС УТКО / ",TEXT(Q50,"0,0")," на 1000 чел.")</f>
        <v>Контейнерные площадки (КП): 916 по ФГИС УТКО / 954,0 на 1000 чел.</v>
      </c>
      <c r="X50" s="9">
        <f t="shared" si="9"/>
        <v>0.99920623826830146</v>
      </c>
      <c r="Y50" s="9" t="str">
        <f t="shared" si="19"/>
        <v xml:space="preserve">ниже </v>
      </c>
      <c r="Z50" s="9" t="str">
        <f t="shared" si="20"/>
        <v>Обеспеченность КП ниже среднего по России на 100%</v>
      </c>
      <c r="AA50" s="9" t="str">
        <f t="shared" si="21"/>
        <v>Потребность в КП не представлена</v>
      </c>
      <c r="AB50" s="69" t="str">
        <f t="shared" si="22"/>
        <v>1/1/0 (0%)</v>
      </c>
    </row>
    <row r="51" spans="2:28">
      <c r="B51" s="12" t="s">
        <v>39</v>
      </c>
      <c r="C51" s="20">
        <f t="shared" si="10"/>
        <v>0</v>
      </c>
      <c r="D51" s="24">
        <f t="shared" si="23"/>
        <v>0</v>
      </c>
      <c r="E51" s="20">
        <f t="shared" si="11"/>
        <v>0</v>
      </c>
      <c r="F51" s="20">
        <f t="shared" si="24"/>
        <v>0</v>
      </c>
      <c r="G51" s="20">
        <f t="shared" si="25"/>
        <v>0</v>
      </c>
      <c r="H51" s="21">
        <v>8651260</v>
      </c>
      <c r="I51" s="54">
        <v>79870</v>
      </c>
      <c r="J51" s="54">
        <v>66442</v>
      </c>
      <c r="K51" s="54">
        <v>77053</v>
      </c>
      <c r="L51" s="54">
        <v>179</v>
      </c>
      <c r="M51" s="21">
        <f t="shared" si="32"/>
        <v>79870</v>
      </c>
      <c r="N51" s="22">
        <f t="shared" si="13"/>
        <v>7.6800373587200017</v>
      </c>
      <c r="O51" s="22">
        <f t="shared" si="14"/>
        <v>8.9065638993626361</v>
      </c>
      <c r="P51" s="22">
        <f t="shared" si="6"/>
        <v>8.9065638993626361</v>
      </c>
      <c r="Q51" s="21">
        <f t="shared" si="15"/>
        <v>80049</v>
      </c>
      <c r="R51" s="23">
        <f t="shared" si="16"/>
        <v>2.2361303701482842E-3</v>
      </c>
      <c r="S51" s="23">
        <f t="shared" si="33"/>
        <v>1</v>
      </c>
      <c r="T51" s="9" t="str">
        <f t="shared" si="34"/>
        <v>Места накопления ТКО (МНО): 79870 по ФГИС УТКО / 77053 по ТС</v>
      </c>
      <c r="U51" s="9" t="str">
        <f t="shared" si="35"/>
        <v>Наполнение ФГИС УТКО более 100%</v>
      </c>
      <c r="V51" s="25" t="str">
        <f t="shared" si="36"/>
        <v>Аномальные данные территориальной схемы</v>
      </c>
      <c r="W51" s="9" t="str">
        <f t="shared" si="37"/>
        <v>Контейнерные площадки (КП): 66442 по ФГИС УТКО / 80049,0 на 1000 чел.</v>
      </c>
      <c r="X51" s="9">
        <f t="shared" ref="X51:X82" si="38">IF(Q51&gt;=$Q$15,Q51/$Q$15-1,1-Q51/$Q$15)</f>
        <v>0.93339640161348303</v>
      </c>
      <c r="Y51" s="9" t="str">
        <f t="shared" si="19"/>
        <v xml:space="preserve">ниже </v>
      </c>
      <c r="Z51" s="9" t="str">
        <f t="shared" si="20"/>
        <v>Обеспеченность КП ниже среднего по России на 93%</v>
      </c>
      <c r="AA51" s="9" t="str">
        <f t="shared" si="21"/>
        <v>Потребность в КП по данным субъекта 179 шт. (0% от МНО)</v>
      </c>
      <c r="AB51" s="69" t="str">
        <f t="shared" si="22"/>
        <v>67/66/0 (0%)</v>
      </c>
    </row>
    <row r="52" spans="2:28">
      <c r="B52" s="12" t="s">
        <v>40</v>
      </c>
      <c r="C52" s="20">
        <f t="shared" si="10"/>
        <v>0</v>
      </c>
      <c r="D52" s="24">
        <f t="shared" si="23"/>
        <v>0</v>
      </c>
      <c r="E52" s="20">
        <f t="shared" si="11"/>
        <v>0</v>
      </c>
      <c r="F52" s="20">
        <f t="shared" si="24"/>
        <v>0</v>
      </c>
      <c r="G52" s="20">
        <f t="shared" si="25"/>
        <v>0</v>
      </c>
      <c r="H52" s="21">
        <v>656438</v>
      </c>
      <c r="I52" s="54">
        <v>4920</v>
      </c>
      <c r="J52" s="54">
        <v>4287</v>
      </c>
      <c r="K52" s="54">
        <v>4534</v>
      </c>
      <c r="L52" s="54">
        <v>50</v>
      </c>
      <c r="M52" s="21">
        <f t="shared" si="32"/>
        <v>4920</v>
      </c>
      <c r="N52" s="22">
        <f t="shared" si="13"/>
        <v>6.5307005383600583</v>
      </c>
      <c r="O52" s="22">
        <f t="shared" si="14"/>
        <v>6.9069736974398186</v>
      </c>
      <c r="P52" s="22">
        <f t="shared" si="6"/>
        <v>6.9069736974398186</v>
      </c>
      <c r="Q52" s="21">
        <f t="shared" si="15"/>
        <v>4970</v>
      </c>
      <c r="R52" s="23">
        <f t="shared" si="16"/>
        <v>1.0060362173038229E-2</v>
      </c>
      <c r="S52" s="23">
        <f t="shared" si="33"/>
        <v>1</v>
      </c>
      <c r="T52" s="9" t="str">
        <f t="shared" si="34"/>
        <v>Места накопления ТКО (МНО): 4920 по ФГИС УТКО / 4534 по ТС</v>
      </c>
      <c r="U52" s="9" t="str">
        <f t="shared" si="35"/>
        <v>Наполнение ФГИС УТКО более 100%</v>
      </c>
      <c r="V52" s="25" t="str">
        <f t="shared" si="36"/>
        <v>Аномальные данные территориальной схемы</v>
      </c>
      <c r="W52" s="9" t="str">
        <f t="shared" si="37"/>
        <v>Контейнерные площадки (КП): 4287 по ФГИС УТКО / 4970,0 на 1000 чел.</v>
      </c>
      <c r="X52" s="9">
        <f t="shared" si="38"/>
        <v>0.99586478426987235</v>
      </c>
      <c r="Y52" s="9" t="str">
        <f t="shared" si="19"/>
        <v xml:space="preserve">ниже </v>
      </c>
      <c r="Z52" s="9" t="str">
        <f t="shared" si="20"/>
        <v>Обеспеченность КП ниже среднего по России на 100%</v>
      </c>
      <c r="AA52" s="9" t="str">
        <f t="shared" si="21"/>
        <v>Потребность в КП по данным субъекта 50 шт. (1% от МНО)</v>
      </c>
      <c r="AB52" s="69" t="str">
        <f t="shared" si="22"/>
        <v>4/4/0 (1%)</v>
      </c>
    </row>
    <row r="53" spans="2:28">
      <c r="B53" s="12" t="s">
        <v>41</v>
      </c>
      <c r="C53" s="20">
        <f t="shared" si="10"/>
        <v>0</v>
      </c>
      <c r="D53" s="24">
        <f t="shared" si="23"/>
        <v>0</v>
      </c>
      <c r="E53" s="20">
        <f t="shared" si="11"/>
        <v>0</v>
      </c>
      <c r="F53" s="20">
        <f t="shared" si="24"/>
        <v>0</v>
      </c>
      <c r="G53" s="20">
        <f t="shared" si="25"/>
        <v>0</v>
      </c>
      <c r="H53" s="21">
        <v>42224</v>
      </c>
      <c r="I53" s="54">
        <v>826</v>
      </c>
      <c r="J53" s="54">
        <v>788</v>
      </c>
      <c r="K53" s="54">
        <v>826</v>
      </c>
      <c r="L53" s="54">
        <v>78</v>
      </c>
      <c r="M53" s="21">
        <f t="shared" si="32"/>
        <v>826</v>
      </c>
      <c r="N53" s="22">
        <f t="shared" si="13"/>
        <v>18.662372110647972</v>
      </c>
      <c r="O53" s="22">
        <f t="shared" si="14"/>
        <v>19.562334217506631</v>
      </c>
      <c r="P53" s="22">
        <f t="shared" si="6"/>
        <v>19.562334217506631</v>
      </c>
      <c r="Q53" s="21">
        <f t="shared" si="15"/>
        <v>904</v>
      </c>
      <c r="R53" s="23">
        <f t="shared" si="16"/>
        <v>8.628318584070796E-2</v>
      </c>
      <c r="S53" s="23">
        <f t="shared" si="33"/>
        <v>1</v>
      </c>
      <c r="T53" s="9" t="str">
        <f t="shared" si="34"/>
        <v>Места накопления ТКО (МНО): 826 по ФГИС УТКО / 826 по ТС</v>
      </c>
      <c r="U53" s="9" t="str">
        <f t="shared" si="35"/>
        <v>Наполнение ФГИС УТКО 100%</v>
      </c>
      <c r="V53" s="25" t="str">
        <f t="shared" si="36"/>
        <v>Аномальные данные территориальной схемы</v>
      </c>
      <c r="W53" s="9" t="str">
        <f t="shared" si="37"/>
        <v>Контейнерные площадки (КП): 788 по ФГИС УТКО / 904,0 на 1000 чел.</v>
      </c>
      <c r="X53" s="9">
        <f t="shared" si="38"/>
        <v>0.99924784003621014</v>
      </c>
      <c r="Y53" s="9" t="str">
        <f t="shared" si="19"/>
        <v xml:space="preserve">ниже </v>
      </c>
      <c r="Z53" s="9" t="str">
        <f t="shared" si="20"/>
        <v>Обеспеченность КП ниже среднего по России на 100%</v>
      </c>
      <c r="AA53" s="9" t="str">
        <f t="shared" si="21"/>
        <v>Потребность в КП по данным субъекта 78 шт. (9% от МНО)</v>
      </c>
      <c r="AB53" s="69" t="str">
        <f t="shared" si="22"/>
        <v>1/1/0 (9%)</v>
      </c>
    </row>
    <row r="54" spans="2:28">
      <c r="B54" s="12" t="s">
        <v>42</v>
      </c>
      <c r="C54" s="20">
        <f t="shared" si="10"/>
        <v>1</v>
      </c>
      <c r="D54" s="24">
        <f t="shared" si="23"/>
        <v>1</v>
      </c>
      <c r="E54" s="20">
        <f t="shared" si="11"/>
        <v>0</v>
      </c>
      <c r="F54" s="20">
        <f t="shared" si="24"/>
        <v>0</v>
      </c>
      <c r="G54" s="20">
        <f t="shared" si="25"/>
        <v>1</v>
      </c>
      <c r="H54" s="21">
        <v>3060335</v>
      </c>
      <c r="I54" s="54">
        <v>28895</v>
      </c>
      <c r="J54" s="54">
        <v>26472</v>
      </c>
      <c r="K54" s="54">
        <v>30995</v>
      </c>
      <c r="L54" s="54">
        <v>8267</v>
      </c>
      <c r="M54" s="21">
        <f t="shared" si="32"/>
        <v>30995</v>
      </c>
      <c r="N54" s="22">
        <f t="shared" si="13"/>
        <v>8.6500334113748991</v>
      </c>
      <c r="O54" s="22">
        <f t="shared" si="14"/>
        <v>10.127976185613667</v>
      </c>
      <c r="P54" s="22">
        <f t="shared" si="6"/>
        <v>10.127976185613667</v>
      </c>
      <c r="Q54" s="21">
        <f t="shared" si="15"/>
        <v>37162</v>
      </c>
      <c r="R54" s="23">
        <f t="shared" si="16"/>
        <v>0.22245842527312845</v>
      </c>
      <c r="S54" s="23">
        <f t="shared" si="33"/>
        <v>0.93224713663494108</v>
      </c>
      <c r="T54" s="9" t="str">
        <f t="shared" si="34"/>
        <v>Места накопления ТКО (МНО): 28895 по ФГИС УТКО / 30995 по ТС</v>
      </c>
      <c r="U54" s="9" t="str">
        <f t="shared" si="35"/>
        <v>Наполнение ФГИС УТКО 93%</v>
      </c>
      <c r="V54" s="25" t="str">
        <f t="shared" si="36"/>
        <v>Аномальные данные территориальной схемы</v>
      </c>
      <c r="W54" s="9" t="str">
        <f t="shared" si="37"/>
        <v>Контейнерные площадки (КП): 26472 по ФГИС УТКО / 37162,0 на 1000 чел.</v>
      </c>
      <c r="X54" s="9">
        <f t="shared" si="38"/>
        <v>0.96907990201951622</v>
      </c>
      <c r="Y54" s="9" t="str">
        <f t="shared" si="19"/>
        <v xml:space="preserve">ниже </v>
      </c>
      <c r="Z54" s="9" t="str">
        <f t="shared" si="20"/>
        <v>Обеспеченность КП ниже среднего по России на 97%</v>
      </c>
      <c r="AA54" s="9" t="str">
        <f t="shared" si="21"/>
        <v>Потребность в КП по данным субъекта 8267 шт. (22% от МНО)</v>
      </c>
      <c r="AB54" s="69" t="str">
        <f t="shared" si="22"/>
        <v>35/26/8 (22%)</v>
      </c>
    </row>
    <row r="55" spans="2:28">
      <c r="B55" s="12" t="s">
        <v>43</v>
      </c>
      <c r="C55" s="20">
        <f t="shared" si="10"/>
        <v>0</v>
      </c>
      <c r="D55" s="24">
        <f t="shared" si="23"/>
        <v>0</v>
      </c>
      <c r="E55" s="20">
        <f t="shared" si="11"/>
        <v>0</v>
      </c>
      <c r="F55" s="20">
        <f t="shared" si="24"/>
        <v>0</v>
      </c>
      <c r="G55" s="20">
        <f t="shared" si="25"/>
        <v>0</v>
      </c>
      <c r="H55" s="21">
        <v>571447</v>
      </c>
      <c r="I55" s="54">
        <v>4932</v>
      </c>
      <c r="J55" s="54">
        <v>4714</v>
      </c>
      <c r="K55" s="54">
        <v>4309</v>
      </c>
      <c r="L55" s="54">
        <v>21</v>
      </c>
      <c r="M55" s="21">
        <f t="shared" si="32"/>
        <v>4932</v>
      </c>
      <c r="N55" s="22">
        <f t="shared" si="13"/>
        <v>8.2492339622047179</v>
      </c>
      <c r="O55" s="22">
        <f t="shared" si="14"/>
        <v>7.5405068186550981</v>
      </c>
      <c r="P55" s="22">
        <f t="shared" si="6"/>
        <v>8.2492339622047179</v>
      </c>
      <c r="Q55" s="21">
        <f t="shared" si="15"/>
        <v>4953</v>
      </c>
      <c r="R55" s="23">
        <f t="shared" si="16"/>
        <v>4.2398546335554212E-3</v>
      </c>
      <c r="S55" s="23">
        <f t="shared" si="33"/>
        <v>1</v>
      </c>
      <c r="T55" s="9" t="str">
        <f t="shared" si="34"/>
        <v>Места накопления ТКО (МНО): 4932 по ФГИС УТКО / 4309 по ТС</v>
      </c>
      <c r="U55" s="9" t="str">
        <f t="shared" si="35"/>
        <v>Наполнение ФГИС УТКО более 100%</v>
      </c>
      <c r="V55" s="25" t="str">
        <f t="shared" si="36"/>
        <v>Аномальные данные территориальной схемы</v>
      </c>
      <c r="W55" s="9" t="str">
        <f t="shared" si="37"/>
        <v>Контейнерные площадки (КП): 4714 по ФГИС УТКО / 4953,0 на 1000 чел.</v>
      </c>
      <c r="X55" s="9">
        <f t="shared" si="38"/>
        <v>0.9958789288709613</v>
      </c>
      <c r="Y55" s="9" t="str">
        <f t="shared" si="19"/>
        <v xml:space="preserve">ниже </v>
      </c>
      <c r="Z55" s="9" t="str">
        <f t="shared" si="20"/>
        <v>Обеспеченность КП ниже среднего по России на 100%</v>
      </c>
      <c r="AA55" s="9" t="str">
        <f t="shared" si="21"/>
        <v>Потребность в КП по данным субъекта 21 шт. (0% от МНО)</v>
      </c>
      <c r="AB55" s="69" t="str">
        <f t="shared" si="22"/>
        <v>5/5/0 (0%)</v>
      </c>
    </row>
    <row r="56" spans="2:28">
      <c r="B56" s="12" t="s">
        <v>44</v>
      </c>
      <c r="C56" s="20">
        <f t="shared" si="10"/>
        <v>0</v>
      </c>
      <c r="D56" s="24">
        <f t="shared" si="23"/>
        <v>0</v>
      </c>
      <c r="E56" s="20">
        <f t="shared" si="11"/>
        <v>1</v>
      </c>
      <c r="F56" s="20">
        <f t="shared" si="24"/>
        <v>0</v>
      </c>
      <c r="G56" s="20">
        <f t="shared" si="25"/>
        <v>0</v>
      </c>
      <c r="H56" s="21">
        <v>2789532</v>
      </c>
      <c r="I56" s="54">
        <v>16196</v>
      </c>
      <c r="J56" s="54">
        <v>10079</v>
      </c>
      <c r="K56" s="54">
        <v>14801</v>
      </c>
      <c r="L56" s="54">
        <v>1835</v>
      </c>
      <c r="M56" s="21">
        <f t="shared" si="32"/>
        <v>16196</v>
      </c>
      <c r="N56" s="22">
        <f t="shared" si="13"/>
        <v>3.6131508797891545</v>
      </c>
      <c r="O56" s="22">
        <f t="shared" si="14"/>
        <v>5.3059079444150488</v>
      </c>
      <c r="P56" s="22">
        <f t="shared" si="6"/>
        <v>5.3059079444150488</v>
      </c>
      <c r="Q56" s="21">
        <f t="shared" si="15"/>
        <v>18031</v>
      </c>
      <c r="R56" s="23">
        <f t="shared" si="16"/>
        <v>0.10176917530918973</v>
      </c>
      <c r="S56" s="23">
        <f t="shared" si="33"/>
        <v>1</v>
      </c>
      <c r="T56" s="9" t="str">
        <f t="shared" si="34"/>
        <v>Места накопления ТКО (МНО): 16196 по ФГИС УТКО / 14801 по ТС</v>
      </c>
      <c r="U56" s="9" t="str">
        <f t="shared" si="35"/>
        <v>Наполнение ФГИС УТКО более 100%</v>
      </c>
      <c r="V56" s="25" t="str">
        <f t="shared" si="36"/>
        <v>Аномальные данные территориальной схемы</v>
      </c>
      <c r="W56" s="9" t="str">
        <f t="shared" si="37"/>
        <v>Контейнерные площадки (КП): 10079 по ФГИС УТКО / 18031,0 на 1000 чел.</v>
      </c>
      <c r="X56" s="9">
        <f t="shared" si="38"/>
        <v>0.98499757045675418</v>
      </c>
      <c r="Y56" s="9" t="str">
        <f t="shared" si="19"/>
        <v xml:space="preserve">ниже </v>
      </c>
      <c r="Z56" s="9" t="str">
        <f t="shared" si="20"/>
        <v>Обеспеченность КП ниже среднего по России на 98%</v>
      </c>
      <c r="AA56" s="9" t="str">
        <f t="shared" si="21"/>
        <v>Потребность в КП по данным субъекта 1835 шт. (10% от МНО)</v>
      </c>
      <c r="AB56" s="69" t="str">
        <f t="shared" si="22"/>
        <v>12/10/2 (10%)</v>
      </c>
    </row>
    <row r="57" spans="2:28">
      <c r="B57" s="12" t="s">
        <v>45</v>
      </c>
      <c r="C57" s="20">
        <f t="shared" si="10"/>
        <v>0</v>
      </c>
      <c r="D57" s="24">
        <f t="shared" si="23"/>
        <v>0</v>
      </c>
      <c r="E57" s="20">
        <f t="shared" si="11"/>
        <v>0</v>
      </c>
      <c r="F57" s="20">
        <f t="shared" si="24"/>
        <v>0</v>
      </c>
      <c r="G57" s="20">
        <f t="shared" si="25"/>
        <v>0</v>
      </c>
      <c r="H57" s="21">
        <v>1818093</v>
      </c>
      <c r="I57" s="54">
        <v>19250</v>
      </c>
      <c r="J57" s="54">
        <v>18263</v>
      </c>
      <c r="K57" s="54">
        <v>18942</v>
      </c>
      <c r="L57" s="54">
        <v>2648</v>
      </c>
      <c r="M57" s="21">
        <f t="shared" si="32"/>
        <v>19250</v>
      </c>
      <c r="N57" s="22">
        <f t="shared" si="13"/>
        <v>10.045140705123446</v>
      </c>
      <c r="O57" s="22">
        <f t="shared" si="14"/>
        <v>10.418608949047162</v>
      </c>
      <c r="P57" s="22">
        <f t="shared" si="6"/>
        <v>10.418608949047162</v>
      </c>
      <c r="Q57" s="21">
        <f t="shared" si="15"/>
        <v>21898</v>
      </c>
      <c r="R57" s="23">
        <f t="shared" si="16"/>
        <v>0.12092428532286054</v>
      </c>
      <c r="S57" s="23">
        <f t="shared" si="33"/>
        <v>1</v>
      </c>
      <c r="T57" s="9" t="str">
        <f t="shared" si="34"/>
        <v>Места накопления ТКО (МНО): 19250 по ФГИС УТКО / 18942 по ТС</v>
      </c>
      <c r="U57" s="9" t="str">
        <f t="shared" si="35"/>
        <v>Наполнение ФГИС УТКО более 100%</v>
      </c>
      <c r="V57" s="25" t="str">
        <f t="shared" si="36"/>
        <v>Аномальные данные территориальной схемы</v>
      </c>
      <c r="W57" s="9" t="str">
        <f t="shared" si="37"/>
        <v>Контейнерные площадки (КП): 18263 по ФГИС УТКО / 21898,0 на 1000 чел.</v>
      </c>
      <c r="X57" s="9">
        <f t="shared" si="38"/>
        <v>0.98178008972669306</v>
      </c>
      <c r="Y57" s="9" t="str">
        <f t="shared" si="19"/>
        <v xml:space="preserve">ниже </v>
      </c>
      <c r="Z57" s="9" t="str">
        <f t="shared" si="20"/>
        <v>Обеспеченность КП ниже среднего по России на 98%</v>
      </c>
      <c r="AA57" s="9" t="str">
        <f t="shared" si="21"/>
        <v>Потребность в КП по данным субъекта 2648 шт. (12% от МНО)</v>
      </c>
      <c r="AB57" s="69" t="str">
        <f t="shared" si="22"/>
        <v>21/18/3 (12%)</v>
      </c>
    </row>
    <row r="58" spans="2:28">
      <c r="B58" s="12" t="s">
        <v>46</v>
      </c>
      <c r="C58" s="20">
        <f t="shared" si="10"/>
        <v>1</v>
      </c>
      <c r="D58" s="24">
        <f t="shared" si="23"/>
        <v>1</v>
      </c>
      <c r="E58" s="20">
        <f t="shared" si="11"/>
        <v>0</v>
      </c>
      <c r="F58" s="20">
        <f t="shared" si="24"/>
        <v>0</v>
      </c>
      <c r="G58" s="20">
        <f t="shared" si="25"/>
        <v>1</v>
      </c>
      <c r="H58" s="21">
        <v>1828656</v>
      </c>
      <c r="I58" s="54">
        <v>12551</v>
      </c>
      <c r="J58" s="54">
        <v>12177</v>
      </c>
      <c r="K58" s="54">
        <v>9780</v>
      </c>
      <c r="L58" s="54">
        <v>3679</v>
      </c>
      <c r="M58" s="21">
        <f t="shared" si="32"/>
        <v>12551</v>
      </c>
      <c r="N58" s="22">
        <f t="shared" si="13"/>
        <v>6.6589888967635247</v>
      </c>
      <c r="O58" s="22">
        <f t="shared" si="14"/>
        <v>5.348190146205738</v>
      </c>
      <c r="P58" s="22">
        <f t="shared" si="6"/>
        <v>6.6589888967635247</v>
      </c>
      <c r="Q58" s="21">
        <f t="shared" si="15"/>
        <v>16230</v>
      </c>
      <c r="R58" s="23">
        <f t="shared" si="16"/>
        <v>0.22667898952556995</v>
      </c>
      <c r="S58" s="23">
        <f t="shared" si="33"/>
        <v>1</v>
      </c>
      <c r="T58" s="9" t="str">
        <f t="shared" si="34"/>
        <v>Места накопления ТКО (МНО): 12551 по ФГИС УТКО / 9780 по ТС</v>
      </c>
      <c r="U58" s="9" t="str">
        <f t="shared" si="35"/>
        <v>Наполнение ФГИС УТКО более 100%</v>
      </c>
      <c r="V58" s="25" t="str">
        <f t="shared" si="36"/>
        <v>Аномальные данные территориальной схемы</v>
      </c>
      <c r="W58" s="9" t="str">
        <f t="shared" si="37"/>
        <v>Контейнерные площадки (КП): 12177 по ФГИС УТКО / 16230,0 на 1000 чел.</v>
      </c>
      <c r="X58" s="9">
        <f t="shared" si="38"/>
        <v>0.9864960661368265</v>
      </c>
      <c r="Y58" s="9" t="str">
        <f t="shared" si="19"/>
        <v xml:space="preserve">ниже </v>
      </c>
      <c r="Z58" s="9" t="str">
        <f t="shared" si="20"/>
        <v>Обеспеченность КП ниже среднего по России на 99%</v>
      </c>
      <c r="AA58" s="9" t="str">
        <f t="shared" si="21"/>
        <v>Потребность в КП по данным субъекта 3679 шт. (23% от МНО)</v>
      </c>
      <c r="AB58" s="69" t="str">
        <f t="shared" si="22"/>
        <v>16/12/4 (23%)</v>
      </c>
    </row>
    <row r="59" spans="2:28">
      <c r="B59" s="12" t="s">
        <v>47</v>
      </c>
      <c r="C59" s="20">
        <f t="shared" si="10"/>
        <v>1</v>
      </c>
      <c r="D59" s="24">
        <f t="shared" si="23"/>
        <v>1</v>
      </c>
      <c r="E59" s="20">
        <f t="shared" si="11"/>
        <v>0</v>
      </c>
      <c r="F59" s="20">
        <f t="shared" si="24"/>
        <v>0</v>
      </c>
      <c r="G59" s="20">
        <f t="shared" si="25"/>
        <v>1</v>
      </c>
      <c r="H59" s="21">
        <v>692486</v>
      </c>
      <c r="I59" s="54">
        <v>9385</v>
      </c>
      <c r="J59" s="54">
        <v>8428</v>
      </c>
      <c r="K59" s="54">
        <v>8676</v>
      </c>
      <c r="L59" s="54">
        <v>2710</v>
      </c>
      <c r="M59" s="21">
        <f t="shared" si="32"/>
        <v>9385</v>
      </c>
      <c r="N59" s="22">
        <f t="shared" si="13"/>
        <v>12.170643161016974</v>
      </c>
      <c r="O59" s="22">
        <f t="shared" si="14"/>
        <v>12.528773144872243</v>
      </c>
      <c r="P59" s="22">
        <f t="shared" si="6"/>
        <v>12.528773144872243</v>
      </c>
      <c r="Q59" s="21">
        <f t="shared" si="15"/>
        <v>12095</v>
      </c>
      <c r="R59" s="23">
        <f t="shared" si="16"/>
        <v>0.22405952873088053</v>
      </c>
      <c r="S59" s="23">
        <f t="shared" si="33"/>
        <v>1</v>
      </c>
      <c r="T59" s="9" t="str">
        <f t="shared" si="34"/>
        <v>Места накопления ТКО (МНО): 9385 по ФГИС УТКО / 8676 по ТС</v>
      </c>
      <c r="U59" s="9" t="str">
        <f t="shared" si="35"/>
        <v>Наполнение ФГИС УТКО более 100%</v>
      </c>
      <c r="V59" s="25" t="str">
        <f t="shared" si="36"/>
        <v>Аномальные данные территориальной схемы</v>
      </c>
      <c r="W59" s="9" t="str">
        <f t="shared" si="37"/>
        <v>Контейнерные площадки (КП): 8428 по ФГИС УТКО / 12095,0 на 1000 чел.</v>
      </c>
      <c r="X59" s="9">
        <f t="shared" si="38"/>
        <v>0.98993653234287848</v>
      </c>
      <c r="Y59" s="9" t="str">
        <f t="shared" si="19"/>
        <v xml:space="preserve">ниже </v>
      </c>
      <c r="Z59" s="9" t="str">
        <f t="shared" si="20"/>
        <v>Обеспеченность КП ниже среднего по России на 99%</v>
      </c>
      <c r="AA59" s="9" t="str">
        <f t="shared" si="21"/>
        <v>Потребность в КП по данным субъекта 2710 шт. (22% от МНО)</v>
      </c>
      <c r="AB59" s="69" t="str">
        <f t="shared" si="22"/>
        <v>11/8/3 (22%)</v>
      </c>
    </row>
    <row r="60" spans="2:28">
      <c r="B60" s="12" t="s">
        <v>48</v>
      </c>
      <c r="C60" s="20">
        <f t="shared" si="10"/>
        <v>0</v>
      </c>
      <c r="D60" s="24">
        <f t="shared" si="23"/>
        <v>0</v>
      </c>
      <c r="E60" s="20">
        <f t="shared" si="11"/>
        <v>0</v>
      </c>
      <c r="F60" s="20">
        <f t="shared" si="24"/>
        <v>0</v>
      </c>
      <c r="G60" s="20">
        <f t="shared" si="25"/>
        <v>0</v>
      </c>
      <c r="H60" s="21">
        <v>1236113</v>
      </c>
      <c r="I60" s="54">
        <v>11623</v>
      </c>
      <c r="J60" s="54">
        <v>8910</v>
      </c>
      <c r="K60" s="54">
        <v>11420</v>
      </c>
      <c r="L60" s="54">
        <v>224</v>
      </c>
      <c r="M60" s="21">
        <f t="shared" si="32"/>
        <v>11623</v>
      </c>
      <c r="N60" s="22">
        <f t="shared" si="13"/>
        <v>7.2080788730480139</v>
      </c>
      <c r="O60" s="22">
        <f t="shared" si="14"/>
        <v>9.2386375679246147</v>
      </c>
      <c r="P60" s="22">
        <f t="shared" si="6"/>
        <v>9.2386375679246147</v>
      </c>
      <c r="Q60" s="21">
        <f t="shared" si="15"/>
        <v>11847</v>
      </c>
      <c r="R60" s="23">
        <f t="shared" si="16"/>
        <v>1.8907740356208323E-2</v>
      </c>
      <c r="S60" s="23">
        <f t="shared" si="33"/>
        <v>1</v>
      </c>
      <c r="T60" s="9" t="str">
        <f t="shared" si="34"/>
        <v>Места накопления ТКО (МНО): 11623 по ФГИС УТКО / 11420 по ТС</v>
      </c>
      <c r="U60" s="9" t="str">
        <f t="shared" si="35"/>
        <v>Наполнение ФГИС УТКО более 100%</v>
      </c>
      <c r="V60" s="25" t="str">
        <f t="shared" si="36"/>
        <v>Аномальные данные территориальной схемы</v>
      </c>
      <c r="W60" s="9" t="str">
        <f t="shared" si="37"/>
        <v>Контейнерные площадки (КП): 8910 по ФГИС УТКО / 11847,0 на 1000 чел.</v>
      </c>
      <c r="X60" s="9">
        <f t="shared" si="38"/>
        <v>0.99014287711170579</v>
      </c>
      <c r="Y60" s="9" t="str">
        <f t="shared" si="19"/>
        <v xml:space="preserve">ниже </v>
      </c>
      <c r="Z60" s="9" t="str">
        <f t="shared" si="20"/>
        <v>Обеспеченность КП ниже среднего по России на 99%</v>
      </c>
      <c r="AA60" s="9" t="str">
        <f t="shared" si="21"/>
        <v>Потребность в КП по данным субъекта 224 шт. (2% от МНО)</v>
      </c>
      <c r="AB60" s="69" t="str">
        <f t="shared" si="22"/>
        <v>9/9/0 (2%)</v>
      </c>
    </row>
    <row r="61" spans="2:28">
      <c r="B61" s="12" t="s">
        <v>49</v>
      </c>
      <c r="C61" s="20">
        <f t="shared" si="10"/>
        <v>0</v>
      </c>
      <c r="D61" s="24">
        <f t="shared" si="23"/>
        <v>0</v>
      </c>
      <c r="E61" s="20">
        <f t="shared" si="11"/>
        <v>0</v>
      </c>
      <c r="F61" s="20">
        <f t="shared" si="24"/>
        <v>0</v>
      </c>
      <c r="G61" s="20">
        <f t="shared" si="25"/>
        <v>0</v>
      </c>
      <c r="H61" s="21">
        <v>2495266</v>
      </c>
      <c r="I61" s="54">
        <v>19449</v>
      </c>
      <c r="J61" s="54">
        <v>17891</v>
      </c>
      <c r="K61" s="54">
        <v>17831</v>
      </c>
      <c r="L61" s="54">
        <v>4219</v>
      </c>
      <c r="M61" s="21">
        <f t="shared" si="32"/>
        <v>19449</v>
      </c>
      <c r="N61" s="22">
        <f t="shared" si="13"/>
        <v>7.1699770685770572</v>
      </c>
      <c r="O61" s="22">
        <f t="shared" si="14"/>
        <v>7.1459315359564872</v>
      </c>
      <c r="P61" s="22">
        <f t="shared" si="6"/>
        <v>7.1699770685770572</v>
      </c>
      <c r="Q61" s="21">
        <f t="shared" si="15"/>
        <v>23668</v>
      </c>
      <c r="R61" s="23">
        <f t="shared" si="16"/>
        <v>0.17825756295419976</v>
      </c>
      <c r="S61" s="23">
        <f t="shared" si="33"/>
        <v>1</v>
      </c>
      <c r="T61" s="9" t="str">
        <f t="shared" si="34"/>
        <v>Места накопления ТКО (МНО): 19449 по ФГИС УТКО / 17831 по ТС</v>
      </c>
      <c r="U61" s="9" t="str">
        <f t="shared" si="35"/>
        <v>Наполнение ФГИС УТКО более 100%</v>
      </c>
      <c r="V61" s="25" t="str">
        <f t="shared" si="36"/>
        <v>Аномальные данные территориальной схемы</v>
      </c>
      <c r="W61" s="9" t="str">
        <f t="shared" si="37"/>
        <v>Контейнерные площадки (КП): 17891 по ФГИС УТКО / 23668,0 на 1000 чел.</v>
      </c>
      <c r="X61" s="9">
        <f t="shared" si="38"/>
        <v>0.98030738714272403</v>
      </c>
      <c r="Y61" s="9" t="str">
        <f t="shared" si="19"/>
        <v xml:space="preserve">ниже </v>
      </c>
      <c r="Z61" s="9" t="str">
        <f t="shared" si="20"/>
        <v>Обеспеченность КП ниже среднего по России на 98%</v>
      </c>
      <c r="AA61" s="9" t="str">
        <f t="shared" si="21"/>
        <v>Потребность в КП по данным субъекта 4219 шт. (18% от МНО)</v>
      </c>
      <c r="AB61" s="69" t="str">
        <f t="shared" si="22"/>
        <v>22/18/4 (18%)</v>
      </c>
    </row>
    <row r="62" spans="2:28">
      <c r="B62" s="12" t="s">
        <v>50</v>
      </c>
      <c r="C62" s="20">
        <f t="shared" si="10"/>
        <v>2</v>
      </c>
      <c r="D62" s="24">
        <f t="shared" si="23"/>
        <v>2</v>
      </c>
      <c r="E62" s="20">
        <f t="shared" si="11"/>
        <v>2</v>
      </c>
      <c r="F62" s="20">
        <f t="shared" si="24"/>
        <v>2</v>
      </c>
      <c r="G62" s="20">
        <f t="shared" si="25"/>
        <v>2</v>
      </c>
      <c r="H62" s="21">
        <v>1806393</v>
      </c>
      <c r="I62" s="54">
        <v>3917</v>
      </c>
      <c r="J62" s="54">
        <v>3713</v>
      </c>
      <c r="K62" s="54">
        <v>219657</v>
      </c>
      <c r="L62" s="54">
        <v>20108</v>
      </c>
      <c r="M62" s="21">
        <f t="shared" si="32"/>
        <v>219657</v>
      </c>
      <c r="N62" s="22">
        <f t="shared" si="13"/>
        <v>2.0554774071865869</v>
      </c>
      <c r="O62" s="22">
        <f t="shared" si="14"/>
        <v>121.59978476444493</v>
      </c>
      <c r="P62" s="22">
        <f t="shared" si="6"/>
        <v>121.59978476444493</v>
      </c>
      <c r="Q62" s="21">
        <f t="shared" si="15"/>
        <v>24025</v>
      </c>
      <c r="R62" s="23">
        <f t="shared" si="16"/>
        <v>0.83696149843912593</v>
      </c>
      <c r="S62" s="23">
        <f t="shared" si="33"/>
        <v>1.7832347705741224E-2</v>
      </c>
      <c r="T62" s="9" t="str">
        <f t="shared" si="34"/>
        <v>Места накопления ТКО (МНО): 3917 по ФГИС УТКО / 219657 по ТС</v>
      </c>
      <c r="U62" s="9" t="str">
        <f t="shared" si="35"/>
        <v>Наполнение ФГИС УТКО 2%</v>
      </c>
      <c r="V62" s="25" t="str">
        <f t="shared" si="36"/>
        <v>Аномальные данные территориальной схемы</v>
      </c>
      <c r="W62" s="9" t="str">
        <f t="shared" si="37"/>
        <v>Контейнерные площадки (КП): 3713 по ФГИС УТКО / 24025,0 на 1000 чел.</v>
      </c>
      <c r="X62" s="9">
        <f t="shared" si="38"/>
        <v>0.98001035051985574</v>
      </c>
      <c r="Y62" s="9" t="str">
        <f t="shared" si="19"/>
        <v xml:space="preserve">ниже </v>
      </c>
      <c r="Z62" s="9" t="str">
        <f t="shared" si="20"/>
        <v>Обеспеченность КП ниже среднего по России на 98%</v>
      </c>
      <c r="AA62" s="9" t="str">
        <f t="shared" si="21"/>
        <v>Потребность в КП по данным субъекта 20108 шт. (84% от МНО)</v>
      </c>
      <c r="AB62" s="69" t="str">
        <f t="shared" si="22"/>
        <v>24/4/20 (84%)</v>
      </c>
    </row>
    <row r="63" spans="2:28">
      <c r="B63" s="12" t="s">
        <v>51</v>
      </c>
      <c r="C63" s="20">
        <f t="shared" si="10"/>
        <v>1</v>
      </c>
      <c r="D63" s="24">
        <f t="shared" si="23"/>
        <v>1</v>
      </c>
      <c r="E63" s="20">
        <f t="shared" si="11"/>
        <v>0</v>
      </c>
      <c r="F63" s="20">
        <f t="shared" si="24"/>
        <v>0</v>
      </c>
      <c r="G63" s="20">
        <f t="shared" si="25"/>
        <v>1</v>
      </c>
      <c r="H63" s="21">
        <v>581147</v>
      </c>
      <c r="I63" s="54">
        <v>4417</v>
      </c>
      <c r="J63" s="54">
        <v>3486</v>
      </c>
      <c r="K63" s="54">
        <v>4929</v>
      </c>
      <c r="L63" s="54">
        <v>1314</v>
      </c>
      <c r="M63" s="21">
        <f t="shared" si="32"/>
        <v>4929</v>
      </c>
      <c r="N63" s="22">
        <f t="shared" si="13"/>
        <v>5.9984823117042678</v>
      </c>
      <c r="O63" s="22">
        <f t="shared" si="14"/>
        <v>8.4815029588038815</v>
      </c>
      <c r="P63" s="22">
        <f t="shared" si="6"/>
        <v>8.4815029588038815</v>
      </c>
      <c r="Q63" s="21">
        <f t="shared" si="15"/>
        <v>5731</v>
      </c>
      <c r="R63" s="23">
        <f t="shared" si="16"/>
        <v>0.22927935787820625</v>
      </c>
      <c r="S63" s="23">
        <f t="shared" si="33"/>
        <v>0.89612497463988638</v>
      </c>
      <c r="T63" s="9" t="str">
        <f t="shared" si="34"/>
        <v>Места накопления ТКО (МНО): 4417 по ФГИС УТКО / 4929 по ТС</v>
      </c>
      <c r="U63" s="9" t="str">
        <f t="shared" si="35"/>
        <v>Наполнение ФГИС УТКО 90%</v>
      </c>
      <c r="V63" s="25" t="str">
        <f t="shared" si="36"/>
        <v>Аномальные данные территориальной схемы</v>
      </c>
      <c r="W63" s="9" t="str">
        <f t="shared" si="37"/>
        <v>Контейнерные площадки (КП): 3486 по ФГИС УТКО / 5731,0 на 1000 чел.</v>
      </c>
      <c r="X63" s="9">
        <f t="shared" si="38"/>
        <v>0.99523160536230149</v>
      </c>
      <c r="Y63" s="9" t="str">
        <f t="shared" si="19"/>
        <v xml:space="preserve">ниже </v>
      </c>
      <c r="Z63" s="9" t="str">
        <f t="shared" si="20"/>
        <v>Обеспеченность КП ниже среднего по России на 100%</v>
      </c>
      <c r="AA63" s="9" t="str">
        <f t="shared" si="21"/>
        <v>Потребность в КП по данным субъекта 1314 шт. (23% от МНО)</v>
      </c>
      <c r="AB63" s="69" t="str">
        <f t="shared" si="22"/>
        <v>5/3/1 (23%)</v>
      </c>
    </row>
    <row r="64" spans="2:28">
      <c r="B64" s="12" t="s">
        <v>52</v>
      </c>
      <c r="C64" s="20">
        <f t="shared" si="10"/>
        <v>2</v>
      </c>
      <c r="D64" s="24">
        <f t="shared" si="23"/>
        <v>2</v>
      </c>
      <c r="E64" s="20">
        <f t="shared" si="11"/>
        <v>1</v>
      </c>
      <c r="F64" s="20">
        <f t="shared" si="24"/>
        <v>2</v>
      </c>
      <c r="G64" s="20">
        <f t="shared" si="25"/>
        <v>2</v>
      </c>
      <c r="H64" s="21">
        <v>500591</v>
      </c>
      <c r="I64" s="54">
        <v>2026</v>
      </c>
      <c r="J64" s="54">
        <v>1807</v>
      </c>
      <c r="K64" s="54">
        <v>3025</v>
      </c>
      <c r="L64" s="54">
        <v>2425</v>
      </c>
      <c r="M64" s="21">
        <f t="shared" si="32"/>
        <v>3025</v>
      </c>
      <c r="N64" s="22">
        <f t="shared" si="13"/>
        <v>3.6097332952450203</v>
      </c>
      <c r="O64" s="22">
        <f t="shared" si="14"/>
        <v>6.0428573426210219</v>
      </c>
      <c r="P64" s="22">
        <f t="shared" si="6"/>
        <v>6.0428573426210219</v>
      </c>
      <c r="Q64" s="21">
        <f t="shared" si="15"/>
        <v>4451</v>
      </c>
      <c r="R64" s="23">
        <f t="shared" si="16"/>
        <v>0.54482138845203321</v>
      </c>
      <c r="S64" s="23">
        <f t="shared" si="33"/>
        <v>0.66975206611570248</v>
      </c>
      <c r="T64" s="9" t="str">
        <f t="shared" si="34"/>
        <v>Места накопления ТКО (МНО): 2026 по ФГИС УТКО / 3025 по ТС</v>
      </c>
      <c r="U64" s="9" t="str">
        <f t="shared" si="35"/>
        <v>Наполнение ФГИС УТКО 67%</v>
      </c>
      <c r="V64" s="25" t="str">
        <f t="shared" si="36"/>
        <v>Аномальные данные территориальной схемы</v>
      </c>
      <c r="W64" s="9" t="str">
        <f t="shared" si="37"/>
        <v>Контейнерные площадки (КП): 1807 по ФГИС УТКО / 4451,0 на 1000 чел.</v>
      </c>
      <c r="X64" s="9">
        <f t="shared" si="38"/>
        <v>0.99629661062076491</v>
      </c>
      <c r="Y64" s="9" t="str">
        <f t="shared" si="19"/>
        <v xml:space="preserve">ниже </v>
      </c>
      <c r="Z64" s="9" t="str">
        <f t="shared" si="20"/>
        <v>Обеспеченность КП ниже среднего по России на 100%</v>
      </c>
      <c r="AA64" s="9" t="str">
        <f t="shared" si="21"/>
        <v>Потребность в КП по данным субъекта 2425 шт. (54% от МНО)</v>
      </c>
      <c r="AB64" s="69" t="str">
        <f t="shared" si="22"/>
        <v>4/2/2 (54%)</v>
      </c>
    </row>
    <row r="65" spans="2:28">
      <c r="B65" s="12" t="s">
        <v>53</v>
      </c>
      <c r="C65" s="20">
        <f t="shared" si="10"/>
        <v>1</v>
      </c>
      <c r="D65" s="24">
        <f t="shared" si="23"/>
        <v>1</v>
      </c>
      <c r="E65" s="20">
        <f t="shared" si="11"/>
        <v>1</v>
      </c>
      <c r="F65" s="20">
        <f t="shared" si="24"/>
        <v>0</v>
      </c>
      <c r="G65" s="20">
        <f t="shared" si="25"/>
        <v>1</v>
      </c>
      <c r="H65" s="21">
        <v>210765</v>
      </c>
      <c r="I65" s="54">
        <v>1206</v>
      </c>
      <c r="J65" s="54">
        <v>1204</v>
      </c>
      <c r="K65" s="54">
        <v>1289</v>
      </c>
      <c r="L65" s="54">
        <v>400</v>
      </c>
      <c r="M65" s="21">
        <f t="shared" si="32"/>
        <v>1289</v>
      </c>
      <c r="N65" s="22">
        <f t="shared" si="13"/>
        <v>5.7125234265651317</v>
      </c>
      <c r="O65" s="22">
        <f t="shared" si="14"/>
        <v>6.1158161933907431</v>
      </c>
      <c r="P65" s="22">
        <f t="shared" si="6"/>
        <v>6.1158161933907431</v>
      </c>
      <c r="Q65" s="21">
        <f t="shared" si="15"/>
        <v>1606</v>
      </c>
      <c r="R65" s="23">
        <f t="shared" si="16"/>
        <v>0.24906600249066002</v>
      </c>
      <c r="S65" s="23">
        <f t="shared" si="33"/>
        <v>0.93560899922420482</v>
      </c>
      <c r="T65" s="9" t="str">
        <f t="shared" si="34"/>
        <v>Места накопления ТКО (МНО): 1206 по ФГИС УТКО / 1289 по ТС</v>
      </c>
      <c r="U65" s="9" t="str">
        <f t="shared" si="35"/>
        <v>Наполнение ФГИС УТКО 94%</v>
      </c>
      <c r="V65" s="25" t="str">
        <f t="shared" si="36"/>
        <v>Аномальные данные территориальной схемы</v>
      </c>
      <c r="W65" s="9" t="str">
        <f t="shared" si="37"/>
        <v>Контейнерные площадки (КП): 1204 по ФГИС УТКО / 1606,0 на 1000 чел.</v>
      </c>
      <c r="X65" s="9">
        <f t="shared" si="38"/>
        <v>0.99866375121477158</v>
      </c>
      <c r="Y65" s="9" t="str">
        <f t="shared" si="19"/>
        <v xml:space="preserve">ниже </v>
      </c>
      <c r="Z65" s="9" t="str">
        <f t="shared" si="20"/>
        <v>Обеспеченность КП ниже среднего по России на 100%</v>
      </c>
      <c r="AA65" s="9" t="str">
        <f t="shared" si="21"/>
        <v>Потребность в КП по данным субъекта 400 шт. (25% от МНО)</v>
      </c>
      <c r="AB65" s="69" t="str">
        <f t="shared" si="22"/>
        <v>2/1/0 (25%)</v>
      </c>
    </row>
    <row r="66" spans="2:28">
      <c r="B66" s="12" t="s">
        <v>3</v>
      </c>
      <c r="C66" s="20">
        <f t="shared" si="10"/>
        <v>0</v>
      </c>
      <c r="D66" s="24">
        <f t="shared" si="23"/>
        <v>0</v>
      </c>
      <c r="E66" s="20">
        <f t="shared" si="11"/>
        <v>0</v>
      </c>
      <c r="F66" s="20">
        <f t="shared" si="24"/>
        <v>0</v>
      </c>
      <c r="G66" s="20">
        <f t="shared" si="25"/>
        <v>0</v>
      </c>
      <c r="H66" s="21">
        <v>4064361</v>
      </c>
      <c r="I66" s="54">
        <v>43337</v>
      </c>
      <c r="J66" s="54">
        <v>38125</v>
      </c>
      <c r="K66" s="54">
        <v>37171</v>
      </c>
      <c r="L66" s="54">
        <v>2682</v>
      </c>
      <c r="M66" s="21">
        <f t="shared" si="32"/>
        <v>43337</v>
      </c>
      <c r="N66" s="22">
        <f t="shared" si="13"/>
        <v>9.380318332943359</v>
      </c>
      <c r="O66" s="22">
        <f t="shared" si="14"/>
        <v>9.1455950886252477</v>
      </c>
      <c r="P66" s="22">
        <f t="shared" si="6"/>
        <v>9.380318332943359</v>
      </c>
      <c r="Q66" s="21">
        <f t="shared" si="15"/>
        <v>46019</v>
      </c>
      <c r="R66" s="23">
        <f t="shared" si="16"/>
        <v>5.8280275538364588E-2</v>
      </c>
      <c r="S66" s="23">
        <f t="shared" si="33"/>
        <v>1</v>
      </c>
      <c r="T66" s="9" t="str">
        <f t="shared" si="34"/>
        <v>Места накопления ТКО (МНО): 43337 по ФГИС УТКО / 37171 по ТС</v>
      </c>
      <c r="U66" s="9" t="str">
        <f t="shared" si="35"/>
        <v>Наполнение ФГИС УТКО более 100%</v>
      </c>
      <c r="V66" s="25" t="str">
        <f t="shared" si="36"/>
        <v>Аномальные данные территориальной схемы</v>
      </c>
      <c r="W66" s="9" t="str">
        <f t="shared" si="37"/>
        <v>Контейнерные площадки (КП): 38125 по ФГИС УТКО / 46019,0 на 1000 чел.</v>
      </c>
      <c r="X66" s="9">
        <f t="shared" si="38"/>
        <v>0.961710564852164</v>
      </c>
      <c r="Y66" s="9" t="str">
        <f t="shared" si="19"/>
        <v xml:space="preserve">ниже </v>
      </c>
      <c r="Z66" s="9" t="str">
        <f t="shared" si="20"/>
        <v>Обеспеченность КП ниже среднего по России на 96%</v>
      </c>
      <c r="AA66" s="9" t="str">
        <f t="shared" si="21"/>
        <v>Потребность в КП по данным субъекта 2682 шт. (6% от МНО)</v>
      </c>
      <c r="AB66" s="69" t="str">
        <f t="shared" si="22"/>
        <v>41/38/3 (6%)</v>
      </c>
    </row>
    <row r="67" spans="2:28">
      <c r="B67" s="12" t="s">
        <v>54</v>
      </c>
      <c r="C67" s="20">
        <f t="shared" si="10"/>
        <v>2</v>
      </c>
      <c r="D67" s="24">
        <f t="shared" si="23"/>
        <v>2</v>
      </c>
      <c r="E67" s="20">
        <f t="shared" si="11"/>
        <v>1</v>
      </c>
      <c r="F67" s="20">
        <f t="shared" si="24"/>
        <v>0</v>
      </c>
      <c r="G67" s="20">
        <f t="shared" si="25"/>
        <v>2</v>
      </c>
      <c r="H67" s="21">
        <v>971922</v>
      </c>
      <c r="I67" s="54">
        <v>3807</v>
      </c>
      <c r="J67" s="54">
        <v>3736</v>
      </c>
      <c r="K67" s="54">
        <v>3521</v>
      </c>
      <c r="L67" s="54">
        <v>6972</v>
      </c>
      <c r="M67" s="21">
        <f t="shared" si="32"/>
        <v>3807</v>
      </c>
      <c r="N67" s="22">
        <f t="shared" si="13"/>
        <v>3.8439298626844542</v>
      </c>
      <c r="O67" s="22">
        <f t="shared" si="14"/>
        <v>3.6227186955331807</v>
      </c>
      <c r="P67" s="22">
        <f t="shared" si="6"/>
        <v>3.8439298626844542</v>
      </c>
      <c r="Q67" s="21">
        <f t="shared" si="15"/>
        <v>10779</v>
      </c>
      <c r="R67" s="23">
        <f t="shared" si="16"/>
        <v>0.64681324798218753</v>
      </c>
      <c r="S67" s="23">
        <f t="shared" si="33"/>
        <v>1</v>
      </c>
      <c r="T67" s="9" t="str">
        <f t="shared" si="34"/>
        <v>Места накопления ТКО (МНО): 3807 по ФГИС УТКО / 3521 по ТС</v>
      </c>
      <c r="U67" s="9" t="str">
        <f t="shared" si="35"/>
        <v>Наполнение ФГИС УТКО более 100%</v>
      </c>
      <c r="V67" s="25" t="str">
        <f t="shared" si="36"/>
        <v>Аномальные данные территориальной схемы</v>
      </c>
      <c r="W67" s="9" t="str">
        <f t="shared" si="37"/>
        <v>Контейнерные площадки (КП): 3736 по ФГИС УТКО / 10779,0 на 1000 чел.</v>
      </c>
      <c r="X67" s="9">
        <f t="shared" si="38"/>
        <v>0.99103149087423614</v>
      </c>
      <c r="Y67" s="9" t="str">
        <f t="shared" si="19"/>
        <v xml:space="preserve">ниже </v>
      </c>
      <c r="Z67" s="9" t="str">
        <f t="shared" si="20"/>
        <v>Обеспеченность КП ниже среднего по России на 99%</v>
      </c>
      <c r="AA67" s="9" t="str">
        <f t="shared" si="21"/>
        <v>Потребность в КП по данным субъекта 6972 шт. (65% от МНО)</v>
      </c>
      <c r="AB67" s="69" t="str">
        <f t="shared" si="22"/>
        <v>11/4/7 (65%)</v>
      </c>
    </row>
    <row r="68" spans="2:28">
      <c r="B68" s="12" t="s">
        <v>55</v>
      </c>
      <c r="C68" s="20">
        <f t="shared" si="10"/>
        <v>2</v>
      </c>
      <c r="D68" s="24">
        <f t="shared" si="23"/>
        <v>2</v>
      </c>
      <c r="E68" s="20">
        <f t="shared" si="11"/>
        <v>2</v>
      </c>
      <c r="F68" s="20">
        <f t="shared" si="24"/>
        <v>0</v>
      </c>
      <c r="G68" s="20">
        <f t="shared" si="25"/>
        <v>2</v>
      </c>
      <c r="H68" s="21">
        <v>3232224</v>
      </c>
      <c r="I68" s="54">
        <v>6173</v>
      </c>
      <c r="J68" s="54">
        <v>5897</v>
      </c>
      <c r="K68" s="54">
        <v>5239</v>
      </c>
      <c r="L68" s="54">
        <v>5286</v>
      </c>
      <c r="M68" s="21">
        <f t="shared" si="32"/>
        <v>6173</v>
      </c>
      <c r="N68" s="22">
        <f t="shared" si="13"/>
        <v>1.8244403853198292</v>
      </c>
      <c r="O68" s="22">
        <f t="shared" si="14"/>
        <v>1.6208653855673369</v>
      </c>
      <c r="P68" s="22">
        <f t="shared" si="6"/>
        <v>1.8244403853198292</v>
      </c>
      <c r="Q68" s="21">
        <f t="shared" si="15"/>
        <v>11459</v>
      </c>
      <c r="R68" s="23">
        <f t="shared" si="16"/>
        <v>0.46129679727724932</v>
      </c>
      <c r="S68" s="23">
        <f t="shared" si="33"/>
        <v>1</v>
      </c>
      <c r="T68" s="9" t="str">
        <f t="shared" si="34"/>
        <v>Места накопления ТКО (МНО): 6173 по ФГИС УТКО / 5239 по ТС</v>
      </c>
      <c r="U68" s="9" t="str">
        <f t="shared" si="35"/>
        <v>Наполнение ФГИС УТКО более 100%</v>
      </c>
      <c r="V68" s="25" t="str">
        <f t="shared" si="36"/>
        <v>Аномальные данные территориальной схемы</v>
      </c>
      <c r="W68" s="9" t="str">
        <f t="shared" si="37"/>
        <v>Контейнерные площадки (КП): 5897 по ФГИС УТКО / 11459,0 на 1000 чел.</v>
      </c>
      <c r="X68" s="9">
        <f t="shared" si="38"/>
        <v>0.99046570683067747</v>
      </c>
      <c r="Y68" s="9" t="str">
        <f t="shared" si="19"/>
        <v xml:space="preserve">ниже </v>
      </c>
      <c r="Z68" s="9" t="str">
        <f t="shared" si="20"/>
        <v>Обеспеченность КП ниже среднего по России на 99%</v>
      </c>
      <c r="AA68" s="9" t="str">
        <f t="shared" si="21"/>
        <v>Потребность в КП по данным субъекта 5286 шт. (46% от МНО)</v>
      </c>
      <c r="AB68" s="69" t="str">
        <f t="shared" si="22"/>
        <v>11/6/5 (46%)</v>
      </c>
    </row>
    <row r="69" spans="2:28">
      <c r="B69" s="12" t="s">
        <v>56</v>
      </c>
      <c r="C69" s="20">
        <f t="shared" si="10"/>
        <v>2</v>
      </c>
      <c r="D69" s="24">
        <f t="shared" si="23"/>
        <v>2</v>
      </c>
      <c r="E69" s="20">
        <f t="shared" si="11"/>
        <v>2</v>
      </c>
      <c r="F69" s="20">
        <f t="shared" si="24"/>
        <v>2</v>
      </c>
      <c r="G69" s="20">
        <f t="shared" si="25"/>
        <v>2</v>
      </c>
      <c r="H69" s="21">
        <v>527220</v>
      </c>
      <c r="I69" s="54">
        <v>58</v>
      </c>
      <c r="J69" s="54">
        <v>58</v>
      </c>
      <c r="K69" s="54">
        <v>271</v>
      </c>
      <c r="L69" s="54">
        <v>322</v>
      </c>
      <c r="M69" s="21">
        <f t="shared" si="32"/>
        <v>271</v>
      </c>
      <c r="N69" s="22">
        <f t="shared" si="13"/>
        <v>0.11001100110011001</v>
      </c>
      <c r="O69" s="22">
        <f t="shared" si="14"/>
        <v>0.51401691893327262</v>
      </c>
      <c r="P69" s="22">
        <f t="shared" si="6"/>
        <v>0.51401691893327262</v>
      </c>
      <c r="Q69" s="21">
        <f t="shared" si="15"/>
        <v>380</v>
      </c>
      <c r="R69" s="23">
        <f t="shared" si="16"/>
        <v>0.84736842105263155</v>
      </c>
      <c r="S69" s="23">
        <f t="shared" si="33"/>
        <v>0.2140221402214022</v>
      </c>
      <c r="T69" s="9" t="str">
        <f t="shared" si="34"/>
        <v>Места накопления ТКО (МНО): 58 по ФГИС УТКО / 271 по ТС</v>
      </c>
      <c r="U69" s="9" t="str">
        <f t="shared" si="35"/>
        <v>Наполнение ФГИС УТКО 21%</v>
      </c>
      <c r="V69" s="25" t="str">
        <f t="shared" si="36"/>
        <v>Аномальные данные территориальной схемы</v>
      </c>
      <c r="W69" s="9" t="str">
        <f t="shared" si="37"/>
        <v>Контейнерные площадки (КП): 58 по ФГИС УТКО / 380,0 на 1000 чел.</v>
      </c>
      <c r="X69" s="9">
        <f t="shared" si="38"/>
        <v>0.99968382656389365</v>
      </c>
      <c r="Y69" s="9" t="str">
        <f t="shared" si="19"/>
        <v xml:space="preserve">ниже </v>
      </c>
      <c r="Z69" s="9" t="str">
        <f t="shared" si="20"/>
        <v>Обеспеченность КП ниже среднего по России на 100%</v>
      </c>
      <c r="AA69" s="9" t="str">
        <f t="shared" si="21"/>
        <v>Потребность в КП по данным субъекта 322 шт. (85% от МНО)</v>
      </c>
      <c r="AB69" s="69" t="str">
        <f t="shared" si="22"/>
        <v>0/0/0 (85%)</v>
      </c>
    </row>
    <row r="70" spans="2:28">
      <c r="B70" s="12" t="s">
        <v>57</v>
      </c>
      <c r="C70" s="20">
        <f t="shared" si="10"/>
        <v>1</v>
      </c>
      <c r="D70" s="24">
        <f t="shared" si="23"/>
        <v>1</v>
      </c>
      <c r="E70" s="20">
        <f t="shared" si="11"/>
        <v>1</v>
      </c>
      <c r="F70" s="20">
        <f t="shared" si="24"/>
        <v>0</v>
      </c>
      <c r="G70" s="20">
        <f t="shared" si="25"/>
        <v>1</v>
      </c>
      <c r="H70" s="21">
        <v>266770</v>
      </c>
      <c r="I70" s="54">
        <v>1047</v>
      </c>
      <c r="J70" s="54">
        <v>1043</v>
      </c>
      <c r="K70" s="54">
        <v>919</v>
      </c>
      <c r="L70" s="54">
        <v>286</v>
      </c>
      <c r="M70" s="21">
        <f t="shared" si="32"/>
        <v>1047</v>
      </c>
      <c r="N70" s="22">
        <f t="shared" si="13"/>
        <v>3.9097349776961425</v>
      </c>
      <c r="O70" s="22">
        <f t="shared" si="14"/>
        <v>3.4449150954005323</v>
      </c>
      <c r="P70" s="22">
        <f t="shared" si="6"/>
        <v>3.9097349776961425</v>
      </c>
      <c r="Q70" s="21">
        <f t="shared" si="15"/>
        <v>1333</v>
      </c>
      <c r="R70" s="23">
        <f t="shared" si="16"/>
        <v>0.2145536384096024</v>
      </c>
      <c r="S70" s="23">
        <f t="shared" si="33"/>
        <v>1</v>
      </c>
      <c r="T70" s="9" t="str">
        <f t="shared" si="34"/>
        <v>Места накопления ТКО (МНО): 1047 по ФГИС УТКО / 919 по ТС</v>
      </c>
      <c r="U70" s="9" t="str">
        <f t="shared" si="35"/>
        <v>Наполнение ФГИС УТКО более 100%</v>
      </c>
      <c r="V70" s="25" t="str">
        <f t="shared" si="36"/>
        <v>Аномальные данные территориальной схемы</v>
      </c>
      <c r="W70" s="9" t="str">
        <f t="shared" si="37"/>
        <v>Контейнерные площадки (КП): 1043 по ФГИС УТКО / 1333,0 на 1000 чел.</v>
      </c>
      <c r="X70" s="9">
        <f t="shared" si="38"/>
        <v>0.99889089686755328</v>
      </c>
      <c r="Y70" s="9" t="str">
        <f t="shared" si="19"/>
        <v xml:space="preserve">ниже </v>
      </c>
      <c r="Z70" s="9" t="str">
        <f t="shared" si="20"/>
        <v>Обеспеченность КП ниже среднего по России на 100%</v>
      </c>
      <c r="AA70" s="9" t="str">
        <f t="shared" si="21"/>
        <v>Потребность в КП по данным субъекта 286 шт. (21% от МНО)</v>
      </c>
      <c r="AB70" s="69" t="str">
        <f t="shared" si="22"/>
        <v>1/1/0 (21%)</v>
      </c>
    </row>
    <row r="71" spans="2:28">
      <c r="B71" s="12" t="s">
        <v>58</v>
      </c>
      <c r="C71" s="20">
        <f t="shared" si="10"/>
        <v>2</v>
      </c>
      <c r="D71" s="24">
        <f t="shared" si="23"/>
        <v>2</v>
      </c>
      <c r="E71" s="20">
        <f t="shared" si="11"/>
        <v>1</v>
      </c>
      <c r="F71" s="20">
        <f t="shared" si="24"/>
        <v>0</v>
      </c>
      <c r="G71" s="20">
        <f t="shared" si="25"/>
        <v>2</v>
      </c>
      <c r="H71" s="21">
        <v>523856</v>
      </c>
      <c r="I71" s="54">
        <v>3580</v>
      </c>
      <c r="J71" s="54">
        <v>2943</v>
      </c>
      <c r="K71" s="54">
        <v>3785</v>
      </c>
      <c r="L71" s="54">
        <v>0</v>
      </c>
      <c r="M71" s="21">
        <f t="shared" si="32"/>
        <v>3785</v>
      </c>
      <c r="N71" s="22">
        <f t="shared" si="13"/>
        <v>5.6179560795333066</v>
      </c>
      <c r="O71" s="22">
        <f t="shared" si="14"/>
        <v>7.2252680125836104</v>
      </c>
      <c r="P71" s="22">
        <f t="shared" si="6"/>
        <v>7.2252680125836104</v>
      </c>
      <c r="Q71" s="21">
        <f t="shared" si="15"/>
        <v>3580</v>
      </c>
      <c r="R71" s="23">
        <f t="shared" si="16"/>
        <v>0</v>
      </c>
      <c r="S71" s="23">
        <f t="shared" si="33"/>
        <v>0.94583883751651254</v>
      </c>
      <c r="T71" s="9" t="str">
        <f t="shared" si="34"/>
        <v>Места накопления ТКО (МНО): 3580 по ФГИС УТКО / 3785 по ТС</v>
      </c>
      <c r="U71" s="9" t="str">
        <f t="shared" si="35"/>
        <v>Наполнение ФГИС УТКО 95%</v>
      </c>
      <c r="V71" s="25" t="str">
        <f t="shared" si="36"/>
        <v>Аномальные данные территориальной схемы</v>
      </c>
      <c r="W71" s="9" t="str">
        <f t="shared" si="37"/>
        <v>Контейнерные площадки (КП): 2943 по ФГИС УТКО / 3580,0 на 1000 чел.</v>
      </c>
      <c r="X71" s="9">
        <f t="shared" si="38"/>
        <v>0.99702131341773503</v>
      </c>
      <c r="Y71" s="9" t="str">
        <f t="shared" si="19"/>
        <v xml:space="preserve">ниже </v>
      </c>
      <c r="Z71" s="9" t="str">
        <f t="shared" si="20"/>
        <v>Обеспеченность КП ниже среднего по России на 100%</v>
      </c>
      <c r="AA71" s="9" t="str">
        <f t="shared" si="21"/>
        <v>Потребность в КП не представлена</v>
      </c>
      <c r="AB71" s="69" t="str">
        <f t="shared" si="22"/>
        <v>3/3/0 (0%)</v>
      </c>
    </row>
    <row r="72" spans="2:28">
      <c r="B72" s="12" t="s">
        <v>59</v>
      </c>
      <c r="C72" s="20">
        <f t="shared" si="10"/>
        <v>0</v>
      </c>
      <c r="D72" s="24">
        <f t="shared" si="23"/>
        <v>0</v>
      </c>
      <c r="E72" s="20">
        <f t="shared" si="11"/>
        <v>0</v>
      </c>
      <c r="F72" s="20">
        <f t="shared" si="24"/>
        <v>0</v>
      </c>
      <c r="G72" s="20">
        <f t="shared" si="25"/>
        <v>0</v>
      </c>
      <c r="H72" s="21">
        <v>720610</v>
      </c>
      <c r="I72" s="54">
        <v>7233</v>
      </c>
      <c r="J72" s="54">
        <v>6616</v>
      </c>
      <c r="K72" s="54">
        <v>5980</v>
      </c>
      <c r="L72" s="54">
        <v>396</v>
      </c>
      <c r="M72" s="21">
        <f t="shared" si="32"/>
        <v>7233</v>
      </c>
      <c r="N72" s="22">
        <f t="shared" si="13"/>
        <v>9.1811104480925891</v>
      </c>
      <c r="O72" s="22">
        <f t="shared" si="14"/>
        <v>8.2985248608817521</v>
      </c>
      <c r="P72" s="22">
        <f t="shared" si="6"/>
        <v>9.1811104480925891</v>
      </c>
      <c r="Q72" s="21">
        <f t="shared" si="15"/>
        <v>7629</v>
      </c>
      <c r="R72" s="23">
        <f t="shared" si="16"/>
        <v>5.1907196224931181E-2</v>
      </c>
      <c r="S72" s="23">
        <f t="shared" si="33"/>
        <v>1</v>
      </c>
      <c r="T72" s="9" t="str">
        <f t="shared" si="34"/>
        <v>Места накопления ТКО (МНО): 7233 по ФГИС УТКО / 5980 по ТС</v>
      </c>
      <c r="U72" s="9" t="str">
        <f t="shared" si="35"/>
        <v>Наполнение ФГИС УТКО более 100%</v>
      </c>
      <c r="V72" s="25" t="str">
        <f t="shared" si="36"/>
        <v>Аномальные данные территориальной схемы</v>
      </c>
      <c r="W72" s="9" t="str">
        <f t="shared" si="37"/>
        <v>Контейнерные площадки (КП): 6616 по ФГИС УТКО / 7629,0 на 1000 чел.</v>
      </c>
      <c r="X72" s="9">
        <f t="shared" si="38"/>
        <v>0.99365240225248608</v>
      </c>
      <c r="Y72" s="9" t="str">
        <f t="shared" si="19"/>
        <v xml:space="preserve">ниже </v>
      </c>
      <c r="Z72" s="9" t="str">
        <f t="shared" si="20"/>
        <v>Обеспеченность КП ниже среднего по России на 99%</v>
      </c>
      <c r="AA72" s="9" t="str">
        <f t="shared" si="21"/>
        <v>Потребность в КП по данным субъекта 396 шт. (5% от МНО)</v>
      </c>
      <c r="AB72" s="69" t="str">
        <f t="shared" si="22"/>
        <v>7/7/0 (5%)</v>
      </c>
    </row>
    <row r="73" spans="2:28">
      <c r="B73" s="12" t="s">
        <v>60</v>
      </c>
      <c r="C73" s="20">
        <f t="shared" si="10"/>
        <v>0</v>
      </c>
      <c r="D73" s="24">
        <f t="shared" si="23"/>
        <v>0</v>
      </c>
      <c r="E73" s="20">
        <f t="shared" si="11"/>
        <v>1</v>
      </c>
      <c r="F73" s="20">
        <f t="shared" si="24"/>
        <v>0</v>
      </c>
      <c r="G73" s="20">
        <f t="shared" si="25"/>
        <v>0</v>
      </c>
      <c r="H73" s="21">
        <v>1909499</v>
      </c>
      <c r="I73" s="54">
        <v>9558</v>
      </c>
      <c r="J73" s="54">
        <v>8226</v>
      </c>
      <c r="K73" s="54">
        <v>8438</v>
      </c>
      <c r="L73" s="54">
        <v>466</v>
      </c>
      <c r="M73" s="21">
        <f t="shared" si="32"/>
        <v>9558</v>
      </c>
      <c r="N73" s="22">
        <f t="shared" si="13"/>
        <v>4.3079362701944328</v>
      </c>
      <c r="O73" s="22">
        <f t="shared" si="14"/>
        <v>4.4189601565646282</v>
      </c>
      <c r="P73" s="22">
        <f t="shared" si="6"/>
        <v>4.4189601565646282</v>
      </c>
      <c r="Q73" s="21">
        <f t="shared" si="15"/>
        <v>10024</v>
      </c>
      <c r="R73" s="23">
        <f t="shared" si="16"/>
        <v>4.6488427773343971E-2</v>
      </c>
      <c r="S73" s="23">
        <f t="shared" si="33"/>
        <v>1</v>
      </c>
      <c r="T73" s="9" t="str">
        <f t="shared" si="34"/>
        <v>Места накопления ТКО (МНО): 9558 по ФГИС УТКО / 8438 по ТС</v>
      </c>
      <c r="U73" s="9" t="str">
        <f t="shared" si="35"/>
        <v>Наполнение ФГИС УТКО более 100%</v>
      </c>
      <c r="V73" s="25" t="str">
        <f t="shared" si="36"/>
        <v>Аномальные данные территориальной схемы</v>
      </c>
      <c r="W73" s="9" t="str">
        <f t="shared" si="37"/>
        <v>Контейнерные площадки (КП): 8226 по ФГИС УТКО / 10024,0 на 1000 чел.</v>
      </c>
      <c r="X73" s="9">
        <f t="shared" si="38"/>
        <v>0.991659677569658</v>
      </c>
      <c r="Y73" s="9" t="str">
        <f t="shared" si="19"/>
        <v xml:space="preserve">ниже </v>
      </c>
      <c r="Z73" s="9" t="str">
        <f t="shared" si="20"/>
        <v>Обеспеченность КП ниже среднего по России на 99%</v>
      </c>
      <c r="AA73" s="9" t="str">
        <f t="shared" si="21"/>
        <v>Потребность в КП по данным субъекта 466 шт. (5% от МНО)</v>
      </c>
      <c r="AB73" s="69" t="str">
        <f t="shared" si="22"/>
        <v>9/8/0 (5%)</v>
      </c>
    </row>
    <row r="74" spans="2:28">
      <c r="B74" s="12" t="s">
        <v>61</v>
      </c>
      <c r="C74" s="20">
        <f t="shared" si="10"/>
        <v>0</v>
      </c>
      <c r="D74" s="24">
        <f t="shared" si="23"/>
        <v>0</v>
      </c>
      <c r="E74" s="20">
        <f t="shared" si="11"/>
        <v>0</v>
      </c>
      <c r="F74" s="20">
        <f t="shared" si="24"/>
        <v>0</v>
      </c>
      <c r="G74" s="20">
        <f t="shared" si="25"/>
        <v>0</v>
      </c>
      <c r="H74" s="21">
        <v>669854</v>
      </c>
      <c r="I74" s="54">
        <v>4950</v>
      </c>
      <c r="J74" s="54">
        <v>4760</v>
      </c>
      <c r="K74" s="54">
        <v>4417</v>
      </c>
      <c r="L74" s="54">
        <v>145</v>
      </c>
      <c r="M74" s="21">
        <f t="shared" si="32"/>
        <v>4950</v>
      </c>
      <c r="N74" s="22">
        <f t="shared" si="13"/>
        <v>7.1060260892672131</v>
      </c>
      <c r="O74" s="22">
        <f t="shared" si="14"/>
        <v>6.593974209305312</v>
      </c>
      <c r="P74" s="22">
        <f t="shared" si="6"/>
        <v>7.1060260892672131</v>
      </c>
      <c r="Q74" s="21">
        <f t="shared" si="15"/>
        <v>5095</v>
      </c>
      <c r="R74" s="23">
        <f t="shared" si="16"/>
        <v>2.8459273797841019E-2</v>
      </c>
      <c r="S74" s="23">
        <f t="shared" si="33"/>
        <v>1</v>
      </c>
      <c r="T74" s="9" t="str">
        <f t="shared" si="34"/>
        <v>Места накопления ТКО (МНО): 4950 по ФГИС УТКО / 4417 по ТС</v>
      </c>
      <c r="U74" s="9" t="str">
        <f t="shared" si="35"/>
        <v>Наполнение ФГИС УТКО более 100%</v>
      </c>
      <c r="V74" s="25" t="str">
        <f t="shared" si="36"/>
        <v>Аномальные данные территориальной схемы</v>
      </c>
      <c r="W74" s="9" t="str">
        <f t="shared" si="37"/>
        <v>Контейнерные площадки (КП): 4760 по ФГИС УТКО / 5095,0 на 1000 чел.</v>
      </c>
      <c r="X74" s="9">
        <f t="shared" si="38"/>
        <v>0.99576077985010047</v>
      </c>
      <c r="Y74" s="9" t="str">
        <f t="shared" si="19"/>
        <v xml:space="preserve">ниже </v>
      </c>
      <c r="Z74" s="9" t="str">
        <f t="shared" si="20"/>
        <v>Обеспеченность КП ниже среднего по России на 100%</v>
      </c>
      <c r="AA74" s="9" t="str">
        <f t="shared" si="21"/>
        <v>Потребность в КП по данным субъекта 145 шт. (3% от МНО)</v>
      </c>
      <c r="AB74" s="69" t="str">
        <f t="shared" si="22"/>
        <v>5/5/0 (3%)</v>
      </c>
    </row>
    <row r="75" spans="2:28">
      <c r="B75" s="12" t="s">
        <v>62</v>
      </c>
      <c r="C75" s="20">
        <f t="shared" si="10"/>
        <v>2</v>
      </c>
      <c r="D75" s="24">
        <f t="shared" si="23"/>
        <v>2</v>
      </c>
      <c r="E75" s="20">
        <f t="shared" si="11"/>
        <v>0</v>
      </c>
      <c r="F75" s="20">
        <f t="shared" si="24"/>
        <v>1</v>
      </c>
      <c r="G75" s="20">
        <f t="shared" si="25"/>
        <v>2</v>
      </c>
      <c r="H75" s="21">
        <v>765891</v>
      </c>
      <c r="I75" s="54">
        <v>8691</v>
      </c>
      <c r="J75" s="54">
        <v>8059</v>
      </c>
      <c r="K75" s="54">
        <v>11769</v>
      </c>
      <c r="L75" s="54">
        <v>0</v>
      </c>
      <c r="M75" s="21">
        <f t="shared" si="32"/>
        <v>11769</v>
      </c>
      <c r="N75" s="22">
        <f t="shared" si="13"/>
        <v>10.522385039124366</v>
      </c>
      <c r="O75" s="22">
        <f t="shared" si="14"/>
        <v>15.366416369953427</v>
      </c>
      <c r="P75" s="22">
        <f t="shared" si="6"/>
        <v>15.366416369953427</v>
      </c>
      <c r="Q75" s="21">
        <f t="shared" si="15"/>
        <v>8691</v>
      </c>
      <c r="R75" s="23">
        <f t="shared" si="16"/>
        <v>0</v>
      </c>
      <c r="S75" s="23">
        <f t="shared" si="33"/>
        <v>0.73846546010706093</v>
      </c>
      <c r="T75" s="9" t="str">
        <f t="shared" si="34"/>
        <v>Места накопления ТКО (МНО): 8691 по ФГИС УТКО / 11769 по ТС</v>
      </c>
      <c r="U75" s="9" t="str">
        <f t="shared" si="35"/>
        <v>Наполнение ФГИС УТКО 74%</v>
      </c>
      <c r="V75" s="25" t="str">
        <f t="shared" si="36"/>
        <v>Аномальные данные территориальной схемы</v>
      </c>
      <c r="W75" s="9" t="str">
        <f t="shared" si="37"/>
        <v>Контейнерные площадки (КП): 8059 по ФГИС УТКО / 8691,0 на 1000 чел.</v>
      </c>
      <c r="X75" s="9">
        <f t="shared" si="38"/>
        <v>0.99276878070210473</v>
      </c>
      <c r="Y75" s="9" t="str">
        <f t="shared" si="19"/>
        <v xml:space="preserve">ниже </v>
      </c>
      <c r="Z75" s="9" t="str">
        <f t="shared" si="20"/>
        <v>Обеспеченность КП ниже среднего по России на 99%</v>
      </c>
      <c r="AA75" s="9" t="str">
        <f t="shared" si="21"/>
        <v>Потребность в КП не представлена</v>
      </c>
      <c r="AB75" s="69" t="str">
        <f t="shared" si="22"/>
        <v>8/8/0 (0%)</v>
      </c>
    </row>
    <row r="76" spans="2:28">
      <c r="B76" s="12" t="s">
        <v>63</v>
      </c>
      <c r="C76" s="20">
        <f t="shared" si="10"/>
        <v>2</v>
      </c>
      <c r="D76" s="24">
        <f t="shared" si="23"/>
        <v>2</v>
      </c>
      <c r="E76" s="20">
        <f t="shared" si="11"/>
        <v>1</v>
      </c>
      <c r="F76" s="20">
        <f t="shared" si="24"/>
        <v>1</v>
      </c>
      <c r="G76" s="20">
        <f t="shared" si="25"/>
        <v>2</v>
      </c>
      <c r="H76" s="21">
        <v>1001664</v>
      </c>
      <c r="I76" s="54">
        <v>4707</v>
      </c>
      <c r="J76" s="54">
        <v>3663</v>
      </c>
      <c r="K76" s="54">
        <v>6310</v>
      </c>
      <c r="L76" s="54">
        <v>5204</v>
      </c>
      <c r="M76" s="21">
        <f t="shared" si="32"/>
        <v>6310</v>
      </c>
      <c r="N76" s="22">
        <f t="shared" si="13"/>
        <v>3.6569148936170213</v>
      </c>
      <c r="O76" s="22">
        <f t="shared" si="14"/>
        <v>6.2995176027090922</v>
      </c>
      <c r="P76" s="22">
        <f t="shared" si="6"/>
        <v>6.2995176027090922</v>
      </c>
      <c r="Q76" s="21">
        <f t="shared" si="15"/>
        <v>9911</v>
      </c>
      <c r="R76" s="23">
        <f t="shared" si="16"/>
        <v>0.5250731510442942</v>
      </c>
      <c r="S76" s="23">
        <f t="shared" si="33"/>
        <v>0.74595879556259903</v>
      </c>
      <c r="T76" s="9" t="str">
        <f t="shared" si="34"/>
        <v>Места накопления ТКО (МНО): 4707 по ФГИС УТКО / 6310 по ТС</v>
      </c>
      <c r="U76" s="9" t="str">
        <f t="shared" si="35"/>
        <v>Наполнение ФГИС УТКО 75%</v>
      </c>
      <c r="V76" s="25" t="str">
        <f t="shared" si="36"/>
        <v>Аномальные данные территориальной схемы</v>
      </c>
      <c r="W76" s="9" t="str">
        <f t="shared" si="37"/>
        <v>Контейнерные площадки (КП): 3663 по ФГИС УТКО / 9911,0 на 1000 чел.</v>
      </c>
      <c r="X76" s="9">
        <f t="shared" si="38"/>
        <v>0.99175369756513176</v>
      </c>
      <c r="Y76" s="9" t="str">
        <f t="shared" si="19"/>
        <v xml:space="preserve">ниже </v>
      </c>
      <c r="Z76" s="9" t="str">
        <f t="shared" si="20"/>
        <v>Обеспеченность КП ниже среднего по России на 99%</v>
      </c>
      <c r="AA76" s="9" t="str">
        <f t="shared" si="21"/>
        <v>Потребность в КП по данным субъекта 5204 шт. (53% от МНО)</v>
      </c>
      <c r="AB76" s="69" t="str">
        <f t="shared" si="22"/>
        <v>9/4/5 (53%)</v>
      </c>
    </row>
    <row r="77" spans="2:28">
      <c r="B77" s="12" t="s">
        <v>64</v>
      </c>
      <c r="C77" s="20">
        <f t="shared" si="10"/>
        <v>0</v>
      </c>
      <c r="D77" s="24">
        <f t="shared" si="23"/>
        <v>0</v>
      </c>
      <c r="E77" s="20">
        <f t="shared" si="11"/>
        <v>1</v>
      </c>
      <c r="F77" s="20">
        <f t="shared" si="24"/>
        <v>0</v>
      </c>
      <c r="G77" s="20">
        <f t="shared" si="25"/>
        <v>0</v>
      </c>
      <c r="H77" s="21">
        <v>678879</v>
      </c>
      <c r="I77" s="54">
        <v>2989</v>
      </c>
      <c r="J77" s="54">
        <v>2666</v>
      </c>
      <c r="K77" s="54">
        <v>2848</v>
      </c>
      <c r="L77" s="54">
        <v>600</v>
      </c>
      <c r="M77" s="21">
        <f t="shared" si="32"/>
        <v>2989</v>
      </c>
      <c r="N77" s="22">
        <f t="shared" si="13"/>
        <v>3.927062112688712</v>
      </c>
      <c r="O77" s="22">
        <f t="shared" si="14"/>
        <v>4.1951511241325781</v>
      </c>
      <c r="P77" s="22">
        <f t="shared" si="6"/>
        <v>4.1951511241325781</v>
      </c>
      <c r="Q77" s="21">
        <f t="shared" si="15"/>
        <v>3589</v>
      </c>
      <c r="R77" s="23">
        <f t="shared" si="16"/>
        <v>0.16717748676511562</v>
      </c>
      <c r="S77" s="23">
        <f t="shared" si="33"/>
        <v>1</v>
      </c>
      <c r="T77" s="9" t="str">
        <f t="shared" si="34"/>
        <v>Места накопления ТКО (МНО): 2989 по ФГИС УТКО / 2848 по ТС</v>
      </c>
      <c r="U77" s="9" t="str">
        <f t="shared" si="35"/>
        <v>Наполнение ФГИС УТКО более 100%</v>
      </c>
      <c r="V77" s="25" t="str">
        <f t="shared" si="36"/>
        <v>Аномальные данные территориальной схемы</v>
      </c>
      <c r="W77" s="9" t="str">
        <f t="shared" si="37"/>
        <v>Контейнерные площадки (КП): 2666 по ФГИС УТКО / 3589,0 на 1000 чел.</v>
      </c>
      <c r="X77" s="9">
        <f t="shared" si="38"/>
        <v>0.99701382509951142</v>
      </c>
      <c r="Y77" s="9" t="str">
        <f t="shared" si="19"/>
        <v xml:space="preserve">ниже </v>
      </c>
      <c r="Z77" s="9" t="str">
        <f t="shared" si="20"/>
        <v>Обеспеченность КП ниже среднего по России на 100%</v>
      </c>
      <c r="AA77" s="9" t="str">
        <f t="shared" si="21"/>
        <v>Потребность в КП по данным субъекта 600 шт. (17% от МНО)</v>
      </c>
      <c r="AB77" s="69" t="str">
        <f t="shared" si="22"/>
        <v>3/3/1 (17%)</v>
      </c>
    </row>
    <row r="78" spans="2:28">
      <c r="B78" s="12" t="s">
        <v>65</v>
      </c>
      <c r="C78" s="20">
        <f t="shared" si="10"/>
        <v>1</v>
      </c>
      <c r="D78" s="24">
        <f t="shared" si="23"/>
        <v>1</v>
      </c>
      <c r="E78" s="20">
        <f t="shared" si="11"/>
        <v>1</v>
      </c>
      <c r="F78" s="20">
        <f t="shared" si="24"/>
        <v>0</v>
      </c>
      <c r="G78" s="20">
        <f t="shared" si="25"/>
        <v>1</v>
      </c>
      <c r="H78" s="21">
        <v>4003016</v>
      </c>
      <c r="I78" s="54">
        <v>15259</v>
      </c>
      <c r="J78" s="54">
        <v>12479</v>
      </c>
      <c r="K78" s="54">
        <v>12758</v>
      </c>
      <c r="L78" s="54">
        <v>4067</v>
      </c>
      <c r="M78" s="21">
        <f t="shared" si="32"/>
        <v>15259</v>
      </c>
      <c r="N78" s="22">
        <f t="shared" si="13"/>
        <v>3.1173994807914833</v>
      </c>
      <c r="O78" s="22">
        <f t="shared" si="14"/>
        <v>3.1870969289155977</v>
      </c>
      <c r="P78" s="22">
        <f t="shared" si="6"/>
        <v>3.1870969289155977</v>
      </c>
      <c r="Q78" s="21">
        <f t="shared" si="15"/>
        <v>19326</v>
      </c>
      <c r="R78" s="23">
        <f t="shared" si="16"/>
        <v>0.21044189175204389</v>
      </c>
      <c r="S78" s="23">
        <f t="shared" si="33"/>
        <v>1</v>
      </c>
      <c r="T78" s="9" t="str">
        <f t="shared" si="34"/>
        <v>Места накопления ТКО (МНО): 15259 по ФГИС УТКО / 12758 по ТС</v>
      </c>
      <c r="U78" s="9" t="str">
        <f t="shared" si="35"/>
        <v>Наполнение ФГИС УТКО более 100%</v>
      </c>
      <c r="V78" s="25" t="str">
        <f t="shared" si="36"/>
        <v>Аномальные данные территориальной схемы</v>
      </c>
      <c r="W78" s="9" t="str">
        <f t="shared" si="37"/>
        <v>Контейнерные площадки (КП): 12479 по ФГИС УТКО / 19326,0 на 1000 чел.</v>
      </c>
      <c r="X78" s="9">
        <f t="shared" si="38"/>
        <v>0.98392008466791803</v>
      </c>
      <c r="Y78" s="9" t="str">
        <f t="shared" si="19"/>
        <v xml:space="preserve">ниже </v>
      </c>
      <c r="Z78" s="9" t="str">
        <f t="shared" si="20"/>
        <v>Обеспеченность КП ниже среднего по России на 98%</v>
      </c>
      <c r="AA78" s="9" t="str">
        <f t="shared" si="21"/>
        <v>Потребность в КП по данным субъекта 4067 шт. (21% от МНО)</v>
      </c>
      <c r="AB78" s="69" t="str">
        <f t="shared" si="22"/>
        <v>17/12/4 (21%)</v>
      </c>
    </row>
    <row r="79" spans="2:28">
      <c r="B79" s="12" t="s">
        <v>66</v>
      </c>
      <c r="C79" s="20">
        <f t="shared" si="10"/>
        <v>2</v>
      </c>
      <c r="D79" s="24">
        <f t="shared" si="23"/>
        <v>2</v>
      </c>
      <c r="E79" s="20">
        <f t="shared" si="11"/>
        <v>2</v>
      </c>
      <c r="F79" s="20">
        <f t="shared" si="24"/>
        <v>2</v>
      </c>
      <c r="G79" s="20">
        <f t="shared" si="25"/>
        <v>2</v>
      </c>
      <c r="H79" s="21">
        <v>337544</v>
      </c>
      <c r="I79" s="54">
        <v>637</v>
      </c>
      <c r="J79" s="54">
        <v>586</v>
      </c>
      <c r="K79" s="54">
        <v>1405</v>
      </c>
      <c r="L79" s="54">
        <v>1110</v>
      </c>
      <c r="M79" s="21">
        <f t="shared" si="32"/>
        <v>1405</v>
      </c>
      <c r="N79" s="22">
        <f t="shared" si="13"/>
        <v>1.7360699642120732</v>
      </c>
      <c r="O79" s="22">
        <f t="shared" si="14"/>
        <v>4.1624203066859433</v>
      </c>
      <c r="P79" s="22">
        <f t="shared" si="6"/>
        <v>4.1624203066859433</v>
      </c>
      <c r="Q79" s="21">
        <f t="shared" si="15"/>
        <v>1747</v>
      </c>
      <c r="R79" s="23">
        <f t="shared" si="16"/>
        <v>0.6353749284487693</v>
      </c>
      <c r="S79" s="23">
        <f t="shared" si="33"/>
        <v>0.45338078291814948</v>
      </c>
      <c r="T79" s="9" t="str">
        <f t="shared" si="34"/>
        <v>Места накопления ТКО (МНО): 637 по ФГИС УТКО / 1405 по ТС</v>
      </c>
      <c r="U79" s="9" t="str">
        <f t="shared" si="35"/>
        <v>Наполнение ФГИС УТКО 45%</v>
      </c>
      <c r="V79" s="25" t="str">
        <f t="shared" si="36"/>
        <v>Аномальные данные территориальной схемы</v>
      </c>
      <c r="W79" s="9" t="str">
        <f t="shared" si="37"/>
        <v>Контейнерные площадки (КП): 586 по ФГИС УТКО / 1747,0 на 1000 чел.</v>
      </c>
      <c r="X79" s="9">
        <f t="shared" si="38"/>
        <v>0.99854643422926903</v>
      </c>
      <c r="Y79" s="9" t="str">
        <f t="shared" si="19"/>
        <v xml:space="preserve">ниже </v>
      </c>
      <c r="Z79" s="9" t="str">
        <f t="shared" si="20"/>
        <v>Обеспеченность КП ниже среднего по России на 100%</v>
      </c>
      <c r="AA79" s="9" t="str">
        <f t="shared" si="21"/>
        <v>Потребность в КП по данным субъекта 1110 шт. (64% от МНО)</v>
      </c>
      <c r="AB79" s="69" t="str">
        <f t="shared" si="22"/>
        <v>2/1/1 (64%)</v>
      </c>
    </row>
    <row r="80" spans="2:28">
      <c r="B80" s="12" t="s">
        <v>67</v>
      </c>
      <c r="C80" s="20">
        <f t="shared" si="10"/>
        <v>2</v>
      </c>
      <c r="D80" s="24">
        <f t="shared" si="23"/>
        <v>2</v>
      </c>
      <c r="E80" s="20">
        <f t="shared" si="11"/>
        <v>1</v>
      </c>
      <c r="F80" s="20">
        <f t="shared" si="24"/>
        <v>2</v>
      </c>
      <c r="G80" s="20">
        <f t="shared" si="25"/>
        <v>2</v>
      </c>
      <c r="H80" s="21">
        <v>528175</v>
      </c>
      <c r="I80" s="54">
        <v>2585</v>
      </c>
      <c r="J80" s="54">
        <v>1956</v>
      </c>
      <c r="K80" s="54">
        <v>5640</v>
      </c>
      <c r="L80" s="54">
        <v>5586</v>
      </c>
      <c r="M80" s="21">
        <f t="shared" si="32"/>
        <v>5640</v>
      </c>
      <c r="N80" s="22">
        <f t="shared" si="13"/>
        <v>3.7033180290623373</v>
      </c>
      <c r="O80" s="22">
        <f t="shared" si="14"/>
        <v>10.678278979504899</v>
      </c>
      <c r="P80" s="22">
        <f t="shared" si="6"/>
        <v>10.678278979504899</v>
      </c>
      <c r="Q80" s="21">
        <f t="shared" si="15"/>
        <v>8171</v>
      </c>
      <c r="R80" s="23">
        <f t="shared" si="16"/>
        <v>0.68363725370211725</v>
      </c>
      <c r="S80" s="23">
        <f t="shared" si="33"/>
        <v>0.45833333333333331</v>
      </c>
      <c r="T80" s="9" t="str">
        <f t="shared" si="34"/>
        <v>Места накопления ТКО (МНО): 2585 по ФГИС УТКО / 5640 по ТС</v>
      </c>
      <c r="U80" s="9" t="str">
        <f t="shared" si="35"/>
        <v>Наполнение ФГИС УТКО 46%</v>
      </c>
      <c r="V80" s="25" t="str">
        <f t="shared" si="36"/>
        <v>Аномальные данные территориальной схемы</v>
      </c>
      <c r="W80" s="9" t="str">
        <f t="shared" si="37"/>
        <v>Контейнерные площадки (КП): 1956 по ФГИС УТКО / 8171,0 на 1000 чел.</v>
      </c>
      <c r="X80" s="9">
        <f t="shared" si="38"/>
        <v>0.99320143908835545</v>
      </c>
      <c r="Y80" s="9" t="str">
        <f t="shared" si="19"/>
        <v xml:space="preserve">ниже </v>
      </c>
      <c r="Z80" s="9" t="str">
        <f t="shared" si="20"/>
        <v>Обеспеченность КП ниже среднего по России на 99%</v>
      </c>
      <c r="AA80" s="9" t="str">
        <f t="shared" si="21"/>
        <v>Потребность в КП по данным субъекта 5586 шт. (68% от МНО)</v>
      </c>
      <c r="AB80" s="69" t="str">
        <f t="shared" si="22"/>
        <v>8/2/6 (68%)</v>
      </c>
    </row>
    <row r="81" spans="2:28">
      <c r="B81" s="12" t="s">
        <v>68</v>
      </c>
      <c r="C81" s="20">
        <f t="shared" ref="C81:C104" si="39">IF(D81&gt;$D$8,2,IF(D81&gt;$D$9,1,0))</f>
        <v>0</v>
      </c>
      <c r="D81" s="24">
        <f t="shared" si="23"/>
        <v>0</v>
      </c>
      <c r="E81" s="20">
        <f t="shared" ref="E81:E104" si="40">IF(N81&lt;$N$7,2,IF(AND(N81&lt;$N$9,N81&gt;=$N$7),1,0))</f>
        <v>1</v>
      </c>
      <c r="F81" s="20">
        <f t="shared" si="24"/>
        <v>0</v>
      </c>
      <c r="G81" s="20">
        <f t="shared" si="25"/>
        <v>0</v>
      </c>
      <c r="H81" s="21">
        <v>4152518</v>
      </c>
      <c r="I81" s="54">
        <v>21719</v>
      </c>
      <c r="J81" s="54">
        <v>20380</v>
      </c>
      <c r="K81" s="54">
        <v>24735</v>
      </c>
      <c r="L81" s="54">
        <v>2409</v>
      </c>
      <c r="M81" s="21">
        <f t="shared" si="32"/>
        <v>24735</v>
      </c>
      <c r="N81" s="22">
        <f t="shared" ref="N81:N104" si="41">J81/$H81*1000</f>
        <v>4.9078655408597864</v>
      </c>
      <c r="O81" s="22">
        <f t="shared" si="14"/>
        <v>5.9566267984870871</v>
      </c>
      <c r="P81" s="22">
        <f t="shared" si="6"/>
        <v>5.9566267984870871</v>
      </c>
      <c r="Q81" s="21">
        <f t="shared" ref="Q81:Q104" si="42">I81+L81</f>
        <v>24128</v>
      </c>
      <c r="R81" s="23">
        <f t="shared" ref="R81:R104" si="43">L81/(I81+L81)</f>
        <v>9.9842506631299732E-2</v>
      </c>
      <c r="S81" s="23">
        <f t="shared" si="33"/>
        <v>0.87806751566606023</v>
      </c>
      <c r="T81" s="9" t="str">
        <f t="shared" si="34"/>
        <v>Места накопления ТКО (МНО): 21719 по ФГИС УТКО / 24735 по ТС</v>
      </c>
      <c r="U81" s="9" t="str">
        <f t="shared" si="35"/>
        <v>Наполнение ФГИС УТКО 88%</v>
      </c>
      <c r="V81" s="25" t="str">
        <f t="shared" si="36"/>
        <v>Аномальные данные территориальной схемы</v>
      </c>
      <c r="W81" s="9" t="str">
        <f t="shared" si="37"/>
        <v>Контейнерные площадки (КП): 20380 по ФГИС УТКО / 24128,0 на 1000 чел.</v>
      </c>
      <c r="X81" s="9">
        <f t="shared" si="38"/>
        <v>0.97992465087796377</v>
      </c>
      <c r="Y81" s="9" t="str">
        <f t="shared" si="19"/>
        <v xml:space="preserve">ниже </v>
      </c>
      <c r="Z81" s="9" t="str">
        <f t="shared" si="20"/>
        <v>Обеспеченность КП ниже среднего по России на 98%</v>
      </c>
      <c r="AA81" s="9" t="str">
        <f t="shared" si="21"/>
        <v>Потребность в КП по данным субъекта 2409 шт. (10% от МНО)</v>
      </c>
      <c r="AB81" s="69" t="str">
        <f t="shared" ref="AB81:AB104" si="44">_xlfn.TEXTJOIN(,0,ROUND((J81+L81)/1000,0),"/",ROUND(J81/1000,0),"/",ROUND(L81/1000,0)," (",TEXT(R81,"0%"),")")</f>
        <v>23/20/2 (10%)</v>
      </c>
    </row>
    <row r="82" spans="2:28">
      <c r="B82" s="12" t="s">
        <v>69</v>
      </c>
      <c r="C82" s="20">
        <f t="shared" si="39"/>
        <v>0</v>
      </c>
      <c r="D82" s="24">
        <f t="shared" si="23"/>
        <v>0</v>
      </c>
      <c r="E82" s="20">
        <f t="shared" si="40"/>
        <v>0</v>
      </c>
      <c r="F82" s="20">
        <f t="shared" si="24"/>
        <v>0</v>
      </c>
      <c r="G82" s="20">
        <f t="shared" si="25"/>
        <v>0</v>
      </c>
      <c r="H82" s="21">
        <v>1082231</v>
      </c>
      <c r="I82" s="54">
        <v>13511</v>
      </c>
      <c r="J82" s="54">
        <v>13045</v>
      </c>
      <c r="K82" s="54">
        <v>13057</v>
      </c>
      <c r="L82" s="54">
        <v>2376</v>
      </c>
      <c r="M82" s="21">
        <f t="shared" si="32"/>
        <v>13511</v>
      </c>
      <c r="N82" s="22">
        <f t="shared" si="41"/>
        <v>12.053803670380907</v>
      </c>
      <c r="O82" s="22">
        <f t="shared" si="14"/>
        <v>12.064891876133652</v>
      </c>
      <c r="P82" s="22">
        <f t="shared" si="6"/>
        <v>12.064891876133652</v>
      </c>
      <c r="Q82" s="21">
        <f t="shared" si="42"/>
        <v>15887</v>
      </c>
      <c r="R82" s="23">
        <f t="shared" si="43"/>
        <v>0.14955624095172154</v>
      </c>
      <c r="S82" s="23">
        <f t="shared" si="33"/>
        <v>1</v>
      </c>
      <c r="T82" s="9" t="str">
        <f t="shared" si="34"/>
        <v>Места накопления ТКО (МНО): 13511 по ФГИС УТКО / 13057 по ТС</v>
      </c>
      <c r="U82" s="9" t="str">
        <f t="shared" si="35"/>
        <v>Наполнение ФГИС УТКО более 100%</v>
      </c>
      <c r="V82" s="25" t="str">
        <f t="shared" si="36"/>
        <v>Аномальные данные территориальной схемы</v>
      </c>
      <c r="W82" s="9" t="str">
        <f t="shared" si="37"/>
        <v>Контейнерные площадки (КП): 13045 по ФГИС УТКО / 15887,0 на 1000 чел.</v>
      </c>
      <c r="X82" s="9">
        <f t="shared" si="38"/>
        <v>0.98678145426468045</v>
      </c>
      <c r="Y82" s="9" t="str">
        <f t="shared" si="19"/>
        <v xml:space="preserve">ниже </v>
      </c>
      <c r="Z82" s="9" t="str">
        <f t="shared" si="20"/>
        <v>Обеспеченность КП ниже среднего по России на 99%</v>
      </c>
      <c r="AA82" s="9" t="str">
        <f t="shared" si="21"/>
        <v>Потребность в КП по данным субъекта 2376 шт. (15% от МНО)</v>
      </c>
      <c r="AB82" s="69" t="str">
        <f t="shared" si="44"/>
        <v>15/13/2 (15%)</v>
      </c>
    </row>
    <row r="83" spans="2:28">
      <c r="B83" s="12" t="s">
        <v>70</v>
      </c>
      <c r="C83" s="20">
        <f t="shared" si="39"/>
        <v>0</v>
      </c>
      <c r="D83" s="24">
        <f t="shared" si="23"/>
        <v>0</v>
      </c>
      <c r="E83" s="20">
        <f t="shared" si="40"/>
        <v>1</v>
      </c>
      <c r="F83" s="20">
        <f t="shared" si="24"/>
        <v>0</v>
      </c>
      <c r="G83" s="20">
        <f t="shared" si="25"/>
        <v>0</v>
      </c>
      <c r="H83" s="21">
        <v>3127842</v>
      </c>
      <c r="I83" s="54">
        <v>18901</v>
      </c>
      <c r="J83" s="54">
        <v>18359</v>
      </c>
      <c r="K83" s="54">
        <v>21694</v>
      </c>
      <c r="L83" s="54">
        <v>3230</v>
      </c>
      <c r="M83" s="21">
        <f t="shared" si="32"/>
        <v>21694</v>
      </c>
      <c r="N83" s="22">
        <f t="shared" si="41"/>
        <v>5.8695420037201362</v>
      </c>
      <c r="O83" s="22">
        <f t="shared" si="14"/>
        <v>6.935772331211103</v>
      </c>
      <c r="P83" s="22">
        <f t="shared" ref="P83" si="45">MAX(N83,O83)</f>
        <v>6.935772331211103</v>
      </c>
      <c r="Q83" s="21">
        <f t="shared" si="42"/>
        <v>22131</v>
      </c>
      <c r="R83" s="23">
        <f t="shared" si="43"/>
        <v>0.14594912114228908</v>
      </c>
      <c r="S83" s="23">
        <f t="shared" si="33"/>
        <v>0.87125472480870292</v>
      </c>
      <c r="T83" s="9" t="str">
        <f t="shared" si="34"/>
        <v>Места накопления ТКО (МНО): 18901 по ФГИС УТКО / 21694 по ТС</v>
      </c>
      <c r="U83" s="9" t="str">
        <f t="shared" si="35"/>
        <v>Наполнение ФГИС УТКО 87%</v>
      </c>
      <c r="V83" s="25" t="str">
        <f t="shared" si="36"/>
        <v>Аномальные данные территориальной схемы</v>
      </c>
      <c r="W83" s="9" t="str">
        <f t="shared" si="37"/>
        <v>Контейнерные площадки (КП): 18359 по ФГИС УТКО / 22131,0 на 1000 чел.</v>
      </c>
      <c r="X83" s="9">
        <f t="shared" ref="X83:X104" si="46">IF(Q83&gt;=$Q$15,Q83/$Q$15-1,1-Q83/$Q$15)</f>
        <v>0.98158622548823837</v>
      </c>
      <c r="Y83" s="9" t="str">
        <f t="shared" si="19"/>
        <v xml:space="preserve">ниже </v>
      </c>
      <c r="Z83" s="9" t="str">
        <f t="shared" si="20"/>
        <v>Обеспеченность КП ниже среднего по России на 98%</v>
      </c>
      <c r="AA83" s="9" t="str">
        <f t="shared" si="21"/>
        <v>Потребность в КП по данным субъекта 3230 шт. (15% от МНО)</v>
      </c>
      <c r="AB83" s="69" t="str">
        <f t="shared" si="44"/>
        <v>22/18/3 (15%)</v>
      </c>
    </row>
    <row r="84" spans="2:28">
      <c r="B84" s="12" t="s">
        <v>71</v>
      </c>
      <c r="C84" s="20">
        <f t="shared" si="39"/>
        <v>1</v>
      </c>
      <c r="D84" s="24">
        <f t="shared" si="23"/>
        <v>1</v>
      </c>
      <c r="E84" s="20">
        <f t="shared" si="40"/>
        <v>1</v>
      </c>
      <c r="F84" s="20">
        <f t="shared" si="24"/>
        <v>2</v>
      </c>
      <c r="G84" s="20">
        <f t="shared" si="25"/>
        <v>1</v>
      </c>
      <c r="H84" s="21">
        <v>2385163</v>
      </c>
      <c r="I84" s="54">
        <v>12577</v>
      </c>
      <c r="J84" s="54">
        <v>11186</v>
      </c>
      <c r="K84" s="54">
        <v>19459</v>
      </c>
      <c r="L84" s="54">
        <v>3000</v>
      </c>
      <c r="M84" s="21">
        <f t="shared" si="32"/>
        <v>19459</v>
      </c>
      <c r="N84" s="22">
        <f t="shared" si="41"/>
        <v>4.6898262299054609</v>
      </c>
      <c r="O84" s="22">
        <f t="shared" ref="O84:O104" si="47">K84/$H84*1000</f>
        <v>8.1583522803263335</v>
      </c>
      <c r="P84" s="22">
        <f>MAX(N84,O84)</f>
        <v>8.1583522803263335</v>
      </c>
      <c r="Q84" s="21">
        <f t="shared" si="42"/>
        <v>15577</v>
      </c>
      <c r="R84" s="23">
        <f t="shared" si="43"/>
        <v>0.1925916415227579</v>
      </c>
      <c r="S84" s="23">
        <f t="shared" si="33"/>
        <v>0.64633331620329926</v>
      </c>
      <c r="T84" s="9" t="str">
        <f t="shared" si="34"/>
        <v>Места накопления ТКО (МНО): 12577 по ФГИС УТКО / 19459 по ТС</v>
      </c>
      <c r="U84" s="9" t="str">
        <f t="shared" si="35"/>
        <v>Наполнение ФГИС УТКО 65%</v>
      </c>
      <c r="V84" s="25" t="str">
        <f t="shared" si="36"/>
        <v>Аномальные данные территориальной схемы</v>
      </c>
      <c r="W84" s="9" t="str">
        <f t="shared" si="37"/>
        <v>Контейнерные площадки (КП): 11186 по ФГИС УТКО / 15577,0 на 1000 чел.</v>
      </c>
      <c r="X84" s="9">
        <f t="shared" si="46"/>
        <v>0.98703938522571455</v>
      </c>
      <c r="Y84" s="9" t="str">
        <f t="shared" ref="Y84:Y104" si="48">IF(Q84&gt;=$Q$15,"выше ","ниже ")</f>
        <v xml:space="preserve">ниже </v>
      </c>
      <c r="Z84" s="9" t="str">
        <f t="shared" ref="Z84:Z104" si="49">_xlfn.TEXTJOIN(,0,"Обеспеченность КП ",Y84,"среднего по России на ",TEXT(X84,"0%"))</f>
        <v>Обеспеченность КП ниже среднего по России на 99%</v>
      </c>
      <c r="AA84" s="9" t="str">
        <f t="shared" ref="AA84:AA104" si="50">IF(L84&gt;0,_xlfn.TEXTJOIN(,0,"Потребность в КП по данным субъекта ",L84," шт. (",TEXT(R84,"0%")," от МНО)"),"Потребность в КП не представлена")</f>
        <v>Потребность в КП по данным субъекта 3000 шт. (19% от МНО)</v>
      </c>
      <c r="AB84" s="69" t="str">
        <f t="shared" si="44"/>
        <v>14/11/3 (19%)</v>
      </c>
    </row>
    <row r="85" spans="2:28">
      <c r="B85" s="12" t="s">
        <v>72</v>
      </c>
      <c r="C85" s="20">
        <f t="shared" si="39"/>
        <v>0</v>
      </c>
      <c r="D85" s="24">
        <f t="shared" si="23"/>
        <v>0</v>
      </c>
      <c r="E85" s="20">
        <f t="shared" si="40"/>
        <v>0</v>
      </c>
      <c r="F85" s="20">
        <f t="shared" si="24"/>
        <v>0</v>
      </c>
      <c r="G85" s="20">
        <f t="shared" si="25"/>
        <v>0</v>
      </c>
      <c r="H85" s="21">
        <v>457590</v>
      </c>
      <c r="I85" s="54">
        <v>3805</v>
      </c>
      <c r="J85" s="54">
        <v>3666</v>
      </c>
      <c r="K85" s="54">
        <v>3789</v>
      </c>
      <c r="L85" s="54">
        <v>207</v>
      </c>
      <c r="M85" s="21">
        <f t="shared" si="32"/>
        <v>3805</v>
      </c>
      <c r="N85" s="22">
        <f t="shared" si="41"/>
        <v>8.0115387136956677</v>
      </c>
      <c r="O85" s="22">
        <f t="shared" si="47"/>
        <v>8.2803382941060786</v>
      </c>
      <c r="P85" s="22">
        <f t="shared" ref="P85:P104" si="51">MAX(N85,O85)</f>
        <v>8.2803382941060786</v>
      </c>
      <c r="Q85" s="21">
        <f t="shared" si="42"/>
        <v>4012</v>
      </c>
      <c r="R85" s="23">
        <f t="shared" si="43"/>
        <v>5.1595214356929216E-2</v>
      </c>
      <c r="S85" s="23">
        <f t="shared" si="33"/>
        <v>1</v>
      </c>
      <c r="T85" s="9" t="str">
        <f t="shared" si="34"/>
        <v>Места накопления ТКО (МНО): 3805 по ФГИС УТКО / 3789 по ТС</v>
      </c>
      <c r="U85" s="9" t="str">
        <f t="shared" si="35"/>
        <v>Наполнение ФГИС УТКО более 100%</v>
      </c>
      <c r="V85" s="25" t="str">
        <f t="shared" si="36"/>
        <v>Аномальные данные территориальной схемы</v>
      </c>
      <c r="W85" s="9" t="str">
        <f t="shared" si="37"/>
        <v>Контейнерные площадки (КП): 3666 по ФГИС УТКО / 4012,0 на 1000 чел.</v>
      </c>
      <c r="X85" s="9">
        <f t="shared" si="46"/>
        <v>0.99666187414300356</v>
      </c>
      <c r="Y85" s="9" t="str">
        <f t="shared" si="48"/>
        <v xml:space="preserve">ниже </v>
      </c>
      <c r="Z85" s="9" t="str">
        <f t="shared" si="49"/>
        <v>Обеспеченность КП ниже среднего по России на 100%</v>
      </c>
      <c r="AA85" s="9" t="str">
        <f t="shared" si="50"/>
        <v>Потребность в КП по данным субъекта 207 шт. (5% от МНО)</v>
      </c>
      <c r="AB85" s="69" t="str">
        <f t="shared" si="44"/>
        <v>4/4/0 (5%)</v>
      </c>
    </row>
    <row r="86" spans="2:28">
      <c r="B86" s="12" t="s">
        <v>73</v>
      </c>
      <c r="C86" s="20">
        <f t="shared" si="39"/>
        <v>0</v>
      </c>
      <c r="D86" s="24">
        <f t="shared" si="23"/>
        <v>0</v>
      </c>
      <c r="E86" s="20">
        <f t="shared" si="40"/>
        <v>0</v>
      </c>
      <c r="F86" s="20">
        <f t="shared" si="24"/>
        <v>0</v>
      </c>
      <c r="G86" s="20">
        <f t="shared" si="25"/>
        <v>0</v>
      </c>
      <c r="H86" s="21">
        <v>4222695</v>
      </c>
      <c r="I86" s="54">
        <v>37469</v>
      </c>
      <c r="J86" s="54">
        <v>35471</v>
      </c>
      <c r="K86" s="54">
        <v>37989</v>
      </c>
      <c r="L86" s="54">
        <v>4485</v>
      </c>
      <c r="M86" s="21">
        <f t="shared" si="32"/>
        <v>37989</v>
      </c>
      <c r="N86" s="22">
        <f t="shared" si="41"/>
        <v>8.4000857272429101</v>
      </c>
      <c r="O86" s="22">
        <f t="shared" si="47"/>
        <v>8.9963873782027832</v>
      </c>
      <c r="P86" s="22">
        <f t="shared" si="51"/>
        <v>8.9963873782027832</v>
      </c>
      <c r="Q86" s="21">
        <f t="shared" si="42"/>
        <v>41954</v>
      </c>
      <c r="R86" s="23">
        <f t="shared" si="43"/>
        <v>0.10690279830290318</v>
      </c>
      <c r="S86" s="23">
        <f t="shared" si="33"/>
        <v>0.98631182710784704</v>
      </c>
      <c r="T86" s="9" t="str">
        <f t="shared" si="34"/>
        <v>Места накопления ТКО (МНО): 37469 по ФГИС УТКО / 37989 по ТС</v>
      </c>
      <c r="U86" s="9" t="str">
        <f t="shared" si="35"/>
        <v>Наполнение ФГИС УТКО 99%</v>
      </c>
      <c r="V86" s="25" t="str">
        <f t="shared" si="36"/>
        <v>Аномальные данные территориальной схемы</v>
      </c>
      <c r="W86" s="9" t="str">
        <f t="shared" si="37"/>
        <v>Контейнерные площадки (КП): 35471 по ФГИС УТКО / 41954,0 на 1000 чел.</v>
      </c>
      <c r="X86" s="9">
        <f t="shared" si="46"/>
        <v>0.96509278858314362</v>
      </c>
      <c r="Y86" s="9" t="str">
        <f t="shared" si="48"/>
        <v xml:space="preserve">ниже </v>
      </c>
      <c r="Z86" s="9" t="str">
        <f t="shared" si="49"/>
        <v>Обеспеченность КП ниже среднего по России на 97%</v>
      </c>
      <c r="AA86" s="9" t="str">
        <f t="shared" si="50"/>
        <v>Потребность в КП по данным субъекта 4485 шт. (11% от МНО)</v>
      </c>
      <c r="AB86" s="69" t="str">
        <f t="shared" si="44"/>
        <v>40/35/4 (11%)</v>
      </c>
    </row>
    <row r="87" spans="2:28">
      <c r="B87" s="12" t="s">
        <v>74</v>
      </c>
      <c r="C87" s="20">
        <f t="shared" si="39"/>
        <v>0</v>
      </c>
      <c r="D87" s="24">
        <f t="shared" si="23"/>
        <v>0</v>
      </c>
      <c r="E87" s="20">
        <f t="shared" si="40"/>
        <v>0</v>
      </c>
      <c r="F87" s="20">
        <f t="shared" si="24"/>
        <v>1</v>
      </c>
      <c r="G87" s="20">
        <f t="shared" si="25"/>
        <v>0</v>
      </c>
      <c r="H87" s="21">
        <v>863987</v>
      </c>
      <c r="I87" s="54">
        <v>6089</v>
      </c>
      <c r="J87" s="54">
        <v>5492</v>
      </c>
      <c r="K87" s="54">
        <v>7973</v>
      </c>
      <c r="L87" s="54">
        <v>1320</v>
      </c>
      <c r="M87" s="21">
        <f t="shared" si="32"/>
        <v>7973</v>
      </c>
      <c r="N87" s="22">
        <f t="shared" si="41"/>
        <v>6.3565771244243257</v>
      </c>
      <c r="O87" s="22">
        <f t="shared" si="47"/>
        <v>9.2281481087099682</v>
      </c>
      <c r="P87" s="22">
        <f t="shared" si="51"/>
        <v>9.2281481087099682</v>
      </c>
      <c r="Q87" s="21">
        <f t="shared" si="42"/>
        <v>7409</v>
      </c>
      <c r="R87" s="23">
        <f t="shared" si="43"/>
        <v>0.17816169523552436</v>
      </c>
      <c r="S87" s="23">
        <f t="shared" si="33"/>
        <v>0.76370249592374262</v>
      </c>
      <c r="T87" s="9" t="str">
        <f t="shared" si="34"/>
        <v>Места накопления ТКО (МНО): 6089 по ФГИС УТКО / 7973 по ТС</v>
      </c>
      <c r="U87" s="9" t="str">
        <f t="shared" si="35"/>
        <v>Наполнение ФГИС УТКО 76%</v>
      </c>
      <c r="V87" s="25" t="str">
        <f t="shared" si="36"/>
        <v>Аномальные данные территориальной схемы</v>
      </c>
      <c r="W87" s="9" t="str">
        <f t="shared" si="37"/>
        <v>Контейнерные площадки (КП): 5492 по ФГИС УТКО / 7409,0 на 1000 чел.</v>
      </c>
      <c r="X87" s="9">
        <f t="shared" si="46"/>
        <v>0.99383545003128448</v>
      </c>
      <c r="Y87" s="9" t="str">
        <f t="shared" si="48"/>
        <v xml:space="preserve">ниже </v>
      </c>
      <c r="Z87" s="9" t="str">
        <f t="shared" si="49"/>
        <v>Обеспеченность КП ниже среднего по России на 99%</v>
      </c>
      <c r="AA87" s="9" t="str">
        <f t="shared" si="50"/>
        <v>Потребность в КП по данным субъекта 1320 шт. (18% от МНО)</v>
      </c>
      <c r="AB87" s="69" t="str">
        <f t="shared" si="44"/>
        <v>7/5/1 (18%)</v>
      </c>
    </row>
    <row r="88" spans="2:28">
      <c r="B88" s="12" t="s">
        <v>75</v>
      </c>
      <c r="C88" s="20">
        <f t="shared" si="39"/>
        <v>0</v>
      </c>
      <c r="D88" s="24">
        <f t="shared" si="23"/>
        <v>0</v>
      </c>
      <c r="E88" s="20">
        <f t="shared" si="40"/>
        <v>1</v>
      </c>
      <c r="F88" s="20">
        <f t="shared" si="24"/>
        <v>1</v>
      </c>
      <c r="G88" s="20">
        <f t="shared" si="25"/>
        <v>0</v>
      </c>
      <c r="H88" s="21">
        <v>2886108</v>
      </c>
      <c r="I88" s="54">
        <v>10544</v>
      </c>
      <c r="J88" s="54">
        <v>10182</v>
      </c>
      <c r="K88" s="54">
        <v>14545</v>
      </c>
      <c r="L88" s="54">
        <v>2054</v>
      </c>
      <c r="M88" s="21">
        <f t="shared" si="32"/>
        <v>14545</v>
      </c>
      <c r="N88" s="22">
        <f t="shared" si="41"/>
        <v>3.5279345055694384</v>
      </c>
      <c r="O88" s="22">
        <f t="shared" si="47"/>
        <v>5.039658945541885</v>
      </c>
      <c r="P88" s="22">
        <f t="shared" si="51"/>
        <v>5.039658945541885</v>
      </c>
      <c r="Q88" s="21">
        <f t="shared" si="42"/>
        <v>12598</v>
      </c>
      <c r="R88" s="23">
        <f t="shared" si="43"/>
        <v>0.16304175265915224</v>
      </c>
      <c r="S88" s="23">
        <f t="shared" si="33"/>
        <v>0.72492265383293231</v>
      </c>
      <c r="T88" s="9" t="str">
        <f t="shared" si="34"/>
        <v>Места накопления ТКО (МНО): 10544 по ФГИС УТКО / 14545 по ТС</v>
      </c>
      <c r="U88" s="9" t="str">
        <f t="shared" si="35"/>
        <v>Наполнение ФГИС УТКО 72%</v>
      </c>
      <c r="V88" s="25" t="str">
        <f t="shared" si="36"/>
        <v>Аномальные данные территориальной схемы</v>
      </c>
      <c r="W88" s="9" t="str">
        <f t="shared" si="37"/>
        <v>Контейнерные площадки (КП): 10182 по ФГИС УТКО / 12598,0 на 1000 чел.</v>
      </c>
      <c r="X88" s="9">
        <f t="shared" si="46"/>
        <v>0.98951801855771659</v>
      </c>
      <c r="Y88" s="9" t="str">
        <f t="shared" si="48"/>
        <v xml:space="preserve">ниже </v>
      </c>
      <c r="Z88" s="9" t="str">
        <f t="shared" si="49"/>
        <v>Обеспеченность КП ниже среднего по России на 99%</v>
      </c>
      <c r="AA88" s="9" t="str">
        <f t="shared" si="50"/>
        <v>Потребность в КП по данным субъекта 2054 шт. (16% от МНО)</v>
      </c>
      <c r="AB88" s="69" t="str">
        <f t="shared" si="44"/>
        <v>12/10/2 (16%)</v>
      </c>
    </row>
    <row r="89" spans="2:28">
      <c r="B89" s="12" t="s">
        <v>76</v>
      </c>
      <c r="C89" s="20">
        <f t="shared" si="39"/>
        <v>2</v>
      </c>
      <c r="D89" s="24">
        <f t="shared" si="23"/>
        <v>2</v>
      </c>
      <c r="E89" s="20">
        <f t="shared" si="40"/>
        <v>1</v>
      </c>
      <c r="F89" s="20">
        <f t="shared" si="24"/>
        <v>0</v>
      </c>
      <c r="G89" s="20">
        <f t="shared" si="25"/>
        <v>2</v>
      </c>
      <c r="H89" s="21">
        <v>956292</v>
      </c>
      <c r="I89" s="54">
        <v>9197</v>
      </c>
      <c r="J89" s="54">
        <v>5590</v>
      </c>
      <c r="K89" s="54">
        <v>7805</v>
      </c>
      <c r="L89" s="54">
        <v>8111</v>
      </c>
      <c r="M89" s="21">
        <f t="shared" si="32"/>
        <v>9197</v>
      </c>
      <c r="N89" s="22">
        <f t="shared" si="41"/>
        <v>5.8454948906819251</v>
      </c>
      <c r="O89" s="22">
        <f t="shared" si="47"/>
        <v>8.1617330271507029</v>
      </c>
      <c r="P89" s="22">
        <f t="shared" si="51"/>
        <v>8.1617330271507029</v>
      </c>
      <c r="Q89" s="21">
        <f t="shared" si="42"/>
        <v>17308</v>
      </c>
      <c r="R89" s="23">
        <f t="shared" si="43"/>
        <v>0.46862722440489946</v>
      </c>
      <c r="S89" s="23">
        <f t="shared" si="33"/>
        <v>1</v>
      </c>
      <c r="T89" s="9" t="str">
        <f t="shared" si="34"/>
        <v>Места накопления ТКО (МНО): 9197 по ФГИС УТКО / 7805 по ТС</v>
      </c>
      <c r="U89" s="9" t="str">
        <f t="shared" si="35"/>
        <v>Наполнение ФГИС УТКО более 100%</v>
      </c>
      <c r="V89" s="25" t="str">
        <f t="shared" si="36"/>
        <v>Аномальные данные территориальной схемы</v>
      </c>
      <c r="W89" s="9" t="str">
        <f t="shared" si="37"/>
        <v>Контейнерные площадки (КП): 5590 по ФГИС УТКО / 17308,0 на 1000 чел.</v>
      </c>
      <c r="X89" s="9">
        <f t="shared" si="46"/>
        <v>0.98559913202071436</v>
      </c>
      <c r="Y89" s="9" t="str">
        <f t="shared" si="48"/>
        <v xml:space="preserve">ниже </v>
      </c>
      <c r="Z89" s="9" t="str">
        <f t="shared" si="49"/>
        <v>Обеспеченность КП ниже среднего по России на 99%</v>
      </c>
      <c r="AA89" s="9" t="str">
        <f t="shared" si="50"/>
        <v>Потребность в КП по данным субъекта 8111 шт. (47% от МНО)</v>
      </c>
      <c r="AB89" s="69" t="str">
        <f t="shared" si="44"/>
        <v>14/6/8 (47%)</v>
      </c>
    </row>
    <row r="90" spans="2:28">
      <c r="B90" s="12" t="s">
        <v>77</v>
      </c>
      <c r="C90" s="20">
        <f t="shared" si="39"/>
        <v>0</v>
      </c>
      <c r="D90" s="24">
        <f t="shared" si="23"/>
        <v>0</v>
      </c>
      <c r="E90" s="20">
        <f t="shared" si="40"/>
        <v>0</v>
      </c>
      <c r="F90" s="20">
        <f t="shared" si="24"/>
        <v>0</v>
      </c>
      <c r="G90" s="20">
        <f t="shared" si="25"/>
        <v>0</v>
      </c>
      <c r="H90" s="21">
        <v>1199747</v>
      </c>
      <c r="I90" s="54">
        <v>9718</v>
      </c>
      <c r="J90" s="54">
        <v>7179</v>
      </c>
      <c r="K90" s="54">
        <v>10289</v>
      </c>
      <c r="L90" s="54">
        <v>1235</v>
      </c>
      <c r="M90" s="21">
        <f t="shared" si="32"/>
        <v>10289</v>
      </c>
      <c r="N90" s="22">
        <f t="shared" si="41"/>
        <v>5.983761576399024</v>
      </c>
      <c r="O90" s="22">
        <f t="shared" si="47"/>
        <v>8.5759747680135909</v>
      </c>
      <c r="P90" s="22">
        <f t="shared" si="51"/>
        <v>8.5759747680135909</v>
      </c>
      <c r="Q90" s="21">
        <f t="shared" si="42"/>
        <v>10953</v>
      </c>
      <c r="R90" s="23">
        <f t="shared" si="43"/>
        <v>0.11275449648498129</v>
      </c>
      <c r="S90" s="23">
        <f t="shared" si="33"/>
        <v>0.94450383905141411</v>
      </c>
      <c r="T90" s="9" t="str">
        <f t="shared" si="34"/>
        <v>Места накопления ТКО (МНО): 9718 по ФГИС УТКО / 10289 по ТС</v>
      </c>
      <c r="U90" s="9" t="str">
        <f t="shared" si="35"/>
        <v>Наполнение ФГИС УТКО 94%</v>
      </c>
      <c r="V90" s="25" t="str">
        <f t="shared" si="36"/>
        <v>Аномальные данные территориальной схемы</v>
      </c>
      <c r="W90" s="9" t="str">
        <f t="shared" si="37"/>
        <v>Контейнерные площадки (КП): 7179 по ФГИС УТКО / 10953,0 на 1000 чел.</v>
      </c>
      <c r="X90" s="9">
        <f t="shared" si="46"/>
        <v>0.99088671672191386</v>
      </c>
      <c r="Y90" s="9" t="str">
        <f t="shared" si="48"/>
        <v xml:space="preserve">ниже </v>
      </c>
      <c r="Z90" s="9" t="str">
        <f t="shared" si="49"/>
        <v>Обеспеченность КП ниже среднего по России на 99%</v>
      </c>
      <c r="AA90" s="9" t="str">
        <f t="shared" si="50"/>
        <v>Потребность в КП по данным субъекта 1235 шт. (11% от МНО)</v>
      </c>
      <c r="AB90" s="69" t="str">
        <f t="shared" si="44"/>
        <v>8/7/1 (11%)</v>
      </c>
    </row>
    <row r="91" spans="2:28">
      <c r="B91" s="12" t="s">
        <v>78</v>
      </c>
      <c r="C91" s="20">
        <f t="shared" si="39"/>
        <v>1</v>
      </c>
      <c r="D91" s="24">
        <f t="shared" si="23"/>
        <v>1</v>
      </c>
      <c r="E91" s="20">
        <f t="shared" si="40"/>
        <v>0</v>
      </c>
      <c r="F91" s="20">
        <f t="shared" si="24"/>
        <v>0</v>
      </c>
      <c r="G91" s="20">
        <f t="shared" si="25"/>
        <v>1</v>
      </c>
      <c r="H91" s="21">
        <v>1043385</v>
      </c>
      <c r="I91" s="54">
        <v>13268</v>
      </c>
      <c r="J91" s="54">
        <v>12345</v>
      </c>
      <c r="K91" s="54">
        <v>14209</v>
      </c>
      <c r="L91" s="54">
        <v>7565</v>
      </c>
      <c r="M91" s="21">
        <f t="shared" si="32"/>
        <v>14209</v>
      </c>
      <c r="N91" s="22">
        <f t="shared" si="41"/>
        <v>11.831682456619561</v>
      </c>
      <c r="O91" s="22">
        <f t="shared" si="47"/>
        <v>13.61817545776487</v>
      </c>
      <c r="P91" s="22">
        <f t="shared" si="51"/>
        <v>13.61817545776487</v>
      </c>
      <c r="Q91" s="21">
        <f t="shared" si="42"/>
        <v>20833</v>
      </c>
      <c r="R91" s="23">
        <f t="shared" si="43"/>
        <v>0.36312581001296018</v>
      </c>
      <c r="S91" s="23">
        <f t="shared" si="33"/>
        <v>0.93377436835808292</v>
      </c>
      <c r="T91" s="9" t="str">
        <f t="shared" si="34"/>
        <v>Места накопления ТКО (МНО): 13268 по ФГИС УТКО / 14209 по ТС</v>
      </c>
      <c r="U91" s="9" t="str">
        <f t="shared" si="35"/>
        <v>Наполнение ФГИС УТКО 93%</v>
      </c>
      <c r="V91" s="25" t="str">
        <f t="shared" si="36"/>
        <v>Аномальные данные территориальной схемы</v>
      </c>
      <c r="W91" s="9" t="str">
        <f t="shared" si="37"/>
        <v>Контейнерные площадки (КП): 12345 по ФГИС УТКО / 20833,0 на 1000 чел.</v>
      </c>
      <c r="X91" s="9">
        <f t="shared" si="46"/>
        <v>0.98266620738314892</v>
      </c>
      <c r="Y91" s="9" t="str">
        <f t="shared" si="48"/>
        <v xml:space="preserve">ниже </v>
      </c>
      <c r="Z91" s="9" t="str">
        <f t="shared" si="49"/>
        <v>Обеспеченность КП ниже среднего по России на 98%</v>
      </c>
      <c r="AA91" s="9" t="str">
        <f t="shared" si="50"/>
        <v>Потребность в КП по данным субъекта 7565 шт. (36% от МНО)</v>
      </c>
      <c r="AB91" s="69" t="str">
        <f t="shared" si="44"/>
        <v>20/12/8 (36%)</v>
      </c>
    </row>
    <row r="92" spans="2:28">
      <c r="B92" s="12" t="s">
        <v>79</v>
      </c>
      <c r="C92" s="20">
        <f t="shared" si="39"/>
        <v>0</v>
      </c>
      <c r="D92" s="24">
        <f t="shared" si="23"/>
        <v>0</v>
      </c>
      <c r="E92" s="20">
        <f t="shared" si="40"/>
        <v>1</v>
      </c>
      <c r="F92" s="20">
        <f t="shared" si="24"/>
        <v>0</v>
      </c>
      <c r="G92" s="20">
        <f t="shared" si="25"/>
        <v>0</v>
      </c>
      <c r="H92" s="21">
        <v>1471140</v>
      </c>
      <c r="I92" s="54">
        <v>9955</v>
      </c>
      <c r="J92" s="54">
        <v>8397</v>
      </c>
      <c r="K92" s="54">
        <v>9393</v>
      </c>
      <c r="L92" s="54">
        <v>419</v>
      </c>
      <c r="M92" s="21">
        <f t="shared" si="32"/>
        <v>9955</v>
      </c>
      <c r="N92" s="22">
        <f t="shared" si="41"/>
        <v>5.7078184265263667</v>
      </c>
      <c r="O92" s="22">
        <f t="shared" si="47"/>
        <v>6.3848444063787264</v>
      </c>
      <c r="P92" s="22">
        <f t="shared" si="51"/>
        <v>6.3848444063787264</v>
      </c>
      <c r="Q92" s="21">
        <f t="shared" si="42"/>
        <v>10374</v>
      </c>
      <c r="R92" s="23">
        <f t="shared" si="43"/>
        <v>4.0389435126277233E-2</v>
      </c>
      <c r="S92" s="23">
        <f t="shared" si="33"/>
        <v>1</v>
      </c>
      <c r="T92" s="9" t="str">
        <f t="shared" si="34"/>
        <v>Места накопления ТКО (МНО): 9955 по ФГИС УТКО / 9393 по ТС</v>
      </c>
      <c r="U92" s="9" t="str">
        <f t="shared" si="35"/>
        <v>Наполнение ФГИС УТКО более 100%</v>
      </c>
      <c r="V92" s="25" t="str">
        <f t="shared" si="36"/>
        <v>Аномальные данные территориальной схемы</v>
      </c>
      <c r="W92" s="9" t="str">
        <f t="shared" si="37"/>
        <v>Контейнерные площадки (КП): 8397 по ФГИС УТКО / 10374,0 на 1000 чел.</v>
      </c>
      <c r="X92" s="9">
        <f t="shared" si="46"/>
        <v>0.99136846519429689</v>
      </c>
      <c r="Y92" s="9" t="str">
        <f t="shared" si="48"/>
        <v xml:space="preserve">ниже </v>
      </c>
      <c r="Z92" s="9" t="str">
        <f t="shared" si="49"/>
        <v>Обеспеченность КП ниже среднего по России на 99%</v>
      </c>
      <c r="AA92" s="9" t="str">
        <f t="shared" si="50"/>
        <v>Потребность в КП по данным субъекта 419 шт. (4% от МНО)</v>
      </c>
      <c r="AB92" s="69" t="str">
        <f t="shared" si="44"/>
        <v>9/8/0 (4%)</v>
      </c>
    </row>
    <row r="93" spans="2:28">
      <c r="B93" s="12" t="s">
        <v>80</v>
      </c>
      <c r="C93" s="20">
        <f t="shared" si="39"/>
        <v>2</v>
      </c>
      <c r="D93" s="24">
        <f t="shared" si="23"/>
        <v>2</v>
      </c>
      <c r="E93" s="20">
        <f t="shared" si="40"/>
        <v>0</v>
      </c>
      <c r="F93" s="20">
        <f t="shared" si="24"/>
        <v>0</v>
      </c>
      <c r="G93" s="20">
        <f t="shared" si="25"/>
        <v>2</v>
      </c>
      <c r="H93" s="21">
        <v>1615454</v>
      </c>
      <c r="I93" s="54">
        <v>15786</v>
      </c>
      <c r="J93" s="54">
        <v>15312</v>
      </c>
      <c r="K93" s="54">
        <v>13530</v>
      </c>
      <c r="L93" s="54">
        <v>0</v>
      </c>
      <c r="M93" s="21">
        <f t="shared" si="32"/>
        <v>15786</v>
      </c>
      <c r="N93" s="22">
        <f t="shared" si="41"/>
        <v>9.4784500208610076</v>
      </c>
      <c r="O93" s="22">
        <f t="shared" si="47"/>
        <v>8.3753545442952877</v>
      </c>
      <c r="P93" s="22">
        <f t="shared" si="51"/>
        <v>9.4784500208610076</v>
      </c>
      <c r="Q93" s="21">
        <f t="shared" si="42"/>
        <v>15786</v>
      </c>
      <c r="R93" s="23">
        <f t="shared" si="43"/>
        <v>0</v>
      </c>
      <c r="S93" s="23">
        <f t="shared" si="33"/>
        <v>1</v>
      </c>
      <c r="T93" s="9" t="str">
        <f t="shared" si="34"/>
        <v>Места накопления ТКО (МНО): 15786 по ФГИС УТКО / 13530 по ТС</v>
      </c>
      <c r="U93" s="9" t="str">
        <f t="shared" si="35"/>
        <v>Наполнение ФГИС УТКО более 100%</v>
      </c>
      <c r="V93" s="25" t="str">
        <f t="shared" si="36"/>
        <v>Аномальные данные территориальной схемы</v>
      </c>
      <c r="W93" s="9" t="str">
        <f t="shared" si="37"/>
        <v>Контейнерные площадки (КП): 15312 по ФГИС УТКО / 15786,0 на 1000 чел.</v>
      </c>
      <c r="X93" s="9">
        <f t="shared" si="46"/>
        <v>0.98686548983585609</v>
      </c>
      <c r="Y93" s="9" t="str">
        <f t="shared" si="48"/>
        <v xml:space="preserve">ниже </v>
      </c>
      <c r="Z93" s="9" t="str">
        <f t="shared" si="49"/>
        <v>Обеспеченность КП ниже среднего по России на 99%</v>
      </c>
      <c r="AA93" s="9" t="str">
        <f t="shared" si="50"/>
        <v>Потребность в КП не представлена</v>
      </c>
      <c r="AB93" s="69" t="str">
        <f t="shared" si="44"/>
        <v>15/15/0 (0%)</v>
      </c>
    </row>
    <row r="94" spans="2:28">
      <c r="B94" s="12" t="s">
        <v>81</v>
      </c>
      <c r="C94" s="20">
        <f t="shared" si="39"/>
        <v>1</v>
      </c>
      <c r="D94" s="24">
        <f t="shared" ref="D94:D104" si="52">E94*$E$11+F94*$F$11+G94*$G$11</f>
        <v>1</v>
      </c>
      <c r="E94" s="20">
        <f t="shared" si="40"/>
        <v>1</v>
      </c>
      <c r="F94" s="20">
        <f t="shared" ref="F94:F104" si="53">IF(S94&lt;$S$7,2,IF(S94&lt;$S$9,1,0))</f>
        <v>2</v>
      </c>
      <c r="G94" s="20">
        <f t="shared" ref="G94:G104" si="54">IF(OR(R94&gt;$R$8,R94&lt;=$R$7),2,IF(R94&gt;$R$10,1,0))</f>
        <v>1</v>
      </c>
      <c r="H94" s="21">
        <v>1434557</v>
      </c>
      <c r="I94" s="54">
        <v>8883</v>
      </c>
      <c r="J94" s="54">
        <v>7931</v>
      </c>
      <c r="K94" s="54">
        <v>28071</v>
      </c>
      <c r="L94" s="54">
        <v>3002</v>
      </c>
      <c r="M94" s="21">
        <f t="shared" si="32"/>
        <v>28071</v>
      </c>
      <c r="N94" s="22">
        <f t="shared" si="41"/>
        <v>5.5285359870677846</v>
      </c>
      <c r="O94" s="22">
        <f t="shared" si="47"/>
        <v>19.567713238302836</v>
      </c>
      <c r="P94" s="22">
        <f t="shared" si="51"/>
        <v>19.567713238302836</v>
      </c>
      <c r="Q94" s="21">
        <f t="shared" si="42"/>
        <v>11885</v>
      </c>
      <c r="R94" s="23">
        <f t="shared" si="43"/>
        <v>0.25258729490954984</v>
      </c>
      <c r="S94" s="23">
        <f t="shared" si="33"/>
        <v>0.31644757935235651</v>
      </c>
      <c r="T94" s="9" t="str">
        <f t="shared" si="34"/>
        <v>Места накопления ТКО (МНО): 8883 по ФГИС УТКО / 28071 по ТС</v>
      </c>
      <c r="U94" s="9" t="str">
        <f t="shared" si="35"/>
        <v>Наполнение ФГИС УТКО 32%</v>
      </c>
      <c r="V94" s="25" t="str">
        <f t="shared" si="36"/>
        <v>Аномальные данные территориальной схемы</v>
      </c>
      <c r="W94" s="9" t="str">
        <f t="shared" si="37"/>
        <v>Контейнерные площадки (КП): 7931 по ФГИС УТКО / 11885,0 на 1000 чел.</v>
      </c>
      <c r="X94" s="9">
        <f t="shared" si="46"/>
        <v>0.99011125976809511</v>
      </c>
      <c r="Y94" s="9" t="str">
        <f t="shared" si="48"/>
        <v xml:space="preserve">ниже </v>
      </c>
      <c r="Z94" s="9" t="str">
        <f t="shared" si="49"/>
        <v>Обеспеченность КП ниже среднего по России на 99%</v>
      </c>
      <c r="AA94" s="9" t="str">
        <f t="shared" si="50"/>
        <v>Потребность в КП по данным субъекта 3002 шт. (25% от МНО)</v>
      </c>
      <c r="AB94" s="69" t="str">
        <f t="shared" si="44"/>
        <v>11/8/3 (25%)</v>
      </c>
    </row>
    <row r="95" spans="2:28">
      <c r="B95" s="12" t="s">
        <v>82</v>
      </c>
      <c r="C95" s="20">
        <f t="shared" si="39"/>
        <v>0</v>
      </c>
      <c r="D95" s="24">
        <f t="shared" si="52"/>
        <v>0</v>
      </c>
      <c r="E95" s="20">
        <f t="shared" si="40"/>
        <v>0</v>
      </c>
      <c r="F95" s="20">
        <f t="shared" si="53"/>
        <v>1</v>
      </c>
      <c r="G95" s="20">
        <f t="shared" si="54"/>
        <v>0</v>
      </c>
      <c r="H95" s="21">
        <v>1172782</v>
      </c>
      <c r="I95" s="54">
        <v>10477</v>
      </c>
      <c r="J95" s="54">
        <v>9279</v>
      </c>
      <c r="K95" s="54">
        <v>12581</v>
      </c>
      <c r="L95" s="54">
        <v>50</v>
      </c>
      <c r="M95" s="21">
        <f t="shared" si="32"/>
        <v>12581</v>
      </c>
      <c r="N95" s="22">
        <f t="shared" si="41"/>
        <v>7.9119563567653666</v>
      </c>
      <c r="O95" s="22">
        <f t="shared" si="47"/>
        <v>10.727483880209622</v>
      </c>
      <c r="P95" s="22">
        <f t="shared" si="51"/>
        <v>10.727483880209622</v>
      </c>
      <c r="Q95" s="21">
        <f t="shared" si="42"/>
        <v>10527</v>
      </c>
      <c r="R95" s="23">
        <f t="shared" si="43"/>
        <v>4.7496912700674453E-3</v>
      </c>
      <c r="S95" s="23">
        <f t="shared" si="33"/>
        <v>0.83276369128050232</v>
      </c>
      <c r="T95" s="9" t="str">
        <f t="shared" si="34"/>
        <v>Места накопления ТКО (МНО): 10477 по ФГИС УТКО / 12581 по ТС</v>
      </c>
      <c r="U95" s="9" t="str">
        <f t="shared" si="35"/>
        <v>Наполнение ФГИС УТКО 83%</v>
      </c>
      <c r="V95" s="25" t="str">
        <f t="shared" si="36"/>
        <v>Аномальные данные территориальной схемы</v>
      </c>
      <c r="W95" s="9" t="str">
        <f t="shared" si="37"/>
        <v>Контейнерные площадки (КП): 9279 по ФГИС УТКО / 10527,0 на 1000 чел.</v>
      </c>
      <c r="X95" s="9">
        <f t="shared" si="46"/>
        <v>0.99124116378449623</v>
      </c>
      <c r="Y95" s="9" t="str">
        <f t="shared" si="48"/>
        <v xml:space="preserve">ниже </v>
      </c>
      <c r="Z95" s="9" t="str">
        <f t="shared" si="49"/>
        <v>Обеспеченность КП ниже среднего по России на 99%</v>
      </c>
      <c r="AA95" s="9" t="str">
        <f t="shared" si="50"/>
        <v>Потребность в КП по данным субъекта 50 шт. (0% от МНО)</v>
      </c>
      <c r="AB95" s="69" t="str">
        <f t="shared" si="44"/>
        <v>9/9/0 (0%)</v>
      </c>
    </row>
    <row r="96" spans="2:28">
      <c r="B96" s="12" t="s">
        <v>83</v>
      </c>
      <c r="C96" s="20">
        <f t="shared" si="39"/>
        <v>0</v>
      </c>
      <c r="D96" s="24">
        <f t="shared" si="52"/>
        <v>0</v>
      </c>
      <c r="E96" s="20">
        <f t="shared" si="40"/>
        <v>0</v>
      </c>
      <c r="F96" s="20">
        <f t="shared" si="53"/>
        <v>2</v>
      </c>
      <c r="G96" s="20">
        <f t="shared" si="54"/>
        <v>0</v>
      </c>
      <c r="H96" s="21">
        <v>1278132</v>
      </c>
      <c r="I96" s="54">
        <v>24620</v>
      </c>
      <c r="J96" s="54">
        <v>10136</v>
      </c>
      <c r="K96" s="54">
        <v>81271</v>
      </c>
      <c r="L96" s="54">
        <v>3878</v>
      </c>
      <c r="M96" s="21">
        <f t="shared" si="32"/>
        <v>81271</v>
      </c>
      <c r="N96" s="22">
        <f t="shared" si="41"/>
        <v>7.9303233155886863</v>
      </c>
      <c r="O96" s="22">
        <f t="shared" si="47"/>
        <v>63.585764224665375</v>
      </c>
      <c r="P96" s="22">
        <f t="shared" si="51"/>
        <v>63.585764224665375</v>
      </c>
      <c r="Q96" s="21">
        <f t="shared" si="42"/>
        <v>28498</v>
      </c>
      <c r="R96" s="23">
        <f t="shared" si="43"/>
        <v>0.13607972489297496</v>
      </c>
      <c r="S96" s="23">
        <f t="shared" si="33"/>
        <v>0.30293708702981381</v>
      </c>
      <c r="T96" s="9" t="str">
        <f t="shared" si="34"/>
        <v>Места накопления ТКО (МНО): 24620 по ФГИС УТКО / 81271 по ТС</v>
      </c>
      <c r="U96" s="9" t="str">
        <f t="shared" si="35"/>
        <v>Наполнение ФГИС УТКО 30%</v>
      </c>
      <c r="V96" s="25" t="str">
        <f t="shared" si="36"/>
        <v>Аномальные данные территориальной схемы</v>
      </c>
      <c r="W96" s="9" t="str">
        <f t="shared" si="37"/>
        <v>Контейнерные площадки (КП): 10136 по ФГИС УТКО / 28498,0 на 1000 чел.</v>
      </c>
      <c r="X96" s="9">
        <f t="shared" si="46"/>
        <v>0.97628865636274076</v>
      </c>
      <c r="Y96" s="9" t="str">
        <f t="shared" si="48"/>
        <v xml:space="preserve">ниже </v>
      </c>
      <c r="Z96" s="9" t="str">
        <f t="shared" si="49"/>
        <v>Обеспеченность КП ниже среднего по России на 98%</v>
      </c>
      <c r="AA96" s="9" t="str">
        <f t="shared" si="50"/>
        <v>Потребность в КП по данным субъекта 3878 шт. (14% от МНО)</v>
      </c>
      <c r="AB96" s="69" t="str">
        <f t="shared" si="44"/>
        <v>14/10/4 (14%)</v>
      </c>
    </row>
    <row r="97" spans="2:28">
      <c r="B97" s="12" t="s">
        <v>84</v>
      </c>
      <c r="C97" s="20">
        <f t="shared" si="39"/>
        <v>0</v>
      </c>
      <c r="D97" s="24">
        <f t="shared" si="52"/>
        <v>0</v>
      </c>
      <c r="E97" s="20">
        <f t="shared" si="40"/>
        <v>0</v>
      </c>
      <c r="F97" s="20">
        <f t="shared" si="53"/>
        <v>0</v>
      </c>
      <c r="G97" s="20">
        <f t="shared" si="54"/>
        <v>0</v>
      </c>
      <c r="H97" s="21">
        <v>1759386</v>
      </c>
      <c r="I97" s="54">
        <v>17823</v>
      </c>
      <c r="J97" s="54">
        <v>16971</v>
      </c>
      <c r="K97" s="54">
        <v>14124</v>
      </c>
      <c r="L97" s="54">
        <v>44</v>
      </c>
      <c r="M97" s="21">
        <f t="shared" si="32"/>
        <v>17823</v>
      </c>
      <c r="N97" s="22">
        <f t="shared" si="41"/>
        <v>9.6459787675927853</v>
      </c>
      <c r="O97" s="22">
        <f t="shared" si="47"/>
        <v>8.0278006077120097</v>
      </c>
      <c r="P97" s="22">
        <f t="shared" si="51"/>
        <v>9.6459787675927853</v>
      </c>
      <c r="Q97" s="21">
        <f t="shared" si="42"/>
        <v>17867</v>
      </c>
      <c r="R97" s="23">
        <f t="shared" si="43"/>
        <v>2.462640622376448E-3</v>
      </c>
      <c r="S97" s="23">
        <f t="shared" si="33"/>
        <v>1</v>
      </c>
      <c r="T97" s="9" t="str">
        <f t="shared" si="34"/>
        <v>Места накопления ТКО (МНО): 17823 по ФГИС УТКО / 14124 по ТС</v>
      </c>
      <c r="U97" s="9" t="str">
        <f t="shared" si="35"/>
        <v>Наполнение ФГИС УТКО более 100%</v>
      </c>
      <c r="V97" s="25" t="str">
        <f t="shared" si="36"/>
        <v>Аномальные данные территориальной схемы</v>
      </c>
      <c r="W97" s="9" t="str">
        <f t="shared" si="37"/>
        <v>Контейнерные площадки (КП): 16971 по ФГИС УТКО / 17867,0 на 1000 чел.</v>
      </c>
      <c r="X97" s="9">
        <f t="shared" si="46"/>
        <v>0.98513402425549479</v>
      </c>
      <c r="Y97" s="9" t="str">
        <f t="shared" si="48"/>
        <v xml:space="preserve">ниже </v>
      </c>
      <c r="Z97" s="9" t="str">
        <f t="shared" si="49"/>
        <v>Обеспеченность КП ниже среднего по России на 99%</v>
      </c>
      <c r="AA97" s="9" t="str">
        <f t="shared" si="50"/>
        <v>Потребность в КП по данным субъекта 44 шт. (0% от МНО)</v>
      </c>
      <c r="AB97" s="69" t="str">
        <f t="shared" si="44"/>
        <v>17/17/0 (0%)</v>
      </c>
    </row>
    <row r="98" spans="2:28">
      <c r="B98" s="12" t="s">
        <v>166</v>
      </c>
      <c r="C98" s="60">
        <v>0</v>
      </c>
      <c r="D98" s="60">
        <v>0</v>
      </c>
      <c r="E98" s="60">
        <v>0</v>
      </c>
      <c r="F98" s="60">
        <v>0</v>
      </c>
      <c r="G98" s="60">
        <v>0</v>
      </c>
      <c r="H98" s="21"/>
      <c r="I98" s="54"/>
      <c r="J98" s="54"/>
      <c r="K98" s="54">
        <v>0</v>
      </c>
      <c r="L98" s="54">
        <v>0</v>
      </c>
      <c r="M98" s="21"/>
      <c r="N98" s="22"/>
      <c r="O98" s="22"/>
      <c r="P98" s="22"/>
      <c r="Q98" s="21">
        <f t="shared" si="42"/>
        <v>0</v>
      </c>
      <c r="R98" s="23"/>
      <c r="S98" s="23"/>
      <c r="T98" s="9"/>
      <c r="V98" s="25"/>
    </row>
    <row r="99" spans="2:28">
      <c r="B99" s="12" t="s">
        <v>85</v>
      </c>
      <c r="C99" s="20">
        <f t="shared" si="39"/>
        <v>0</v>
      </c>
      <c r="D99" s="24">
        <f t="shared" si="52"/>
        <v>0</v>
      </c>
      <c r="E99" s="20">
        <f t="shared" si="40"/>
        <v>1</v>
      </c>
      <c r="F99" s="20">
        <f t="shared" si="53"/>
        <v>2</v>
      </c>
      <c r="G99" s="20">
        <f t="shared" si="54"/>
        <v>0</v>
      </c>
      <c r="H99" s="21">
        <v>3395798</v>
      </c>
      <c r="I99" s="54">
        <v>18134</v>
      </c>
      <c r="J99" s="54">
        <v>17166</v>
      </c>
      <c r="K99" s="54">
        <v>32937</v>
      </c>
      <c r="L99" s="54">
        <v>1482</v>
      </c>
      <c r="M99" s="21">
        <f t="shared" ref="M99:M104" si="55">MAX(I99,K99)</f>
        <v>32937</v>
      </c>
      <c r="N99" s="22">
        <f t="shared" si="41"/>
        <v>5.0550710024565655</v>
      </c>
      <c r="O99" s="22">
        <f t="shared" si="47"/>
        <v>9.6993401845457239</v>
      </c>
      <c r="P99" s="22">
        <f t="shared" si="51"/>
        <v>9.6993401845457239</v>
      </c>
      <c r="Q99" s="21">
        <f t="shared" si="42"/>
        <v>19616</v>
      </c>
      <c r="R99" s="23">
        <f t="shared" si="43"/>
        <v>7.5550570962479607E-2</v>
      </c>
      <c r="S99" s="23">
        <f t="shared" ref="S99:S104" si="56">I99/MAX(I99,K99)</f>
        <v>0.55056623250447823</v>
      </c>
      <c r="T99" s="9" t="str">
        <f t="shared" ref="T99:T104" si="57">_xlfn.TEXTJOIN(,0,"Места накопления ТКО (МНО): ",I99," по ФГИС УТКО / ",K99," по ТС")</f>
        <v>Места накопления ТКО (МНО): 18134 по ФГИС УТКО / 32937 по ТС</v>
      </c>
      <c r="U99" s="9" t="str">
        <f t="shared" ref="U99:U104" si="58">_xlfn.TEXTJOIN(,0,"Наполнение ФГИС УТКО"," ",IF(I99&lt;=K99,TEXT(S99,"0%"),"более 100%"))</f>
        <v>Наполнение ФГИС УТКО 55%</v>
      </c>
      <c r="V99" s="25" t="str">
        <f t="shared" ref="V99:V104" si="59">IF(O99&gt;$O$8,$V$107,IF(Q99&gt;$Q$10,$V$108,IF(I99&gt;K99*(1+$K$10),$V$109,"")))</f>
        <v>Аномальные данные территориальной схемы</v>
      </c>
      <c r="W99" s="9" t="str">
        <f t="shared" ref="W99:W104" si="60">_xlfn.TEXTJOIN(,0,"Контейнерные площадки (КП): ",J99," по ФГИС УТКО / ",TEXT(Q99,"0,0")," на 1000 чел.")</f>
        <v>Контейнерные площадки (КП): 17166 по ФГИС УТКО / 19616,0 на 1000 чел.</v>
      </c>
      <c r="X99" s="9">
        <f t="shared" si="46"/>
        <v>0.98367879441404737</v>
      </c>
      <c r="Y99" s="9" t="str">
        <f t="shared" si="48"/>
        <v xml:space="preserve">ниже </v>
      </c>
      <c r="Z99" s="9" t="str">
        <f t="shared" si="49"/>
        <v>Обеспеченность КП ниже среднего по России на 98%</v>
      </c>
      <c r="AA99" s="9" t="str">
        <f t="shared" si="50"/>
        <v>Потребность в КП по данным субъекта 1482 шт. (8% от МНО)</v>
      </c>
      <c r="AB99" s="69" t="str">
        <f t="shared" si="44"/>
        <v>19/17/1 (8%)</v>
      </c>
    </row>
    <row r="100" spans="2:28">
      <c r="B100" s="12" t="s">
        <v>86</v>
      </c>
      <c r="C100" s="20">
        <f t="shared" si="39"/>
        <v>2</v>
      </c>
      <c r="D100" s="24">
        <f t="shared" si="52"/>
        <v>2</v>
      </c>
      <c r="E100" s="20">
        <f t="shared" si="40"/>
        <v>2</v>
      </c>
      <c r="F100" s="20">
        <f t="shared" si="53"/>
        <v>0</v>
      </c>
      <c r="G100" s="20">
        <f t="shared" si="54"/>
        <v>2</v>
      </c>
      <c r="H100" s="21">
        <v>1552866</v>
      </c>
      <c r="I100" s="54">
        <v>1498</v>
      </c>
      <c r="J100" s="54">
        <v>1487</v>
      </c>
      <c r="K100" s="54">
        <v>1735</v>
      </c>
      <c r="L100" s="54">
        <v>0</v>
      </c>
      <c r="M100" s="21">
        <f t="shared" si="55"/>
        <v>1735</v>
      </c>
      <c r="N100" s="22">
        <f t="shared" si="41"/>
        <v>0.95758423457014319</v>
      </c>
      <c r="O100" s="22">
        <f t="shared" si="47"/>
        <v>1.1172889354264952</v>
      </c>
      <c r="P100" s="22">
        <f t="shared" si="51"/>
        <v>1.1172889354264952</v>
      </c>
      <c r="Q100" s="21">
        <f t="shared" si="42"/>
        <v>1498</v>
      </c>
      <c r="R100" s="23">
        <f t="shared" si="43"/>
        <v>0</v>
      </c>
      <c r="S100" s="23">
        <f t="shared" si="56"/>
        <v>0.86340057636887613</v>
      </c>
      <c r="T100" s="9" t="str">
        <f t="shared" si="57"/>
        <v>Места накопления ТКО (МНО): 1498 по ФГИС УТКО / 1735 по ТС</v>
      </c>
      <c r="U100" s="9" t="str">
        <f t="shared" si="58"/>
        <v>Наполнение ФГИС УТКО 86%</v>
      </c>
      <c r="V100" s="25" t="str">
        <f t="shared" si="59"/>
        <v>Аномальные данные территориальной схемы</v>
      </c>
      <c r="W100" s="9" t="str">
        <f t="shared" si="60"/>
        <v>Контейнерные площадки (КП): 1487 по ФГИС УТКО / 1498,0 на 1000 чел.</v>
      </c>
      <c r="X100" s="9">
        <f t="shared" si="46"/>
        <v>0.9987536110334545</v>
      </c>
      <c r="Y100" s="9" t="str">
        <f t="shared" si="48"/>
        <v xml:space="preserve">ниже </v>
      </c>
      <c r="Z100" s="9" t="str">
        <f t="shared" si="49"/>
        <v>Обеспеченность КП ниже среднего по России на 100%</v>
      </c>
      <c r="AA100" s="9" t="str">
        <f t="shared" si="50"/>
        <v>Потребность в КП не представлена</v>
      </c>
      <c r="AB100" s="69" t="str">
        <f t="shared" si="44"/>
        <v>1/1/0 (0%)</v>
      </c>
    </row>
    <row r="101" spans="2:28">
      <c r="B101" s="12" t="s">
        <v>87</v>
      </c>
      <c r="C101" s="20">
        <f t="shared" si="39"/>
        <v>2</v>
      </c>
      <c r="D101" s="24">
        <f t="shared" si="52"/>
        <v>2</v>
      </c>
      <c r="E101" s="20">
        <f t="shared" si="40"/>
        <v>0</v>
      </c>
      <c r="F101" s="20">
        <f t="shared" si="53"/>
        <v>0</v>
      </c>
      <c r="G101" s="20">
        <f t="shared" si="54"/>
        <v>2</v>
      </c>
      <c r="H101" s="21">
        <v>1167061</v>
      </c>
      <c r="I101" s="54">
        <v>15394</v>
      </c>
      <c r="J101" s="54">
        <v>15028</v>
      </c>
      <c r="K101" s="54">
        <v>14859</v>
      </c>
      <c r="L101" s="54">
        <v>0</v>
      </c>
      <c r="M101" s="21">
        <f t="shared" si="55"/>
        <v>15394</v>
      </c>
      <c r="N101" s="22">
        <f t="shared" si="41"/>
        <v>12.876790501953197</v>
      </c>
      <c r="O101" s="22">
        <f t="shared" si="47"/>
        <v>12.731982304266872</v>
      </c>
      <c r="P101" s="22">
        <f t="shared" si="51"/>
        <v>12.876790501953197</v>
      </c>
      <c r="Q101" s="21">
        <f t="shared" si="42"/>
        <v>15394</v>
      </c>
      <c r="R101" s="23">
        <f t="shared" si="43"/>
        <v>0</v>
      </c>
      <c r="S101" s="23">
        <f t="shared" si="56"/>
        <v>1</v>
      </c>
      <c r="T101" s="9" t="str">
        <f t="shared" si="57"/>
        <v>Места накопления ТКО (МНО): 15394 по ФГИС УТКО / 14859 по ТС</v>
      </c>
      <c r="U101" s="9" t="str">
        <f t="shared" si="58"/>
        <v>Наполнение ФГИС УТКО более 100%</v>
      </c>
      <c r="V101" s="25" t="str">
        <f t="shared" si="59"/>
        <v>Аномальные данные территориальной схемы</v>
      </c>
      <c r="W101" s="9" t="str">
        <f t="shared" si="60"/>
        <v>Контейнерные площадки (КП): 15028 по ФГИС УТКО / 15394,0 на 1000 чел.</v>
      </c>
      <c r="X101" s="9">
        <f t="shared" si="46"/>
        <v>0.98719164769626055</v>
      </c>
      <c r="Y101" s="9" t="str">
        <f t="shared" si="48"/>
        <v xml:space="preserve">ниже </v>
      </c>
      <c r="Z101" s="9" t="str">
        <f t="shared" si="49"/>
        <v>Обеспеченность КП ниже среднего по России на 99%</v>
      </c>
      <c r="AA101" s="9" t="str">
        <f t="shared" si="50"/>
        <v>Потребность в КП не представлена</v>
      </c>
      <c r="AB101" s="69" t="str">
        <f t="shared" si="44"/>
        <v>15/15/0 (0%)</v>
      </c>
    </row>
    <row r="102" spans="2:28">
      <c r="B102" s="12" t="s">
        <v>88</v>
      </c>
      <c r="C102" s="20">
        <f t="shared" si="39"/>
        <v>1</v>
      </c>
      <c r="D102" s="24">
        <f t="shared" si="52"/>
        <v>1</v>
      </c>
      <c r="E102" s="20">
        <f t="shared" si="40"/>
        <v>0</v>
      </c>
      <c r="F102" s="20">
        <f t="shared" si="53"/>
        <v>0</v>
      </c>
      <c r="G102" s="20">
        <f t="shared" si="54"/>
        <v>1</v>
      </c>
      <c r="H102" s="21">
        <v>48029</v>
      </c>
      <c r="I102" s="54">
        <v>478</v>
      </c>
      <c r="J102" s="54">
        <v>477</v>
      </c>
      <c r="K102" s="54">
        <v>459</v>
      </c>
      <c r="L102" s="54">
        <v>244</v>
      </c>
      <c r="M102" s="21">
        <f t="shared" si="55"/>
        <v>478</v>
      </c>
      <c r="N102" s="22">
        <f t="shared" si="41"/>
        <v>9.9314997189198202</v>
      </c>
      <c r="O102" s="22">
        <f t="shared" si="47"/>
        <v>9.5567261446209582</v>
      </c>
      <c r="P102" s="22">
        <f t="shared" si="51"/>
        <v>9.9314997189198202</v>
      </c>
      <c r="Q102" s="21">
        <f t="shared" si="42"/>
        <v>722</v>
      </c>
      <c r="R102" s="23">
        <f t="shared" si="43"/>
        <v>0.33795013850415512</v>
      </c>
      <c r="S102" s="23">
        <f t="shared" si="56"/>
        <v>1</v>
      </c>
      <c r="T102" s="9" t="str">
        <f t="shared" si="57"/>
        <v>Места накопления ТКО (МНО): 478 по ФГИС УТКО / 459 по ТС</v>
      </c>
      <c r="U102" s="9" t="str">
        <f t="shared" si="58"/>
        <v>Наполнение ФГИС УТКО более 100%</v>
      </c>
      <c r="V102" s="25" t="str">
        <f t="shared" si="59"/>
        <v>Аномальные данные территориальной схемы</v>
      </c>
      <c r="W102" s="9" t="str">
        <f t="shared" si="60"/>
        <v>Контейнерные площадки (КП): 477 по ФГИС УТКО / 722,0 на 1000 чел.</v>
      </c>
      <c r="X102" s="9">
        <f t="shared" si="46"/>
        <v>0.99939927047139798</v>
      </c>
      <c r="Y102" s="9" t="str">
        <f t="shared" si="48"/>
        <v xml:space="preserve">ниже </v>
      </c>
      <c r="Z102" s="9" t="str">
        <f t="shared" si="49"/>
        <v>Обеспеченность КП ниже среднего по России на 100%</v>
      </c>
      <c r="AA102" s="9" t="str">
        <f t="shared" si="50"/>
        <v>Потребность в КП по данным субъекта 244 шт. (34% от МНО)</v>
      </c>
      <c r="AB102" s="69" t="str">
        <f t="shared" si="44"/>
        <v>1/0/0 (34%)</v>
      </c>
    </row>
    <row r="103" spans="2:28">
      <c r="B103" s="12" t="s">
        <v>89</v>
      </c>
      <c r="C103" s="20">
        <f t="shared" si="39"/>
        <v>0</v>
      </c>
      <c r="D103" s="24">
        <f t="shared" si="52"/>
        <v>0</v>
      </c>
      <c r="E103" s="20">
        <f t="shared" si="40"/>
        <v>0</v>
      </c>
      <c r="F103" s="20">
        <f t="shared" si="53"/>
        <v>0</v>
      </c>
      <c r="G103" s="20">
        <f t="shared" si="54"/>
        <v>0</v>
      </c>
      <c r="H103" s="21">
        <v>515960</v>
      </c>
      <c r="I103" s="54">
        <v>6714</v>
      </c>
      <c r="J103" s="54">
        <v>5351</v>
      </c>
      <c r="K103" s="54">
        <v>6603</v>
      </c>
      <c r="L103" s="54">
        <v>35</v>
      </c>
      <c r="M103" s="21">
        <f t="shared" si="55"/>
        <v>6714</v>
      </c>
      <c r="N103" s="22">
        <f t="shared" si="41"/>
        <v>10.370958989068921</v>
      </c>
      <c r="O103" s="22">
        <f t="shared" si="47"/>
        <v>12.797503682456005</v>
      </c>
      <c r="P103" s="22">
        <f t="shared" si="51"/>
        <v>12.797503682456005</v>
      </c>
      <c r="Q103" s="21">
        <f t="shared" si="42"/>
        <v>6749</v>
      </c>
      <c r="R103" s="23">
        <f t="shared" si="43"/>
        <v>5.1859534745888284E-3</v>
      </c>
      <c r="S103" s="23">
        <f t="shared" si="56"/>
        <v>1</v>
      </c>
      <c r="T103" s="9" t="str">
        <f t="shared" si="57"/>
        <v>Места накопления ТКО (МНО): 6714 по ФГИС УТКО / 6603 по ТС</v>
      </c>
      <c r="U103" s="9" t="str">
        <f t="shared" si="58"/>
        <v>Наполнение ФГИС УТКО более 100%</v>
      </c>
      <c r="V103" s="25" t="str">
        <f t="shared" si="59"/>
        <v>Аномальные данные территориальной схемы</v>
      </c>
      <c r="W103" s="9" t="str">
        <f t="shared" si="60"/>
        <v>Контейнерные площадки (КП): 5351 по ФГИС УТКО / 6749,0 на 1000 чел.</v>
      </c>
      <c r="X103" s="9">
        <f t="shared" si="46"/>
        <v>0.9943845933676797</v>
      </c>
      <c r="Y103" s="9" t="str">
        <f t="shared" si="48"/>
        <v xml:space="preserve">ниже </v>
      </c>
      <c r="Z103" s="9" t="str">
        <f t="shared" si="49"/>
        <v>Обеспеченность КП ниже среднего по России на 99%</v>
      </c>
      <c r="AA103" s="9" t="str">
        <f t="shared" si="50"/>
        <v>Потребность в КП по данным субъекта 35 шт. (1% от МНО)</v>
      </c>
      <c r="AB103" s="69" t="str">
        <f t="shared" si="44"/>
        <v>5/5/0 (1%)</v>
      </c>
    </row>
    <row r="104" spans="2:28">
      <c r="B104" s="12" t="s">
        <v>90</v>
      </c>
      <c r="C104" s="20">
        <f t="shared" si="39"/>
        <v>0</v>
      </c>
      <c r="D104" s="24">
        <f t="shared" si="52"/>
        <v>0</v>
      </c>
      <c r="E104" s="20">
        <f t="shared" si="40"/>
        <v>1</v>
      </c>
      <c r="F104" s="20">
        <f t="shared" si="53"/>
        <v>0</v>
      </c>
      <c r="G104" s="20">
        <f t="shared" si="54"/>
        <v>0</v>
      </c>
      <c r="H104" s="21">
        <v>1187558</v>
      </c>
      <c r="I104" s="54">
        <v>6980</v>
      </c>
      <c r="J104" s="54">
        <v>6805</v>
      </c>
      <c r="K104" s="54">
        <v>6735</v>
      </c>
      <c r="L104" s="54">
        <v>816</v>
      </c>
      <c r="M104" s="21">
        <f t="shared" si="55"/>
        <v>6980</v>
      </c>
      <c r="N104" s="22">
        <f t="shared" si="41"/>
        <v>5.7302464384897416</v>
      </c>
      <c r="O104" s="22">
        <f t="shared" si="47"/>
        <v>5.6713019490416468</v>
      </c>
      <c r="P104" s="22">
        <f t="shared" si="51"/>
        <v>5.7302464384897416</v>
      </c>
      <c r="Q104" s="21">
        <f t="shared" si="42"/>
        <v>7796</v>
      </c>
      <c r="R104" s="23">
        <f t="shared" si="43"/>
        <v>0.10466906105695228</v>
      </c>
      <c r="S104" s="23">
        <f t="shared" si="56"/>
        <v>1</v>
      </c>
      <c r="T104" s="9" t="str">
        <f t="shared" si="57"/>
        <v>Места накопления ТКО (МНО): 6980 по ФГИС УТКО / 6735 по ТС</v>
      </c>
      <c r="U104" s="9" t="str">
        <f t="shared" si="58"/>
        <v>Наполнение ФГИС УТКО более 100%</v>
      </c>
      <c r="V104" s="25" t="str">
        <f t="shared" si="59"/>
        <v>Аномальные данные территориальной схемы</v>
      </c>
      <c r="W104" s="9" t="str">
        <f t="shared" si="60"/>
        <v>Контейнерные площадки (КП): 6805 по ФГИС УТКО / 7796,0 на 1000 чел.</v>
      </c>
      <c r="X104" s="9">
        <f t="shared" si="46"/>
        <v>0.99351345234767097</v>
      </c>
      <c r="Y104" s="9" t="str">
        <f t="shared" si="48"/>
        <v xml:space="preserve">ниже </v>
      </c>
      <c r="Z104" s="9" t="str">
        <f t="shared" si="49"/>
        <v>Обеспеченность КП ниже среднего по России на 99%</v>
      </c>
      <c r="AA104" s="9" t="str">
        <f t="shared" si="50"/>
        <v>Потребность в КП по данным субъекта 816 шт. (10% от МНО)</v>
      </c>
      <c r="AB104" s="69" t="str">
        <f t="shared" si="44"/>
        <v>8/7/1 (10%)</v>
      </c>
    </row>
    <row r="106" spans="2:28">
      <c r="V106" s="9" t="s">
        <v>122</v>
      </c>
    </row>
    <row r="107" spans="2:28">
      <c r="B107" s="12"/>
      <c r="V107" s="12" t="s">
        <v>123</v>
      </c>
    </row>
    <row r="108" spans="2:28">
      <c r="V108" s="12" t="s">
        <v>125</v>
      </c>
    </row>
    <row r="109" spans="2:28">
      <c r="H109" s="17"/>
      <c r="V109" s="12" t="s">
        <v>124</v>
      </c>
    </row>
  </sheetData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AB109"/>
  <sheetViews>
    <sheetView zoomScale="85" zoomScaleNormal="85" workbookViewId="0">
      <pane xSplit="2" ySplit="15" topLeftCell="C16" activePane="bottomRight" state="frozen"/>
      <selection pane="topRight"/>
      <selection pane="bottomLeft"/>
      <selection pane="bottomRight" activeCell="O15" sqref="O15"/>
    </sheetView>
  </sheetViews>
  <sheetFormatPr defaultColWidth="10.8984375" defaultRowHeight="15"/>
  <cols>
    <col min="1" max="1" width="10.8984375" style="9"/>
    <col min="2" max="2" width="30.59765625" style="9" customWidth="1"/>
    <col min="3" max="7" width="13.5" style="13" customWidth="1"/>
    <col min="8" max="9" width="13.5" style="8" customWidth="1"/>
    <col min="10" max="10" width="13.5" style="8" hidden="1" customWidth="1"/>
    <col min="11" max="13" width="13.5" style="8" customWidth="1"/>
    <col min="14" max="16" width="13.5" style="14" customWidth="1"/>
    <col min="17" max="17" width="13.5" style="84" customWidth="1"/>
    <col min="18" max="19" width="13.5" style="14" customWidth="1"/>
    <col min="20" max="20" width="58.5" style="14" customWidth="1"/>
    <col min="21" max="21" width="32" style="9" customWidth="1"/>
    <col min="22" max="22" width="42.8984375" style="9" customWidth="1"/>
    <col min="23" max="23" width="61.59765625" style="9" hidden="1" customWidth="1"/>
    <col min="24" max="24" width="12.09765625" style="9" customWidth="1"/>
    <col min="25" max="25" width="12" style="9" customWidth="1"/>
    <col min="26" max="26" width="56.3984375" style="9" customWidth="1"/>
    <col min="27" max="27" width="57" style="9" customWidth="1"/>
    <col min="28" max="28" width="17.8984375" style="8" customWidth="1"/>
    <col min="29" max="16384" width="10.8984375" style="9"/>
  </cols>
  <sheetData>
    <row r="2" spans="2:28" ht="15.6">
      <c r="B2" s="7" t="s">
        <v>5</v>
      </c>
    </row>
    <row r="4" spans="2:28" s="7" customFormat="1" ht="15.6">
      <c r="B4" s="7" t="s">
        <v>574</v>
      </c>
      <c r="C4" s="50" t="s">
        <v>573</v>
      </c>
      <c r="D4" s="50"/>
      <c r="E4" s="51"/>
      <c r="F4" s="51"/>
      <c r="G4" s="50"/>
      <c r="H4" s="50"/>
      <c r="I4" s="52"/>
      <c r="J4" s="52"/>
      <c r="K4" s="52"/>
      <c r="L4" s="52"/>
      <c r="M4" s="52"/>
      <c r="N4" s="52"/>
      <c r="O4" s="53"/>
      <c r="P4" s="53"/>
      <c r="Q4" s="85"/>
      <c r="R4" s="53"/>
      <c r="S4" s="53"/>
      <c r="T4" s="53"/>
      <c r="U4" s="53"/>
      <c r="AB4" s="52"/>
    </row>
    <row r="5" spans="2:28">
      <c r="B5" s="9" t="s">
        <v>588</v>
      </c>
      <c r="C5" s="263">
        <v>45574</v>
      </c>
      <c r="E5" s="38"/>
      <c r="F5" s="38"/>
      <c r="H5" s="13"/>
      <c r="N5" s="8"/>
      <c r="U5" s="14"/>
    </row>
    <row r="7" spans="2:28">
      <c r="B7" s="9" t="s">
        <v>92</v>
      </c>
      <c r="O7" s="14">
        <f>O9/2</f>
        <v>8.3860477824721151</v>
      </c>
      <c r="R7" s="15">
        <v>0</v>
      </c>
      <c r="S7" s="15">
        <f>S15</f>
        <v>0.81796834682642161</v>
      </c>
    </row>
    <row r="8" spans="2:28">
      <c r="B8" s="9" t="s">
        <v>93</v>
      </c>
      <c r="D8" s="14">
        <v>1.5</v>
      </c>
      <c r="K8" s="9"/>
      <c r="O8" s="16"/>
      <c r="Q8" s="86"/>
      <c r="R8" s="15">
        <f>R10*2</f>
        <v>0.30528686861856785</v>
      </c>
    </row>
    <row r="9" spans="2:28">
      <c r="B9" s="9" t="s">
        <v>94</v>
      </c>
      <c r="D9" s="14">
        <v>0.5</v>
      </c>
      <c r="O9" s="14">
        <f>O15</f>
        <v>16.77209556494423</v>
      </c>
      <c r="S9" s="15">
        <f>S15+(1-S7)/2</f>
        <v>0.90898417341321081</v>
      </c>
    </row>
    <row r="10" spans="2:28">
      <c r="B10" s="9" t="s">
        <v>95</v>
      </c>
      <c r="K10" s="17"/>
      <c r="R10" s="15">
        <f>R15</f>
        <v>0.15264343430928393</v>
      </c>
    </row>
    <row r="11" spans="2:28">
      <c r="B11" s="9" t="s">
        <v>96</v>
      </c>
      <c r="C11" s="15"/>
      <c r="E11" s="15">
        <v>0</v>
      </c>
      <c r="F11" s="15">
        <v>0</v>
      </c>
      <c r="G11" s="15">
        <v>1</v>
      </c>
    </row>
    <row r="12" spans="2:28">
      <c r="C12" s="15"/>
      <c r="E12" s="15"/>
      <c r="F12" s="15"/>
      <c r="G12" s="15"/>
      <c r="K12" s="9"/>
      <c r="O12" s="9"/>
      <c r="Q12" s="86"/>
    </row>
    <row r="14" spans="2:28" s="11" customFormat="1" ht="75">
      <c r="B14" s="11" t="s">
        <v>0</v>
      </c>
      <c r="C14" s="18" t="s">
        <v>118</v>
      </c>
      <c r="D14" s="18" t="s">
        <v>117</v>
      </c>
      <c r="E14" s="18" t="s">
        <v>114</v>
      </c>
      <c r="F14" s="18" t="s">
        <v>115</v>
      </c>
      <c r="G14" s="18" t="s">
        <v>612</v>
      </c>
      <c r="H14" s="10" t="s">
        <v>6</v>
      </c>
      <c r="I14" s="10" t="s">
        <v>126</v>
      </c>
      <c r="J14" s="10"/>
      <c r="K14" s="10" t="s">
        <v>127</v>
      </c>
      <c r="L14" s="10" t="s">
        <v>128</v>
      </c>
      <c r="M14" s="10" t="s">
        <v>129</v>
      </c>
      <c r="N14" s="19" t="s">
        <v>130</v>
      </c>
      <c r="O14" s="19" t="s">
        <v>131</v>
      </c>
      <c r="P14" s="19" t="s">
        <v>132</v>
      </c>
      <c r="Q14" s="87" t="s">
        <v>621</v>
      </c>
      <c r="R14" s="19" t="s">
        <v>133</v>
      </c>
      <c r="S14" s="19" t="s">
        <v>134</v>
      </c>
      <c r="T14" s="19" t="s">
        <v>108</v>
      </c>
      <c r="U14" s="19" t="s">
        <v>107</v>
      </c>
      <c r="V14" s="19" t="s">
        <v>120</v>
      </c>
      <c r="W14" s="19"/>
      <c r="X14" s="19" t="s">
        <v>121</v>
      </c>
      <c r="Y14" s="19" t="s">
        <v>113</v>
      </c>
      <c r="Z14" s="19" t="s">
        <v>110</v>
      </c>
      <c r="AA14" s="19" t="s">
        <v>112</v>
      </c>
      <c r="AB14" s="19" t="s">
        <v>135</v>
      </c>
    </row>
    <row r="15" spans="2:28" s="11" customFormat="1">
      <c r="B15" s="11" t="s">
        <v>105</v>
      </c>
      <c r="C15" s="20"/>
      <c r="D15" s="20"/>
      <c r="E15" s="20"/>
      <c r="F15" s="20"/>
      <c r="G15" s="20"/>
      <c r="H15" s="21">
        <f>SUM(H16:H104)</f>
        <v>146150789</v>
      </c>
      <c r="I15" s="54">
        <f>SUM(I16:I104)</f>
        <v>2005049</v>
      </c>
      <c r="J15" s="54"/>
      <c r="K15" s="54">
        <f>SUM(K16:K104)</f>
        <v>2451255</v>
      </c>
      <c r="L15" s="54">
        <f>SUM(L16:L104)</f>
        <v>361191</v>
      </c>
      <c r="M15" s="21">
        <f>SUM(M16:M104)</f>
        <v>2659260</v>
      </c>
      <c r="N15" s="22">
        <f t="shared" ref="N15:N48" si="0">I15/$H15*1000</f>
        <v>13.719043282072189</v>
      </c>
      <c r="O15" s="22">
        <f>K15/$H15*1000</f>
        <v>16.77209556494423</v>
      </c>
      <c r="P15" s="22">
        <f>SUMPRODUCT(P16:P104,H16:H104)/H15</f>
        <v>18.1953174402637</v>
      </c>
      <c r="Q15" s="21">
        <f>I15+L15</f>
        <v>2366240</v>
      </c>
      <c r="R15" s="23">
        <f>L15/(I15+L15)</f>
        <v>0.15264343430928393</v>
      </c>
      <c r="S15" s="23">
        <f t="shared" ref="S15:S48" si="1">I15/MAX(I15,K15)</f>
        <v>0.81796834682642161</v>
      </c>
      <c r="T15" s="23"/>
      <c r="AB15" s="8" t="str">
        <f>_xlfn.TEXTJOIN(,0,ROUND((I15+L15)/1000,0),"/",ROUND(I15/1000,0)," (",TEXT(R15,"0%"),")")</f>
        <v>2366/2005 (15%)</v>
      </c>
    </row>
    <row r="16" spans="2:28">
      <c r="B16" s="12" t="s">
        <v>1</v>
      </c>
      <c r="C16" s="20">
        <f>IF(D16&gt;$D$8,2,IF(D16&gt;$D$9,1,0))</f>
        <v>1</v>
      </c>
      <c r="D16" s="24">
        <f t="shared" ref="D16:D25" si="2">E16*$E$11+F16*$F$11+G16*$G$11</f>
        <v>1</v>
      </c>
      <c r="E16" s="20">
        <f>IF(O16&lt;$O$7,2,IF(Q16&lt;$O$9,1,0))</f>
        <v>2</v>
      </c>
      <c r="F16" s="20">
        <f t="shared" ref="F16:F25" si="3">IF(S16&lt;$S$7,2,IF(S16&lt;$S$9,1,0))</f>
        <v>0</v>
      </c>
      <c r="G16" s="20">
        <f>IF(OR(R16&gt;$R$8,R16=$R$7),2,IF(R16&gt;$R$10,1,0))</f>
        <v>1</v>
      </c>
      <c r="H16" s="21">
        <v>2115308</v>
      </c>
      <c r="I16" s="54">
        <v>34946</v>
      </c>
      <c r="J16" s="54"/>
      <c r="K16" s="55">
        <v>17087</v>
      </c>
      <c r="L16" s="54">
        <v>11301</v>
      </c>
      <c r="M16" s="21">
        <f>MAX(I16,K16)</f>
        <v>34946</v>
      </c>
      <c r="N16" s="22">
        <f t="shared" si="0"/>
        <v>16.520525616127767</v>
      </c>
      <c r="O16" s="22">
        <f>K16/$H16*1000</f>
        <v>8.077783471721375</v>
      </c>
      <c r="P16" s="22">
        <f t="shared" ref="P16:P82" si="4">MAX(N16,O16)</f>
        <v>16.520525616127767</v>
      </c>
      <c r="Q16" s="21">
        <f>I16+L16</f>
        <v>46247</v>
      </c>
      <c r="R16" s="23">
        <f>L16/(I16+L16)</f>
        <v>0.24436179644085021</v>
      </c>
      <c r="S16" s="23">
        <f t="shared" si="1"/>
        <v>1</v>
      </c>
      <c r="T16" s="9" t="str">
        <f>_xlfn.TEXTJOIN(,0,"Контейнеры: ",I16," по ФГИС УТКО / ",K16," по ТС")</f>
        <v>Контейнеры: 34946 по ФГИС УТКО / 17087 по ТС</v>
      </c>
      <c r="U16" s="9" t="str">
        <f t="shared" ref="U16:U50" si="5">_xlfn.TEXTJOIN(,0,"Наполнение ФГИС УТКО"," ",IF(I16&lt;=K16,TEXT(S16,"0%"),"более 100%"))</f>
        <v>Наполнение ФГИС УТКО более 100%</v>
      </c>
      <c r="V16" s="25" t="str">
        <f t="shared" ref="V16:V28" si="6">IF(O16&gt;$O$8,$V$107,IF(Q16&gt;$Q$10,$V$108,IF(I16&gt;K16*(1+$K$10),$V$109,"")))</f>
        <v>Аномальные данные территориальной схемы</v>
      </c>
      <c r="X16" s="9">
        <f t="shared" ref="X16:X50" si="7">IF(Q16&gt;=$Q$15,Q16/$Q$15-1,1-Q16/$Q$15)</f>
        <v>0.98045549056731351</v>
      </c>
      <c r="Y16" s="9" t="str">
        <f>IF(Q16&gt;=$Q$15,"выше ","ниже ")</f>
        <v xml:space="preserve">ниже </v>
      </c>
      <c r="Z16" s="9" t="str">
        <f>_xlfn.TEXTJOIN(,0,"Обеспеченность контейнерами ",Y16,"среднего по России на ",TEXT(X16,"0%"))</f>
        <v>Обеспеченность контейнерами ниже среднего по России на 98%</v>
      </c>
      <c r="AA16" s="9" t="str">
        <f>IF(L16&gt;0,_xlfn.TEXTJOIN(,0,"Потребность в контейнерах по данным субъекта ",L16," шт. (",TEXT(R16,"0%"),")"),"Потребность в КП не представлена")</f>
        <v>Потребность в контейнерах по данным субъекта 11301 шт. (24%)</v>
      </c>
      <c r="AB16" s="8" t="str">
        <f>_xlfn.TEXTJOIN(,0,ROUND((I16+L16)/1000,0),"/",ROUND(I16/1000,0),"/",ROUND(L16/1000,0)," (",TEXT(R16,"0%"),")")</f>
        <v>46/35/11 (24%)</v>
      </c>
    </row>
    <row r="17" spans="2:28">
      <c r="B17" s="12" t="s">
        <v>9</v>
      </c>
      <c r="C17" s="20">
        <f t="shared" ref="C17:C80" si="8">IF(D17&gt;$D$8,2,IF(D17&gt;$D$9,1,0))</f>
        <v>0</v>
      </c>
      <c r="D17" s="24">
        <f t="shared" si="2"/>
        <v>0</v>
      </c>
      <c r="E17" s="20">
        <f t="shared" ref="E17:E80" si="9">IF(O17&lt;$O$7,2,IF(Q17&lt;$O$9,1,0))</f>
        <v>0</v>
      </c>
      <c r="F17" s="20">
        <f t="shared" si="3"/>
        <v>0</v>
      </c>
      <c r="G17" s="20">
        <f t="shared" ref="G17:G25" si="10">IF(OR(R17&gt;$R$8,R17&lt;=$R$7),2,IF(R17&gt;$R$10,1,0))</f>
        <v>0</v>
      </c>
      <c r="H17" s="21">
        <v>750083</v>
      </c>
      <c r="I17" s="54">
        <v>23969</v>
      </c>
      <c r="J17" s="54"/>
      <c r="K17" s="55">
        <v>19644</v>
      </c>
      <c r="L17" s="54">
        <v>4142</v>
      </c>
      <c r="M17" s="21">
        <f t="shared" ref="M17:M83" si="11">MAX(I17,K17)</f>
        <v>23969</v>
      </c>
      <c r="N17" s="22">
        <f t="shared" si="0"/>
        <v>31.955130298913588</v>
      </c>
      <c r="O17" s="22">
        <f t="shared" ref="O17:O83" si="12">K17/$H17*1000</f>
        <v>26.189101739407509</v>
      </c>
      <c r="P17" s="22">
        <f t="shared" si="4"/>
        <v>31.955130298913588</v>
      </c>
      <c r="Q17" s="21">
        <f t="shared" ref="Q17:Q80" si="13">I17+L17</f>
        <v>28111</v>
      </c>
      <c r="R17" s="23">
        <f t="shared" ref="R17:R80" si="14">L17/(I17+L17)</f>
        <v>0.14734445590694034</v>
      </c>
      <c r="S17" s="23">
        <f t="shared" si="1"/>
        <v>1</v>
      </c>
      <c r="T17" s="9" t="str">
        <f t="shared" ref="T17:T83" si="15">_xlfn.TEXTJOIN(,0,"Контейнеры: ",I17," по ФГИС УТКО / ",K17," по ТС")</f>
        <v>Контейнеры: 23969 по ФГИС УТКО / 19644 по ТС</v>
      </c>
      <c r="U17" s="9" t="str">
        <f t="shared" si="5"/>
        <v>Наполнение ФГИС УТКО более 100%</v>
      </c>
      <c r="V17" s="25" t="str">
        <f t="shared" si="6"/>
        <v>Аномальные данные территориальной схемы</v>
      </c>
      <c r="X17" s="9">
        <f t="shared" si="7"/>
        <v>0.98811997092433568</v>
      </c>
      <c r="Y17" s="9" t="str">
        <f t="shared" ref="Y17:Y83" si="16">IF(Q17&gt;=$Q$15,"выше ","ниже ")</f>
        <v xml:space="preserve">ниже </v>
      </c>
      <c r="Z17" s="9" t="str">
        <f t="shared" ref="Z17:Z83" si="17">_xlfn.TEXTJOIN(,0,"Обеспеченность контейнерами ",Y17,"среднего по России на ",TEXT(X17,"0%"))</f>
        <v>Обеспеченность контейнерами ниже среднего по России на 99%</v>
      </c>
      <c r="AA17" s="9" t="str">
        <f t="shared" ref="AA17:AA83" si="18">IF(L17&gt;0,_xlfn.TEXTJOIN(,0,"Потребность в контейнерах по данным субъекта ",L17," шт. (",TEXT(R17,"0%"),")"),"Потребность в КП не представлена")</f>
        <v>Потребность в контейнерах по данным субъекта 4142 шт. (15%)</v>
      </c>
      <c r="AB17" s="8" t="str">
        <f t="shared" ref="AB17:AB80" si="19">_xlfn.TEXTJOIN(,0,ROUND((I17+L17)/1000,0),"/",ROUND(I17/1000,0),"/",ROUND(L17/1000,0)," (",TEXT(R17,"0%"),")")</f>
        <v>28/24/4 (15%)</v>
      </c>
    </row>
    <row r="18" spans="2:28">
      <c r="B18" s="12" t="s">
        <v>10</v>
      </c>
      <c r="C18" s="20">
        <f t="shared" si="8"/>
        <v>0</v>
      </c>
      <c r="D18" s="24">
        <f t="shared" si="2"/>
        <v>0</v>
      </c>
      <c r="E18" s="20">
        <f t="shared" si="9"/>
        <v>0</v>
      </c>
      <c r="F18" s="20">
        <f t="shared" si="3"/>
        <v>0</v>
      </c>
      <c r="G18" s="20">
        <f t="shared" si="10"/>
        <v>0</v>
      </c>
      <c r="H18" s="21">
        <v>955848</v>
      </c>
      <c r="I18" s="54">
        <v>25191</v>
      </c>
      <c r="J18" s="54"/>
      <c r="K18" s="55">
        <v>20815</v>
      </c>
      <c r="L18" s="54">
        <v>3789</v>
      </c>
      <c r="M18" s="21">
        <f t="shared" si="11"/>
        <v>25191</v>
      </c>
      <c r="N18" s="22">
        <f t="shared" si="0"/>
        <v>26.354608682552037</v>
      </c>
      <c r="O18" s="22">
        <f t="shared" si="12"/>
        <v>21.776474920698689</v>
      </c>
      <c r="P18" s="22">
        <f t="shared" si="4"/>
        <v>26.354608682552037</v>
      </c>
      <c r="Q18" s="21">
        <f t="shared" si="13"/>
        <v>28980</v>
      </c>
      <c r="R18" s="23">
        <f t="shared" si="14"/>
        <v>0.13074534161490683</v>
      </c>
      <c r="S18" s="23">
        <f t="shared" si="1"/>
        <v>1</v>
      </c>
      <c r="T18" s="9" t="str">
        <f t="shared" si="15"/>
        <v>Контейнеры: 25191 по ФГИС УТКО / 20815 по ТС</v>
      </c>
      <c r="U18" s="9" t="str">
        <f t="shared" si="5"/>
        <v>Наполнение ФГИС УТКО более 100%</v>
      </c>
      <c r="V18" s="25" t="str">
        <f t="shared" si="6"/>
        <v>Аномальные данные территориальной схемы</v>
      </c>
      <c r="X18" s="9">
        <f t="shared" si="7"/>
        <v>0.98775272161741834</v>
      </c>
      <c r="Y18" s="9" t="str">
        <f t="shared" si="16"/>
        <v xml:space="preserve">ниже </v>
      </c>
      <c r="Z18" s="9" t="str">
        <f t="shared" si="17"/>
        <v>Обеспеченность контейнерами ниже среднего по России на 99%</v>
      </c>
      <c r="AA18" s="9" t="str">
        <f t="shared" si="18"/>
        <v>Потребность в контейнерах по данным субъекта 3789 шт. (13%)</v>
      </c>
      <c r="AB18" s="8" t="str">
        <f t="shared" si="19"/>
        <v>29/25/4 (13%)</v>
      </c>
    </row>
    <row r="19" spans="2:28">
      <c r="B19" s="12" t="s">
        <v>2</v>
      </c>
      <c r="C19" s="20">
        <f t="shared" si="8"/>
        <v>1</v>
      </c>
      <c r="D19" s="24">
        <f t="shared" si="2"/>
        <v>1</v>
      </c>
      <c r="E19" s="20">
        <f t="shared" si="9"/>
        <v>0</v>
      </c>
      <c r="F19" s="20">
        <f t="shared" si="3"/>
        <v>2</v>
      </c>
      <c r="G19" s="20">
        <f t="shared" si="10"/>
        <v>1</v>
      </c>
      <c r="H19" s="21">
        <v>946429</v>
      </c>
      <c r="I19" s="54">
        <v>6951</v>
      </c>
      <c r="J19" s="54"/>
      <c r="K19" s="55">
        <v>23394</v>
      </c>
      <c r="L19" s="54">
        <v>1413</v>
      </c>
      <c r="M19" s="21">
        <f t="shared" si="11"/>
        <v>23394</v>
      </c>
      <c r="N19" s="22">
        <f t="shared" si="0"/>
        <v>7.3444495044002238</v>
      </c>
      <c r="O19" s="22">
        <f t="shared" si="12"/>
        <v>24.718177486108306</v>
      </c>
      <c r="P19" s="22">
        <f t="shared" si="4"/>
        <v>24.718177486108306</v>
      </c>
      <c r="Q19" s="21">
        <f>I19+L19</f>
        <v>8364</v>
      </c>
      <c r="R19" s="23">
        <f t="shared" si="14"/>
        <v>0.16893830703012913</v>
      </c>
      <c r="S19" s="23">
        <f t="shared" si="1"/>
        <v>0.29712746858168759</v>
      </c>
      <c r="T19" s="9" t="str">
        <f t="shared" si="15"/>
        <v>Контейнеры: 6951 по ФГИС УТКО / 23394 по ТС</v>
      </c>
      <c r="U19" s="9" t="str">
        <f t="shared" si="5"/>
        <v>Наполнение ФГИС УТКО 30%</v>
      </c>
      <c r="V19" s="25" t="str">
        <f t="shared" si="6"/>
        <v>Аномальные данные территориальной схемы</v>
      </c>
      <c r="X19" s="9">
        <f t="shared" si="7"/>
        <v>0.99646527824734599</v>
      </c>
      <c r="Y19" s="9" t="str">
        <f t="shared" si="16"/>
        <v xml:space="preserve">ниже </v>
      </c>
      <c r="Z19" s="9" t="str">
        <f t="shared" si="17"/>
        <v>Обеспеченность контейнерами ниже среднего по России на 100%</v>
      </c>
      <c r="AA19" s="9" t="str">
        <f t="shared" si="18"/>
        <v>Потребность в контейнерах по данным субъекта 1413 шт. (17%)</v>
      </c>
      <c r="AB19" s="8" t="str">
        <f t="shared" si="19"/>
        <v>8/7/1 (17%)</v>
      </c>
    </row>
    <row r="20" spans="2:28">
      <c r="B20" s="12" t="s">
        <v>11</v>
      </c>
      <c r="C20" s="20">
        <f t="shared" si="8"/>
        <v>1</v>
      </c>
      <c r="D20" s="24">
        <f t="shared" si="2"/>
        <v>1</v>
      </c>
      <c r="E20" s="20">
        <f t="shared" si="9"/>
        <v>0</v>
      </c>
      <c r="F20" s="20">
        <f t="shared" si="3"/>
        <v>0</v>
      </c>
      <c r="G20" s="20">
        <f t="shared" si="10"/>
        <v>1</v>
      </c>
      <c r="H20" s="21">
        <v>1500659</v>
      </c>
      <c r="I20" s="54">
        <v>35519</v>
      </c>
      <c r="J20" s="54"/>
      <c r="K20" s="55">
        <v>20725</v>
      </c>
      <c r="L20" s="54">
        <v>9363</v>
      </c>
      <c r="M20" s="21">
        <f t="shared" si="11"/>
        <v>35519</v>
      </c>
      <c r="N20" s="22">
        <f t="shared" si="0"/>
        <v>23.668934781319408</v>
      </c>
      <c r="O20" s="22">
        <f t="shared" si="12"/>
        <v>13.810599210080371</v>
      </c>
      <c r="P20" s="22">
        <f t="shared" si="4"/>
        <v>23.668934781319408</v>
      </c>
      <c r="Q20" s="21">
        <f t="shared" si="13"/>
        <v>44882</v>
      </c>
      <c r="R20" s="23">
        <f t="shared" si="14"/>
        <v>0.20861369814179404</v>
      </c>
      <c r="S20" s="23">
        <f t="shared" si="1"/>
        <v>1</v>
      </c>
      <c r="T20" s="9" t="str">
        <f t="shared" si="15"/>
        <v>Контейнеры: 35519 по ФГИС УТКО / 20725 по ТС</v>
      </c>
      <c r="U20" s="9" t="str">
        <f t="shared" si="5"/>
        <v>Наполнение ФГИС УТКО более 100%</v>
      </c>
      <c r="V20" s="25" t="str">
        <f t="shared" si="6"/>
        <v>Аномальные данные территориальной схемы</v>
      </c>
      <c r="X20" s="9">
        <f t="shared" si="7"/>
        <v>0.98103235512881193</v>
      </c>
      <c r="Y20" s="9" t="str">
        <f t="shared" si="16"/>
        <v xml:space="preserve">ниже </v>
      </c>
      <c r="Z20" s="9" t="str">
        <f t="shared" si="17"/>
        <v>Обеспеченность контейнерами ниже среднего по России на 98%</v>
      </c>
      <c r="AA20" s="9" t="str">
        <f t="shared" si="18"/>
        <v>Потребность в контейнерах по данным субъекта 9363 шт. (21%)</v>
      </c>
      <c r="AB20" s="8" t="str">
        <f t="shared" si="19"/>
        <v>45/36/9 (21%)</v>
      </c>
    </row>
    <row r="21" spans="2:28">
      <c r="B21" s="12" t="s">
        <v>12</v>
      </c>
      <c r="C21" s="20">
        <f t="shared" si="8"/>
        <v>0</v>
      </c>
      <c r="D21" s="24">
        <f t="shared" si="2"/>
        <v>0</v>
      </c>
      <c r="E21" s="20">
        <f t="shared" si="9"/>
        <v>0</v>
      </c>
      <c r="F21" s="20">
        <f t="shared" si="3"/>
        <v>0</v>
      </c>
      <c r="G21" s="20">
        <f t="shared" si="10"/>
        <v>0</v>
      </c>
      <c r="H21" s="21">
        <v>1142404</v>
      </c>
      <c r="I21" s="54">
        <v>11721</v>
      </c>
      <c r="J21" s="54"/>
      <c r="K21" s="55">
        <v>12820</v>
      </c>
      <c r="L21" s="54">
        <v>1021</v>
      </c>
      <c r="M21" s="21">
        <f t="shared" si="11"/>
        <v>12820</v>
      </c>
      <c r="N21" s="22">
        <f t="shared" si="0"/>
        <v>10.259943067426235</v>
      </c>
      <c r="O21" s="22">
        <f t="shared" si="12"/>
        <v>11.22194950297793</v>
      </c>
      <c r="P21" s="22">
        <f t="shared" si="4"/>
        <v>11.22194950297793</v>
      </c>
      <c r="Q21" s="21">
        <f>I21+L21</f>
        <v>12742</v>
      </c>
      <c r="R21" s="23">
        <f t="shared" si="14"/>
        <v>8.0128708209072363E-2</v>
      </c>
      <c r="S21" s="23">
        <f t="shared" si="1"/>
        <v>0.91427457098283926</v>
      </c>
      <c r="T21" s="9" t="str">
        <f t="shared" si="15"/>
        <v>Контейнеры: 11721 по ФГИС УТКО / 12820 по ТС</v>
      </c>
      <c r="U21" s="9" t="str">
        <f t="shared" si="5"/>
        <v>Наполнение ФГИС УТКО 91%</v>
      </c>
      <c r="V21" s="25" t="str">
        <f t="shared" si="6"/>
        <v>Аномальные данные территориальной схемы</v>
      </c>
      <c r="X21" s="9">
        <f t="shared" si="7"/>
        <v>0.99461508553654743</v>
      </c>
      <c r="Y21" s="9" t="str">
        <f t="shared" si="16"/>
        <v xml:space="preserve">ниже </v>
      </c>
      <c r="Z21" s="9" t="str">
        <f t="shared" si="17"/>
        <v>Обеспеченность контейнерами ниже среднего по России на 99%</v>
      </c>
      <c r="AA21" s="9" t="str">
        <f t="shared" si="18"/>
        <v>Потребность в контейнерах по данным субъекта 1021 шт. (8%)</v>
      </c>
      <c r="AB21" s="8" t="str">
        <f t="shared" si="19"/>
        <v>13/12/1 (8%)</v>
      </c>
    </row>
    <row r="22" spans="2:28">
      <c r="B22" s="12" t="s">
        <v>13</v>
      </c>
      <c r="C22" s="20">
        <f t="shared" si="8"/>
        <v>0</v>
      </c>
      <c r="D22" s="24">
        <f t="shared" si="2"/>
        <v>0</v>
      </c>
      <c r="E22" s="20">
        <f t="shared" si="9"/>
        <v>0</v>
      </c>
      <c r="F22" s="20">
        <f t="shared" si="3"/>
        <v>0</v>
      </c>
      <c r="G22" s="20">
        <f t="shared" si="10"/>
        <v>0</v>
      </c>
      <c r="H22" s="21">
        <v>1309942</v>
      </c>
      <c r="I22" s="54">
        <v>25352</v>
      </c>
      <c r="J22" s="54"/>
      <c r="K22" s="55">
        <v>22309</v>
      </c>
      <c r="L22" s="54">
        <v>1371</v>
      </c>
      <c r="M22" s="21">
        <f t="shared" si="11"/>
        <v>25352</v>
      </c>
      <c r="N22" s="22">
        <f t="shared" si="0"/>
        <v>19.353528629511839</v>
      </c>
      <c r="O22" s="22">
        <f t="shared" si="12"/>
        <v>17.030525015611378</v>
      </c>
      <c r="P22" s="22">
        <f t="shared" si="4"/>
        <v>19.353528629511839</v>
      </c>
      <c r="Q22" s="21">
        <f t="shared" si="13"/>
        <v>26723</v>
      </c>
      <c r="R22" s="23">
        <f t="shared" si="14"/>
        <v>5.1304120046401974E-2</v>
      </c>
      <c r="S22" s="23">
        <f t="shared" si="1"/>
        <v>1</v>
      </c>
      <c r="T22" s="9" t="str">
        <f t="shared" si="15"/>
        <v>Контейнеры: 25352 по ФГИС УТКО / 22309 по ТС</v>
      </c>
      <c r="U22" s="9" t="str">
        <f t="shared" si="5"/>
        <v>Наполнение ФГИС УТКО более 100%</v>
      </c>
      <c r="V22" s="25" t="str">
        <f t="shared" si="6"/>
        <v>Аномальные данные территориальной схемы</v>
      </c>
      <c r="X22" s="9">
        <f t="shared" si="7"/>
        <v>0.98870655554804243</v>
      </c>
      <c r="Y22" s="9" t="str">
        <f t="shared" si="16"/>
        <v xml:space="preserve">ниже </v>
      </c>
      <c r="Z22" s="9" t="str">
        <f t="shared" si="17"/>
        <v>Обеспеченность контейнерами ниже среднего по России на 99%</v>
      </c>
      <c r="AA22" s="9" t="str">
        <f t="shared" si="18"/>
        <v>Потребность в контейнерах по данным субъекта 1371 шт. (5%)</v>
      </c>
      <c r="AB22" s="8" t="str">
        <f t="shared" si="19"/>
        <v>27/25/1 (5%)</v>
      </c>
    </row>
    <row r="23" spans="2:28">
      <c r="B23" s="12" t="s">
        <v>14</v>
      </c>
      <c r="C23" s="20">
        <f t="shared" si="8"/>
        <v>2</v>
      </c>
      <c r="D23" s="24">
        <f t="shared" si="2"/>
        <v>2</v>
      </c>
      <c r="E23" s="20">
        <f t="shared" si="9"/>
        <v>0</v>
      </c>
      <c r="F23" s="20">
        <f t="shared" si="3"/>
        <v>0</v>
      </c>
      <c r="G23" s="20">
        <f t="shared" si="10"/>
        <v>2</v>
      </c>
      <c r="H23" s="21">
        <v>2453898</v>
      </c>
      <c r="I23" s="54">
        <v>32010</v>
      </c>
      <c r="J23" s="54"/>
      <c r="K23" s="55">
        <v>29904</v>
      </c>
      <c r="L23" s="54">
        <v>17262</v>
      </c>
      <c r="M23" s="21">
        <f t="shared" si="11"/>
        <v>32010</v>
      </c>
      <c r="N23" s="22">
        <f t="shared" si="0"/>
        <v>13.044551974042932</v>
      </c>
      <c r="O23" s="22">
        <f t="shared" si="12"/>
        <v>12.186325592995308</v>
      </c>
      <c r="P23" s="22">
        <f t="shared" si="4"/>
        <v>13.044551974042932</v>
      </c>
      <c r="Q23" s="21">
        <f t="shared" si="13"/>
        <v>49272</v>
      </c>
      <c r="R23" s="23">
        <f t="shared" si="14"/>
        <v>0.35034096444227958</v>
      </c>
      <c r="S23" s="23">
        <f t="shared" si="1"/>
        <v>1</v>
      </c>
      <c r="T23" s="9" t="str">
        <f t="shared" si="15"/>
        <v>Контейнеры: 32010 по ФГИС УТКО / 29904 по ТС</v>
      </c>
      <c r="U23" s="9" t="str">
        <f t="shared" si="5"/>
        <v>Наполнение ФГИС УТКО более 100%</v>
      </c>
      <c r="V23" s="25" t="str">
        <f t="shared" si="6"/>
        <v>Аномальные данные территориальной схемы</v>
      </c>
      <c r="X23" s="9">
        <f t="shared" si="7"/>
        <v>0.97917709108120898</v>
      </c>
      <c r="Y23" s="9" t="str">
        <f t="shared" si="16"/>
        <v xml:space="preserve">ниже </v>
      </c>
      <c r="Z23" s="9" t="str">
        <f t="shared" si="17"/>
        <v>Обеспеченность контейнерами ниже среднего по России на 98%</v>
      </c>
      <c r="AA23" s="9" t="str">
        <f t="shared" si="18"/>
        <v>Потребность в контейнерах по данным субъекта 17262 шт. (35%)</v>
      </c>
      <c r="AB23" s="8" t="str">
        <f t="shared" si="19"/>
        <v>49/32/17 (35%)</v>
      </c>
    </row>
    <row r="24" spans="2:28">
      <c r="B24" s="12" t="s">
        <v>15</v>
      </c>
      <c r="C24" s="20">
        <f t="shared" si="8"/>
        <v>0</v>
      </c>
      <c r="D24" s="24">
        <f t="shared" si="2"/>
        <v>0</v>
      </c>
      <c r="E24" s="20">
        <f t="shared" si="9"/>
        <v>0</v>
      </c>
      <c r="F24" s="20">
        <f t="shared" si="3"/>
        <v>0</v>
      </c>
      <c r="G24" s="20">
        <f t="shared" si="10"/>
        <v>0</v>
      </c>
      <c r="H24" s="21">
        <v>1121343</v>
      </c>
      <c r="I24" s="54">
        <v>31272</v>
      </c>
      <c r="J24" s="54"/>
      <c r="K24" s="55">
        <v>28955</v>
      </c>
      <c r="L24" s="54">
        <v>3641</v>
      </c>
      <c r="M24" s="21">
        <f t="shared" si="11"/>
        <v>31272</v>
      </c>
      <c r="N24" s="22">
        <f t="shared" si="0"/>
        <v>27.887987885954612</v>
      </c>
      <c r="O24" s="22">
        <f t="shared" si="12"/>
        <v>25.821715567850337</v>
      </c>
      <c r="P24" s="22">
        <f t="shared" si="4"/>
        <v>27.887987885954612</v>
      </c>
      <c r="Q24" s="21">
        <f t="shared" si="13"/>
        <v>34913</v>
      </c>
      <c r="R24" s="23">
        <f t="shared" si="14"/>
        <v>0.10428780110560536</v>
      </c>
      <c r="S24" s="23">
        <f t="shared" si="1"/>
        <v>1</v>
      </c>
      <c r="T24" s="9" t="str">
        <f t="shared" si="15"/>
        <v>Контейнеры: 31272 по ФГИС УТКО / 28955 по ТС</v>
      </c>
      <c r="U24" s="9" t="str">
        <f t="shared" si="5"/>
        <v>Наполнение ФГИС УТКО более 100%</v>
      </c>
      <c r="V24" s="25" t="str">
        <f t="shared" si="6"/>
        <v>Аномальные данные территориальной схемы</v>
      </c>
      <c r="X24" s="9">
        <f t="shared" si="7"/>
        <v>0.98524536817905195</v>
      </c>
      <c r="Y24" s="9" t="str">
        <f t="shared" si="16"/>
        <v xml:space="preserve">ниже </v>
      </c>
      <c r="Z24" s="9" t="str">
        <f t="shared" si="17"/>
        <v>Обеспеченность контейнерами ниже среднего по России на 99%</v>
      </c>
      <c r="AA24" s="9" t="str">
        <f t="shared" si="18"/>
        <v>Потребность в контейнерах по данным субъекта 3641 шт. (10%)</v>
      </c>
      <c r="AB24" s="8" t="str">
        <f t="shared" si="19"/>
        <v>35/31/4 (10%)</v>
      </c>
    </row>
    <row r="25" spans="2:28">
      <c r="B25" s="12" t="s">
        <v>16</v>
      </c>
      <c r="C25" s="20">
        <f t="shared" si="8"/>
        <v>0</v>
      </c>
      <c r="D25" s="24">
        <f t="shared" si="2"/>
        <v>0</v>
      </c>
      <c r="E25" s="20">
        <f t="shared" si="9"/>
        <v>0</v>
      </c>
      <c r="F25" s="20">
        <f t="shared" si="3"/>
        <v>2</v>
      </c>
      <c r="G25" s="20">
        <f t="shared" si="10"/>
        <v>0</v>
      </c>
      <c r="H25" s="21">
        <v>2273417</v>
      </c>
      <c r="I25" s="54">
        <v>43066</v>
      </c>
      <c r="J25" s="54"/>
      <c r="K25" s="55">
        <v>53584</v>
      </c>
      <c r="L25" s="54">
        <v>414</v>
      </c>
      <c r="M25" s="21">
        <f t="shared" si="11"/>
        <v>53584</v>
      </c>
      <c r="N25" s="22">
        <f t="shared" si="0"/>
        <v>18.943291090020001</v>
      </c>
      <c r="O25" s="22">
        <f t="shared" si="12"/>
        <v>23.56980703496103</v>
      </c>
      <c r="P25" s="22">
        <f t="shared" si="4"/>
        <v>23.56980703496103</v>
      </c>
      <c r="Q25" s="21">
        <f t="shared" si="13"/>
        <v>43480</v>
      </c>
      <c r="R25" s="23">
        <f t="shared" si="14"/>
        <v>9.5216191352345911E-3</v>
      </c>
      <c r="S25" s="23">
        <f t="shared" si="1"/>
        <v>0.80371006270528511</v>
      </c>
      <c r="T25" s="9" t="str">
        <f t="shared" si="15"/>
        <v>Контейнеры: 43066 по ФГИС УТКО / 53584 по ТС</v>
      </c>
      <c r="U25" s="9" t="str">
        <f t="shared" si="5"/>
        <v>Наполнение ФГИС УТКО 80%</v>
      </c>
      <c r="V25" s="25" t="str">
        <f t="shared" si="6"/>
        <v>Аномальные данные территориальной схемы</v>
      </c>
      <c r="X25" s="9">
        <f t="shared" si="7"/>
        <v>0.98162485631212393</v>
      </c>
      <c r="Y25" s="9" t="str">
        <f t="shared" si="16"/>
        <v xml:space="preserve">ниже </v>
      </c>
      <c r="Z25" s="9" t="str">
        <f t="shared" si="17"/>
        <v>Обеспеченность контейнерами ниже среднего по России на 98%</v>
      </c>
      <c r="AA25" s="9" t="str">
        <f t="shared" si="18"/>
        <v>Потребность в контейнерах по данным субъекта 414 шт. (1%)</v>
      </c>
      <c r="AB25" s="8" t="str">
        <f t="shared" si="19"/>
        <v>43/43/0 (1%)</v>
      </c>
    </row>
    <row r="26" spans="2:28">
      <c r="B26" s="12" t="s">
        <v>17</v>
      </c>
      <c r="C26" s="60">
        <v>0</v>
      </c>
      <c r="D26" s="60">
        <v>0</v>
      </c>
      <c r="E26" s="60">
        <v>0</v>
      </c>
      <c r="F26" s="60">
        <v>0</v>
      </c>
      <c r="G26" s="60">
        <v>0</v>
      </c>
      <c r="H26" s="21">
        <v>13149803</v>
      </c>
      <c r="I26" s="54">
        <v>0</v>
      </c>
      <c r="J26" s="54"/>
      <c r="K26" s="55">
        <v>135538</v>
      </c>
      <c r="L26" s="54">
        <v>0</v>
      </c>
      <c r="M26" s="21">
        <f t="shared" si="11"/>
        <v>135538</v>
      </c>
      <c r="N26" s="22">
        <f t="shared" si="0"/>
        <v>0</v>
      </c>
      <c r="O26" s="22">
        <f t="shared" si="12"/>
        <v>10.307226655790966</v>
      </c>
      <c r="P26" s="22">
        <f t="shared" si="4"/>
        <v>10.307226655790966</v>
      </c>
      <c r="Q26" s="21">
        <f t="shared" si="13"/>
        <v>0</v>
      </c>
      <c r="R26" s="23"/>
      <c r="S26" s="23">
        <f t="shared" si="1"/>
        <v>0</v>
      </c>
      <c r="T26" s="9" t="str">
        <f t="shared" si="15"/>
        <v>Контейнеры: 0 по ФГИС УТКО / 135538 по ТС</v>
      </c>
      <c r="U26" s="9" t="str">
        <f t="shared" si="5"/>
        <v>Наполнение ФГИС УТКО 0%</v>
      </c>
      <c r="V26" s="25" t="str">
        <f t="shared" si="6"/>
        <v>Аномальные данные территориальной схемы</v>
      </c>
      <c r="X26" s="9">
        <f t="shared" si="7"/>
        <v>1</v>
      </c>
      <c r="Y26" s="9" t="str">
        <f t="shared" si="16"/>
        <v xml:space="preserve">ниже </v>
      </c>
      <c r="Z26" s="9" t="str">
        <f t="shared" si="17"/>
        <v>Обеспеченность контейнерами ниже среднего по России на 100%</v>
      </c>
      <c r="AA26" s="9" t="str">
        <f t="shared" si="18"/>
        <v>Потребность в КП не представлена</v>
      </c>
    </row>
    <row r="27" spans="2:28">
      <c r="B27" s="12" t="s">
        <v>18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21">
        <v>5597763</v>
      </c>
      <c r="I27" s="54">
        <v>0</v>
      </c>
      <c r="J27" s="54"/>
      <c r="K27" s="55">
        <v>118203</v>
      </c>
      <c r="L27" s="54">
        <v>0</v>
      </c>
      <c r="M27" s="21">
        <f t="shared" si="11"/>
        <v>118203</v>
      </c>
      <c r="N27" s="22">
        <f t="shared" si="0"/>
        <v>0</v>
      </c>
      <c r="O27" s="22">
        <f t="shared" si="12"/>
        <v>21.116113704706684</v>
      </c>
      <c r="P27" s="22">
        <f t="shared" si="4"/>
        <v>21.116113704706684</v>
      </c>
      <c r="Q27" s="21">
        <f t="shared" si="13"/>
        <v>0</v>
      </c>
      <c r="R27" s="23"/>
      <c r="S27" s="23">
        <f t="shared" si="1"/>
        <v>0</v>
      </c>
      <c r="T27" s="9" t="str">
        <f t="shared" si="15"/>
        <v>Контейнеры: 0 по ФГИС УТКО / 118203 по ТС</v>
      </c>
      <c r="U27" s="9" t="str">
        <f t="shared" si="5"/>
        <v>Наполнение ФГИС УТКО 0%</v>
      </c>
      <c r="V27" s="25" t="str">
        <f t="shared" si="6"/>
        <v>Аномальные данные территориальной схемы</v>
      </c>
      <c r="X27" s="9">
        <f t="shared" si="7"/>
        <v>1</v>
      </c>
      <c r="Y27" s="9" t="str">
        <f t="shared" si="16"/>
        <v xml:space="preserve">ниже </v>
      </c>
      <c r="Z27" s="9" t="str">
        <f t="shared" si="17"/>
        <v>Обеспеченность контейнерами ниже среднего по России на 100%</v>
      </c>
      <c r="AA27" s="9" t="str">
        <f t="shared" si="18"/>
        <v>Потребность в КП не представлена</v>
      </c>
    </row>
    <row r="28" spans="2:28">
      <c r="B28" s="12" t="s">
        <v>19</v>
      </c>
      <c r="C28" s="60">
        <v>0</v>
      </c>
      <c r="D28" s="60">
        <v>0</v>
      </c>
      <c r="E28" s="60">
        <v>0</v>
      </c>
      <c r="F28" s="60">
        <v>0</v>
      </c>
      <c r="G28" s="60">
        <v>0</v>
      </c>
      <c r="H28" s="21">
        <v>561374</v>
      </c>
      <c r="I28" s="54">
        <v>0</v>
      </c>
      <c r="J28" s="54"/>
      <c r="K28" s="55">
        <v>4523</v>
      </c>
      <c r="L28" s="54">
        <v>6795</v>
      </c>
      <c r="M28" s="21">
        <f t="shared" si="11"/>
        <v>4523</v>
      </c>
      <c r="N28" s="22">
        <f t="shared" si="0"/>
        <v>0</v>
      </c>
      <c r="O28" s="22">
        <f t="shared" si="12"/>
        <v>8.0570172469690444</v>
      </c>
      <c r="P28" s="22">
        <f t="shared" si="4"/>
        <v>8.0570172469690444</v>
      </c>
      <c r="Q28" s="21">
        <f t="shared" si="13"/>
        <v>6795</v>
      </c>
      <c r="R28" s="23"/>
      <c r="S28" s="23">
        <f t="shared" si="1"/>
        <v>0</v>
      </c>
      <c r="T28" s="9" t="str">
        <f t="shared" si="15"/>
        <v>Контейнеры: 0 по ФГИС УТКО / 4523 по ТС</v>
      </c>
      <c r="U28" s="9" t="str">
        <f t="shared" si="5"/>
        <v>Наполнение ФГИС УТКО 0%</v>
      </c>
      <c r="V28" s="25" t="str">
        <f t="shared" si="6"/>
        <v>Аномальные данные территориальной схемы</v>
      </c>
      <c r="X28" s="9">
        <f t="shared" si="7"/>
        <v>0.99712835553451895</v>
      </c>
      <c r="Y28" s="9" t="str">
        <f t="shared" si="16"/>
        <v xml:space="preserve">ниже </v>
      </c>
      <c r="Z28" s="9" t="str">
        <f t="shared" si="17"/>
        <v>Обеспеченность контейнерами ниже среднего по России на 100%</v>
      </c>
      <c r="AA28" s="9" t="str">
        <f t="shared" si="18"/>
        <v>Потребность в контейнерах по данным субъекта 6795 шт. (0%)</v>
      </c>
    </row>
    <row r="29" spans="2:28">
      <c r="B29" s="12" t="s">
        <v>580</v>
      </c>
      <c r="C29" s="60">
        <v>0</v>
      </c>
      <c r="D29" s="60">
        <v>0</v>
      </c>
      <c r="E29" s="60">
        <v>0</v>
      </c>
      <c r="F29" s="60">
        <v>0</v>
      </c>
      <c r="G29" s="60">
        <v>0</v>
      </c>
      <c r="H29" s="21"/>
      <c r="I29" s="54">
        <v>0</v>
      </c>
      <c r="J29" s="54"/>
      <c r="K29" s="55">
        <v>0</v>
      </c>
      <c r="L29" s="54">
        <v>0</v>
      </c>
      <c r="M29" s="21"/>
      <c r="N29" s="22"/>
      <c r="O29" s="22"/>
      <c r="P29" s="22"/>
      <c r="Q29" s="21">
        <f t="shared" si="13"/>
        <v>0</v>
      </c>
      <c r="R29" s="23"/>
      <c r="S29" s="23"/>
      <c r="T29" s="9"/>
      <c r="V29" s="25"/>
    </row>
    <row r="30" spans="2:28">
      <c r="B30" s="12" t="s">
        <v>20</v>
      </c>
      <c r="C30" s="20">
        <f t="shared" si="8"/>
        <v>2</v>
      </c>
      <c r="D30" s="24">
        <f t="shared" ref="D30:D92" si="20">E30*$E$11+F30*$F$11+G30*$G$11</f>
        <v>2</v>
      </c>
      <c r="E30" s="20">
        <f t="shared" si="9"/>
        <v>2</v>
      </c>
      <c r="F30" s="20">
        <f t="shared" ref="F30:F92" si="21">IF(S30&lt;$S$7,2,IF(S30&lt;$S$9,1,0))</f>
        <v>0</v>
      </c>
      <c r="G30" s="20">
        <f t="shared" ref="G30:G92" si="22">IF(OR(R30&gt;$R$8,R30&lt;=$R$7),2,IF(R30&gt;$R$10,1,0))</f>
        <v>2</v>
      </c>
      <c r="H30" s="21">
        <v>145802</v>
      </c>
      <c r="I30" s="54">
        <v>1997</v>
      </c>
      <c r="J30" s="54"/>
      <c r="K30" s="55">
        <v>0</v>
      </c>
      <c r="L30" s="54">
        <v>900</v>
      </c>
      <c r="M30" s="21">
        <f t="shared" si="11"/>
        <v>1997</v>
      </c>
      <c r="N30" s="22">
        <f t="shared" si="0"/>
        <v>13.696657110327704</v>
      </c>
      <c r="O30" s="22">
        <f t="shared" si="12"/>
        <v>0</v>
      </c>
      <c r="P30" s="22">
        <f t="shared" si="4"/>
        <v>13.696657110327704</v>
      </c>
      <c r="Q30" s="21">
        <f t="shared" si="13"/>
        <v>2897</v>
      </c>
      <c r="R30" s="23">
        <f t="shared" si="14"/>
        <v>0.31066620642043491</v>
      </c>
      <c r="S30" s="23">
        <f t="shared" si="1"/>
        <v>1</v>
      </c>
      <c r="T30" s="9" t="str">
        <f t="shared" si="15"/>
        <v>Контейнеры: 1997 по ФГИС УТКО / 0 по ТС</v>
      </c>
      <c r="U30" s="9" t="str">
        <f t="shared" si="5"/>
        <v>Наполнение ФГИС УТКО более 100%</v>
      </c>
      <c r="V30" s="25" t="str">
        <f>IF(O30&gt;$O$8,$V$107,IF(Q30&gt;$Q$10,$V$108,IF(I30&gt;K30*(1+$K$10),$V$109,"")))</f>
        <v>Данные о количестве КП требуют проверки</v>
      </c>
      <c r="X30" s="9">
        <f t="shared" si="7"/>
        <v>0.99877569477314221</v>
      </c>
      <c r="Y30" s="9" t="str">
        <f t="shared" si="16"/>
        <v xml:space="preserve">ниже </v>
      </c>
      <c r="Z30" s="9" t="str">
        <f t="shared" si="17"/>
        <v>Обеспеченность контейнерами ниже среднего по России на 100%</v>
      </c>
      <c r="AA30" s="9" t="str">
        <f t="shared" si="18"/>
        <v>Потребность в контейнерах по данным субъекта 900 шт. (31%)</v>
      </c>
      <c r="AB30" s="8" t="str">
        <f t="shared" si="19"/>
        <v>3/2/1 (31%)</v>
      </c>
    </row>
    <row r="31" spans="2:28">
      <c r="B31" s="12" t="s">
        <v>21</v>
      </c>
      <c r="C31" s="20">
        <f t="shared" si="8"/>
        <v>2</v>
      </c>
      <c r="D31" s="24">
        <f t="shared" si="20"/>
        <v>2</v>
      </c>
      <c r="E31" s="20">
        <f t="shared" si="9"/>
        <v>0</v>
      </c>
      <c r="F31" s="20">
        <f t="shared" si="21"/>
        <v>0</v>
      </c>
      <c r="G31" s="20">
        <f t="shared" si="22"/>
        <v>2</v>
      </c>
      <c r="H31" s="21">
        <v>984395</v>
      </c>
      <c r="I31" s="54">
        <v>10664</v>
      </c>
      <c r="J31" s="54"/>
      <c r="K31" s="55">
        <v>8880</v>
      </c>
      <c r="L31" s="54">
        <v>10047</v>
      </c>
      <c r="M31" s="21">
        <f t="shared" si="11"/>
        <v>10664</v>
      </c>
      <c r="N31" s="22">
        <f t="shared" si="0"/>
        <v>10.833049741211607</v>
      </c>
      <c r="O31" s="22">
        <f t="shared" si="12"/>
        <v>9.0207691018341212</v>
      </c>
      <c r="P31" s="22">
        <f t="shared" si="4"/>
        <v>10.833049741211607</v>
      </c>
      <c r="Q31" s="21">
        <f t="shared" si="13"/>
        <v>20711</v>
      </c>
      <c r="R31" s="23">
        <f t="shared" si="14"/>
        <v>0.48510453382260632</v>
      </c>
      <c r="S31" s="23">
        <f t="shared" si="1"/>
        <v>1</v>
      </c>
      <c r="T31" s="9" t="str">
        <f t="shared" si="15"/>
        <v>Контейнеры: 10664 по ФГИС УТКО / 8880 по ТС</v>
      </c>
      <c r="U31" s="9" t="str">
        <f t="shared" si="5"/>
        <v>Наполнение ФГИС УТКО более 100%</v>
      </c>
      <c r="V31" s="25" t="str">
        <f>IF(O31&gt;$O$8,$V$107,IF(Q31&gt;$Q$10,$V$108,IF(I31&gt;K31*(1+$K$10),$V$109,"")))</f>
        <v>Аномальные данные территориальной схемы</v>
      </c>
      <c r="X31" s="9">
        <f t="shared" si="7"/>
        <v>0.9912472952870377</v>
      </c>
      <c r="Y31" s="9" t="str">
        <f t="shared" si="16"/>
        <v xml:space="preserve">ниже </v>
      </c>
      <c r="Z31" s="9" t="str">
        <f t="shared" si="17"/>
        <v>Обеспеченность контейнерами ниже среднего по России на 99%</v>
      </c>
      <c r="AA31" s="9" t="str">
        <f t="shared" si="18"/>
        <v>Потребность в контейнерах по данным субъекта 10047 шт. (49%)</v>
      </c>
      <c r="AB31" s="8" t="str">
        <f t="shared" si="19"/>
        <v>21/11/10 (49%)</v>
      </c>
    </row>
    <row r="32" spans="2:28">
      <c r="B32" s="12" t="s">
        <v>163</v>
      </c>
      <c r="C32" s="60">
        <v>0</v>
      </c>
      <c r="D32" s="60">
        <v>0</v>
      </c>
      <c r="E32" s="60">
        <v>0</v>
      </c>
      <c r="F32" s="60">
        <v>0</v>
      </c>
      <c r="G32" s="60">
        <v>0</v>
      </c>
      <c r="H32" s="21"/>
      <c r="I32" s="54">
        <v>0</v>
      </c>
      <c r="J32" s="54"/>
      <c r="K32" s="55">
        <v>0</v>
      </c>
      <c r="L32" s="54">
        <v>0</v>
      </c>
      <c r="M32" s="21"/>
      <c r="N32" s="22"/>
      <c r="O32" s="22"/>
      <c r="P32" s="22"/>
      <c r="Q32" s="21">
        <f t="shared" si="13"/>
        <v>0</v>
      </c>
      <c r="R32" s="23"/>
      <c r="S32" s="23"/>
      <c r="T32" s="9"/>
      <c r="V32" s="25"/>
    </row>
    <row r="33" spans="2:28">
      <c r="B33" s="12" t="s">
        <v>22</v>
      </c>
      <c r="C33" s="20">
        <f t="shared" si="8"/>
        <v>2</v>
      </c>
      <c r="D33" s="24">
        <f t="shared" si="20"/>
        <v>2</v>
      </c>
      <c r="E33" s="20">
        <f t="shared" si="9"/>
        <v>2</v>
      </c>
      <c r="F33" s="20">
        <f t="shared" si="21"/>
        <v>0</v>
      </c>
      <c r="G33" s="20">
        <f t="shared" si="22"/>
        <v>2</v>
      </c>
      <c r="H33" s="21">
        <v>905900</v>
      </c>
      <c r="I33" s="54">
        <v>11785</v>
      </c>
      <c r="J33" s="54"/>
      <c r="K33" s="55">
        <v>265</v>
      </c>
      <c r="L33" s="54">
        <v>0</v>
      </c>
      <c r="M33" s="21">
        <f t="shared" si="11"/>
        <v>11785</v>
      </c>
      <c r="N33" s="22">
        <f t="shared" si="0"/>
        <v>13.009162159178716</v>
      </c>
      <c r="O33" s="22">
        <f t="shared" si="12"/>
        <v>0.29252676895904628</v>
      </c>
      <c r="P33" s="22">
        <f t="shared" si="4"/>
        <v>13.009162159178716</v>
      </c>
      <c r="Q33" s="21">
        <f t="shared" si="13"/>
        <v>11785</v>
      </c>
      <c r="R33" s="23">
        <f t="shared" si="14"/>
        <v>0</v>
      </c>
      <c r="S33" s="23">
        <f t="shared" si="1"/>
        <v>1</v>
      </c>
      <c r="T33" s="9" t="str">
        <f t="shared" si="15"/>
        <v>Контейнеры: 11785 по ФГИС УТКО / 265 по ТС</v>
      </c>
      <c r="U33" s="9" t="str">
        <f t="shared" si="5"/>
        <v>Наполнение ФГИС УТКО более 100%</v>
      </c>
      <c r="V33" s="25" t="str">
        <f t="shared" ref="V33:V48" si="23">IF(O33&gt;$O$8,$V$107,IF(Q33&gt;$Q$10,$V$108,IF(I33&gt;K33*(1+$K$10),$V$109,"")))</f>
        <v>Аномальные данные территориальной схемы</v>
      </c>
      <c r="X33" s="9">
        <f t="shared" si="7"/>
        <v>0.99501952464669685</v>
      </c>
      <c r="Y33" s="9" t="str">
        <f t="shared" si="16"/>
        <v xml:space="preserve">ниже </v>
      </c>
      <c r="Z33" s="9" t="str">
        <f t="shared" si="17"/>
        <v>Обеспеченность контейнерами ниже среднего по России на 100%</v>
      </c>
      <c r="AA33" s="9" t="str">
        <f t="shared" si="18"/>
        <v>Потребность в КП не представлена</v>
      </c>
      <c r="AB33" s="8" t="str">
        <f t="shared" si="19"/>
        <v>12/12/0 (0%)</v>
      </c>
    </row>
    <row r="34" spans="2:28">
      <c r="B34" s="12" t="s">
        <v>23</v>
      </c>
      <c r="C34" s="20">
        <f t="shared" si="8"/>
        <v>0</v>
      </c>
      <c r="D34" s="24">
        <f t="shared" si="20"/>
        <v>0</v>
      </c>
      <c r="E34" s="20">
        <f t="shared" si="9"/>
        <v>0</v>
      </c>
      <c r="F34" s="20">
        <f t="shared" si="21"/>
        <v>2</v>
      </c>
      <c r="G34" s="20">
        <f t="shared" si="22"/>
        <v>0</v>
      </c>
      <c r="H34" s="21">
        <v>2330537</v>
      </c>
      <c r="I34" s="54">
        <v>51790</v>
      </c>
      <c r="J34" s="54"/>
      <c r="K34" s="55">
        <v>69618</v>
      </c>
      <c r="L34" s="54">
        <v>8699</v>
      </c>
      <c r="M34" s="21">
        <f t="shared" si="11"/>
        <v>69618</v>
      </c>
      <c r="N34" s="22">
        <f t="shared" si="0"/>
        <v>22.222346180300935</v>
      </c>
      <c r="O34" s="22">
        <f t="shared" si="12"/>
        <v>29.872085274767144</v>
      </c>
      <c r="P34" s="22">
        <f t="shared" si="4"/>
        <v>29.872085274767144</v>
      </c>
      <c r="Q34" s="21">
        <f t="shared" si="13"/>
        <v>60489</v>
      </c>
      <c r="R34" s="23">
        <f t="shared" si="14"/>
        <v>0.14381127147084594</v>
      </c>
      <c r="S34" s="23">
        <f t="shared" si="1"/>
        <v>0.74391680312562847</v>
      </c>
      <c r="T34" s="9" t="str">
        <f t="shared" si="15"/>
        <v>Контейнеры: 51790 по ФГИС УТКО / 69618 по ТС</v>
      </c>
      <c r="U34" s="9" t="str">
        <f t="shared" si="5"/>
        <v>Наполнение ФГИС УТКО 74%</v>
      </c>
      <c r="V34" s="25" t="str">
        <f t="shared" si="23"/>
        <v>Аномальные данные территориальной схемы</v>
      </c>
      <c r="X34" s="9">
        <f t="shared" si="7"/>
        <v>0.97443665900331322</v>
      </c>
      <c r="Y34" s="9" t="str">
        <f t="shared" si="16"/>
        <v xml:space="preserve">ниже </v>
      </c>
      <c r="Z34" s="9" t="str">
        <f t="shared" si="17"/>
        <v>Обеспеченность контейнерами ниже среднего по России на 97%</v>
      </c>
      <c r="AA34" s="9" t="str">
        <f t="shared" si="18"/>
        <v>Потребность в контейнерах по данным субъекта 8699 шт. (14%)</v>
      </c>
      <c r="AB34" s="8" t="str">
        <f t="shared" si="19"/>
        <v>60/52/9 (14%)</v>
      </c>
    </row>
    <row r="35" spans="2:28">
      <c r="B35" s="12" t="s">
        <v>24</v>
      </c>
      <c r="C35" s="20">
        <f t="shared" si="8"/>
        <v>2</v>
      </c>
      <c r="D35" s="24">
        <f t="shared" si="20"/>
        <v>2</v>
      </c>
      <c r="E35" s="20">
        <f t="shared" si="9"/>
        <v>0</v>
      </c>
      <c r="F35" s="20">
        <f t="shared" si="21"/>
        <v>2</v>
      </c>
      <c r="G35" s="20">
        <f t="shared" si="22"/>
        <v>2</v>
      </c>
      <c r="H35" s="21">
        <v>905464</v>
      </c>
      <c r="I35" s="54">
        <v>3147</v>
      </c>
      <c r="J35" s="54"/>
      <c r="K35" s="55">
        <v>7763</v>
      </c>
      <c r="L35" s="54">
        <v>0</v>
      </c>
      <c r="M35" s="21">
        <f t="shared" si="11"/>
        <v>7763</v>
      </c>
      <c r="N35" s="22">
        <f t="shared" si="0"/>
        <v>3.4755661185867135</v>
      </c>
      <c r="O35" s="22">
        <f t="shared" si="12"/>
        <v>8.5735048549693857</v>
      </c>
      <c r="P35" s="22">
        <f t="shared" si="4"/>
        <v>8.5735048549693857</v>
      </c>
      <c r="Q35" s="21">
        <f t="shared" si="13"/>
        <v>3147</v>
      </c>
      <c r="R35" s="23">
        <f t="shared" si="14"/>
        <v>0</v>
      </c>
      <c r="S35" s="23">
        <f t="shared" si="1"/>
        <v>0.40538451629524669</v>
      </c>
      <c r="T35" s="9" t="str">
        <f t="shared" si="15"/>
        <v>Контейнеры: 3147 по ФГИС УТКО / 7763 по ТС</v>
      </c>
      <c r="U35" s="9" t="str">
        <f t="shared" si="5"/>
        <v>Наполнение ФГИС УТКО 41%</v>
      </c>
      <c r="V35" s="25" t="str">
        <f t="shared" si="23"/>
        <v>Аномальные данные территориальной схемы</v>
      </c>
      <c r="X35" s="9">
        <f t="shared" si="7"/>
        <v>0.99867004192305087</v>
      </c>
      <c r="Y35" s="9" t="str">
        <f t="shared" si="16"/>
        <v xml:space="preserve">ниже </v>
      </c>
      <c r="Z35" s="9" t="str">
        <f t="shared" si="17"/>
        <v>Обеспеченность контейнерами ниже среднего по России на 100%</v>
      </c>
      <c r="AA35" s="9" t="str">
        <f t="shared" si="18"/>
        <v>Потребность в КП не представлена</v>
      </c>
      <c r="AB35" s="8" t="str">
        <f t="shared" si="19"/>
        <v>3/3/0 (0%)</v>
      </c>
    </row>
    <row r="36" spans="2:28">
      <c r="B36" s="12" t="s">
        <v>25</v>
      </c>
      <c r="C36" s="20">
        <f t="shared" si="8"/>
        <v>1</v>
      </c>
      <c r="D36" s="24">
        <f t="shared" si="20"/>
        <v>1</v>
      </c>
      <c r="E36" s="20">
        <f t="shared" si="9"/>
        <v>0</v>
      </c>
      <c r="F36" s="20">
        <f t="shared" si="21"/>
        <v>0</v>
      </c>
      <c r="G36" s="20">
        <f t="shared" si="22"/>
        <v>1</v>
      </c>
      <c r="H36" s="21">
        <v>1033914</v>
      </c>
      <c r="I36" s="54">
        <v>19874</v>
      </c>
      <c r="J36" s="54"/>
      <c r="K36" s="55">
        <v>17179</v>
      </c>
      <c r="L36" s="54">
        <v>4952</v>
      </c>
      <c r="M36" s="21">
        <f t="shared" si="11"/>
        <v>19874</v>
      </c>
      <c r="N36" s="22">
        <f t="shared" si="0"/>
        <v>19.222101644817652</v>
      </c>
      <c r="O36" s="22">
        <f t="shared" si="12"/>
        <v>16.615501869594571</v>
      </c>
      <c r="P36" s="22">
        <f t="shared" si="4"/>
        <v>19.222101644817652</v>
      </c>
      <c r="Q36" s="21">
        <f t="shared" si="13"/>
        <v>24826</v>
      </c>
      <c r="R36" s="23">
        <f t="shared" si="14"/>
        <v>0.19946829936357044</v>
      </c>
      <c r="S36" s="23">
        <f t="shared" si="1"/>
        <v>1</v>
      </c>
      <c r="T36" s="9" t="str">
        <f t="shared" si="15"/>
        <v>Контейнеры: 19874 по ФГИС УТКО / 17179 по ТС</v>
      </c>
      <c r="U36" s="9" t="str">
        <f t="shared" si="5"/>
        <v>Наполнение ФГИС УТКО более 100%</v>
      </c>
      <c r="V36" s="25" t="str">
        <f t="shared" si="23"/>
        <v>Аномальные данные территориальной схемы</v>
      </c>
      <c r="X36" s="9">
        <f t="shared" si="7"/>
        <v>0.98950824937453508</v>
      </c>
      <c r="Y36" s="9" t="str">
        <f t="shared" si="16"/>
        <v xml:space="preserve">ниже </v>
      </c>
      <c r="Z36" s="9" t="str">
        <f t="shared" si="17"/>
        <v>Обеспеченность контейнерами ниже среднего по России на 99%</v>
      </c>
      <c r="AA36" s="9" t="str">
        <f t="shared" si="18"/>
        <v>Потребность в контейнерах по данным субъекта 4952 шт. (20%)</v>
      </c>
      <c r="AB36" s="8" t="str">
        <f t="shared" si="19"/>
        <v>25/20/5 (20%)</v>
      </c>
    </row>
    <row r="37" spans="2:28">
      <c r="B37" s="12" t="s">
        <v>26</v>
      </c>
      <c r="C37" s="20">
        <f t="shared" si="8"/>
        <v>0</v>
      </c>
      <c r="D37" s="24">
        <f t="shared" si="20"/>
        <v>0</v>
      </c>
      <c r="E37" s="20">
        <f t="shared" si="9"/>
        <v>0</v>
      </c>
      <c r="F37" s="20">
        <f t="shared" si="21"/>
        <v>0</v>
      </c>
      <c r="G37" s="20">
        <f t="shared" si="22"/>
        <v>0</v>
      </c>
      <c r="H37" s="21">
        <v>1068410</v>
      </c>
      <c r="I37" s="54">
        <v>20456</v>
      </c>
      <c r="J37" s="54"/>
      <c r="K37" s="55">
        <v>20251</v>
      </c>
      <c r="L37" s="54">
        <v>1248</v>
      </c>
      <c r="M37" s="21">
        <f t="shared" si="11"/>
        <v>20456</v>
      </c>
      <c r="N37" s="22">
        <f t="shared" si="0"/>
        <v>19.146207916436573</v>
      </c>
      <c r="O37" s="22">
        <f t="shared" si="12"/>
        <v>18.954334010351829</v>
      </c>
      <c r="P37" s="22">
        <f t="shared" si="4"/>
        <v>19.146207916436573</v>
      </c>
      <c r="Q37" s="21">
        <f t="shared" si="13"/>
        <v>21704</v>
      </c>
      <c r="R37" s="23">
        <f t="shared" si="14"/>
        <v>5.750092148912643E-2</v>
      </c>
      <c r="S37" s="23">
        <f t="shared" si="1"/>
        <v>1</v>
      </c>
      <c r="T37" s="9" t="str">
        <f t="shared" si="15"/>
        <v>Контейнеры: 20456 по ФГИС УТКО / 20251 по ТС</v>
      </c>
      <c r="U37" s="9" t="str">
        <f t="shared" si="5"/>
        <v>Наполнение ФГИС УТКО более 100%</v>
      </c>
      <c r="V37" s="25" t="str">
        <f t="shared" si="23"/>
        <v>Аномальные данные территориальной схемы</v>
      </c>
      <c r="X37" s="9">
        <f t="shared" si="7"/>
        <v>0.99082764216647512</v>
      </c>
      <c r="Y37" s="9" t="str">
        <f t="shared" si="16"/>
        <v xml:space="preserve">ниже </v>
      </c>
      <c r="Z37" s="9" t="str">
        <f t="shared" si="17"/>
        <v>Обеспеченность контейнерами ниже среднего по России на 99%</v>
      </c>
      <c r="AA37" s="9" t="str">
        <f t="shared" si="18"/>
        <v>Потребность в контейнерах по данным субъекта 1248 шт. (6%)</v>
      </c>
      <c r="AB37" s="8" t="str">
        <f t="shared" si="19"/>
        <v>22/20/1 (6%)</v>
      </c>
    </row>
    <row r="38" spans="2:28">
      <c r="B38" s="12" t="s">
        <v>27</v>
      </c>
      <c r="C38" s="20">
        <f t="shared" si="8"/>
        <v>0</v>
      </c>
      <c r="D38" s="24">
        <f t="shared" si="20"/>
        <v>0</v>
      </c>
      <c r="E38" s="20">
        <f t="shared" si="9"/>
        <v>0</v>
      </c>
      <c r="F38" s="20">
        <f t="shared" si="21"/>
        <v>0</v>
      </c>
      <c r="G38" s="20">
        <f t="shared" si="22"/>
        <v>0</v>
      </c>
      <c r="H38" s="21">
        <v>288947</v>
      </c>
      <c r="I38" s="54">
        <v>4400</v>
      </c>
      <c r="J38" s="54"/>
      <c r="K38" s="55">
        <v>2690</v>
      </c>
      <c r="L38" s="54">
        <v>700</v>
      </c>
      <c r="M38" s="21">
        <f t="shared" si="11"/>
        <v>4400</v>
      </c>
      <c r="N38" s="22">
        <f t="shared" si="0"/>
        <v>15.22770611911527</v>
      </c>
      <c r="O38" s="22">
        <f t="shared" si="12"/>
        <v>9.3096657864591084</v>
      </c>
      <c r="P38" s="22">
        <f t="shared" si="4"/>
        <v>15.22770611911527</v>
      </c>
      <c r="Q38" s="21">
        <f t="shared" si="13"/>
        <v>5100</v>
      </c>
      <c r="R38" s="23">
        <f t="shared" si="14"/>
        <v>0.13725490196078433</v>
      </c>
      <c r="S38" s="23">
        <f t="shared" si="1"/>
        <v>1</v>
      </c>
      <c r="T38" s="9" t="str">
        <f t="shared" si="15"/>
        <v>Контейнеры: 4400 по ФГИС УТКО / 2690 по ТС</v>
      </c>
      <c r="U38" s="9" t="str">
        <f t="shared" si="5"/>
        <v>Наполнение ФГИС УТКО более 100%</v>
      </c>
      <c r="V38" s="25" t="str">
        <f t="shared" si="23"/>
        <v>Аномальные данные территориальной схемы</v>
      </c>
      <c r="X38" s="9">
        <f t="shared" si="7"/>
        <v>0.99784468185813779</v>
      </c>
      <c r="Y38" s="9" t="str">
        <f t="shared" si="16"/>
        <v xml:space="preserve">ниже </v>
      </c>
      <c r="Z38" s="9" t="str">
        <f t="shared" si="17"/>
        <v>Обеспеченность контейнерами ниже среднего по России на 100%</v>
      </c>
      <c r="AA38" s="9" t="str">
        <f t="shared" si="18"/>
        <v>Потребность в контейнерах по данным субъекта 700 шт. (14%)</v>
      </c>
      <c r="AB38" s="8" t="str">
        <f t="shared" si="19"/>
        <v>5/4/1 (14%)</v>
      </c>
    </row>
    <row r="39" spans="2:28">
      <c r="B39" s="12" t="s">
        <v>28</v>
      </c>
      <c r="C39" s="20">
        <f t="shared" si="8"/>
        <v>2</v>
      </c>
      <c r="D39" s="24">
        <f t="shared" si="20"/>
        <v>2</v>
      </c>
      <c r="E39" s="20">
        <f t="shared" si="9"/>
        <v>0</v>
      </c>
      <c r="F39" s="20">
        <f t="shared" si="21"/>
        <v>2</v>
      </c>
      <c r="G39" s="20">
        <f t="shared" si="22"/>
        <v>2</v>
      </c>
      <c r="H39" s="21">
        <v>468322</v>
      </c>
      <c r="I39" s="54">
        <v>2474</v>
      </c>
      <c r="J39" s="54"/>
      <c r="K39" s="55">
        <v>4333</v>
      </c>
      <c r="L39" s="54">
        <v>1500</v>
      </c>
      <c r="M39" s="21">
        <f t="shared" si="11"/>
        <v>4333</v>
      </c>
      <c r="N39" s="22">
        <f t="shared" si="0"/>
        <v>5.2826901149209311</v>
      </c>
      <c r="O39" s="22">
        <f t="shared" si="12"/>
        <v>9.2521811915733192</v>
      </c>
      <c r="P39" s="22">
        <f t="shared" si="4"/>
        <v>9.2521811915733192</v>
      </c>
      <c r="Q39" s="21">
        <f t="shared" si="13"/>
        <v>3974</v>
      </c>
      <c r="R39" s="23">
        <f t="shared" si="14"/>
        <v>0.37745344740815301</v>
      </c>
      <c r="S39" s="23">
        <f t="shared" si="1"/>
        <v>0.57096699746134316</v>
      </c>
      <c r="T39" s="9" t="str">
        <f t="shared" si="15"/>
        <v>Контейнеры: 2474 по ФГИС УТКО / 4333 по ТС</v>
      </c>
      <c r="U39" s="9" t="str">
        <f t="shared" si="5"/>
        <v>Наполнение ФГИС УТКО 57%</v>
      </c>
      <c r="V39" s="25" t="str">
        <f t="shared" si="23"/>
        <v>Аномальные данные территориальной схемы</v>
      </c>
      <c r="X39" s="9">
        <f t="shared" si="7"/>
        <v>0.99832054229494893</v>
      </c>
      <c r="Y39" s="9" t="str">
        <f t="shared" si="16"/>
        <v xml:space="preserve">ниже </v>
      </c>
      <c r="Z39" s="9" t="str">
        <f t="shared" si="17"/>
        <v>Обеспеченность контейнерами ниже среднего по России на 100%</v>
      </c>
      <c r="AA39" s="9" t="str">
        <f t="shared" si="18"/>
        <v>Потребность в контейнерах по данным субъекта 1500 шт. (38%)</v>
      </c>
      <c r="AB39" s="8" t="str">
        <f t="shared" si="19"/>
        <v>4/2/2 (38%)</v>
      </c>
    </row>
    <row r="40" spans="2:28">
      <c r="B40" s="12" t="s">
        <v>29</v>
      </c>
      <c r="C40" s="20">
        <f t="shared" si="8"/>
        <v>2</v>
      </c>
      <c r="D40" s="24">
        <f t="shared" si="20"/>
        <v>2</v>
      </c>
      <c r="E40" s="20">
        <f t="shared" si="9"/>
        <v>0</v>
      </c>
      <c r="F40" s="20">
        <f t="shared" si="21"/>
        <v>0</v>
      </c>
      <c r="G40" s="20">
        <f t="shared" si="22"/>
        <v>2</v>
      </c>
      <c r="H40" s="21">
        <v>2547684</v>
      </c>
      <c r="I40" s="54">
        <v>65282</v>
      </c>
      <c r="J40" s="54"/>
      <c r="K40" s="55">
        <v>64576</v>
      </c>
      <c r="L40" s="54">
        <v>0</v>
      </c>
      <c r="M40" s="21">
        <f t="shared" si="11"/>
        <v>65282</v>
      </c>
      <c r="N40" s="22">
        <f t="shared" si="0"/>
        <v>25.624056986659259</v>
      </c>
      <c r="O40" s="22">
        <f t="shared" si="12"/>
        <v>25.346942556455197</v>
      </c>
      <c r="P40" s="22">
        <f t="shared" si="4"/>
        <v>25.624056986659259</v>
      </c>
      <c r="Q40" s="21">
        <f t="shared" si="13"/>
        <v>65282</v>
      </c>
      <c r="R40" s="23">
        <f t="shared" si="14"/>
        <v>0</v>
      </c>
      <c r="S40" s="23">
        <f t="shared" si="1"/>
        <v>1</v>
      </c>
      <c r="T40" s="9" t="str">
        <f t="shared" si="15"/>
        <v>Контейнеры: 65282 по ФГИС УТКО / 64576 по ТС</v>
      </c>
      <c r="U40" s="9" t="str">
        <f t="shared" si="5"/>
        <v>Наполнение ФГИС УТКО более 100%</v>
      </c>
      <c r="V40" s="25" t="str">
        <f t="shared" si="23"/>
        <v>Аномальные данные территориальной схемы</v>
      </c>
      <c r="X40" s="9">
        <f t="shared" si="7"/>
        <v>0.97241108256136322</v>
      </c>
      <c r="Y40" s="9" t="str">
        <f t="shared" si="16"/>
        <v xml:space="preserve">ниже </v>
      </c>
      <c r="Z40" s="9" t="str">
        <f t="shared" si="17"/>
        <v>Обеспеченность контейнерами ниже среднего по России на 97%</v>
      </c>
      <c r="AA40" s="9" t="str">
        <f t="shared" si="18"/>
        <v>Потребность в КП не представлена</v>
      </c>
      <c r="AB40" s="8" t="str">
        <f t="shared" si="19"/>
        <v>65/65/0 (0%)</v>
      </c>
    </row>
    <row r="41" spans="2:28">
      <c r="B41" s="12" t="s">
        <v>30</v>
      </c>
      <c r="C41" s="20">
        <f t="shared" si="8"/>
        <v>1</v>
      </c>
      <c r="D41" s="24">
        <f t="shared" si="20"/>
        <v>1</v>
      </c>
      <c r="E41" s="20">
        <f t="shared" si="9"/>
        <v>0</v>
      </c>
      <c r="F41" s="20">
        <f t="shared" si="21"/>
        <v>2</v>
      </c>
      <c r="G41" s="20">
        <f t="shared" si="22"/>
        <v>1</v>
      </c>
      <c r="H41" s="21">
        <v>1129935</v>
      </c>
      <c r="I41" s="54">
        <v>19704</v>
      </c>
      <c r="J41" s="54"/>
      <c r="K41" s="55">
        <v>30331</v>
      </c>
      <c r="L41" s="54">
        <v>4602</v>
      </c>
      <c r="M41" s="21">
        <f t="shared" si="11"/>
        <v>30331</v>
      </c>
      <c r="N41" s="22">
        <f t="shared" si="0"/>
        <v>17.438171222238449</v>
      </c>
      <c r="O41" s="22">
        <f t="shared" si="12"/>
        <v>26.843136994605885</v>
      </c>
      <c r="P41" s="22">
        <f t="shared" si="4"/>
        <v>26.843136994605885</v>
      </c>
      <c r="Q41" s="21">
        <f t="shared" si="13"/>
        <v>24306</v>
      </c>
      <c r="R41" s="23">
        <f t="shared" si="14"/>
        <v>0.18933596642804246</v>
      </c>
      <c r="S41" s="23">
        <f t="shared" si="1"/>
        <v>0.64963238930467182</v>
      </c>
      <c r="T41" s="9" t="str">
        <f t="shared" si="15"/>
        <v>Контейнеры: 19704 по ФГИС УТКО / 30331 по ТС</v>
      </c>
      <c r="U41" s="9" t="str">
        <f t="shared" si="5"/>
        <v>Наполнение ФГИС УТКО 65%</v>
      </c>
      <c r="V41" s="25" t="str">
        <f t="shared" si="23"/>
        <v>Аномальные данные территориальной схемы</v>
      </c>
      <c r="X41" s="9">
        <f t="shared" si="7"/>
        <v>0.98972800730272503</v>
      </c>
      <c r="Y41" s="9" t="str">
        <f t="shared" si="16"/>
        <v xml:space="preserve">ниже </v>
      </c>
      <c r="Z41" s="9" t="str">
        <f t="shared" si="17"/>
        <v>Обеспеченность контейнерами ниже среднего по России на 99%</v>
      </c>
      <c r="AA41" s="9" t="str">
        <f t="shared" si="18"/>
        <v>Потребность в контейнерах по данным субъекта 4602 шт. (19%)</v>
      </c>
      <c r="AB41" s="8" t="str">
        <f t="shared" si="19"/>
        <v>24/20/5 (19%)</v>
      </c>
    </row>
    <row r="42" spans="2:28">
      <c r="B42" s="12" t="s">
        <v>31</v>
      </c>
      <c r="C42" s="20">
        <f t="shared" si="8"/>
        <v>0</v>
      </c>
      <c r="D42" s="24">
        <f t="shared" si="20"/>
        <v>0</v>
      </c>
      <c r="E42" s="20">
        <f t="shared" si="9"/>
        <v>0</v>
      </c>
      <c r="F42" s="20">
        <f t="shared" si="21"/>
        <v>1</v>
      </c>
      <c r="G42" s="20">
        <f t="shared" si="22"/>
        <v>0</v>
      </c>
      <c r="H42" s="21">
        <v>566266</v>
      </c>
      <c r="I42" s="54">
        <v>11159</v>
      </c>
      <c r="J42" s="54"/>
      <c r="K42" s="55">
        <v>13495</v>
      </c>
      <c r="L42" s="54">
        <v>508</v>
      </c>
      <c r="M42" s="21">
        <f t="shared" si="11"/>
        <v>13495</v>
      </c>
      <c r="N42" s="22">
        <f t="shared" si="0"/>
        <v>19.706286444886327</v>
      </c>
      <c r="O42" s="22">
        <f t="shared" si="12"/>
        <v>23.831556194438658</v>
      </c>
      <c r="P42" s="22">
        <f t="shared" si="4"/>
        <v>23.831556194438658</v>
      </c>
      <c r="Q42" s="21">
        <f t="shared" si="13"/>
        <v>11667</v>
      </c>
      <c r="R42" s="23">
        <f t="shared" si="14"/>
        <v>4.3541613096768662E-2</v>
      </c>
      <c r="S42" s="23">
        <f t="shared" si="1"/>
        <v>0.82689885142645425</v>
      </c>
      <c r="T42" s="9" t="str">
        <f t="shared" si="15"/>
        <v>Контейнеры: 11159 по ФГИС УТКО / 13495 по ТС</v>
      </c>
      <c r="U42" s="9" t="str">
        <f t="shared" si="5"/>
        <v>Наполнение ФГИС УТКО 83%</v>
      </c>
      <c r="V42" s="25" t="str">
        <f t="shared" si="23"/>
        <v>Аномальные данные территориальной схемы</v>
      </c>
      <c r="X42" s="9">
        <f t="shared" si="7"/>
        <v>0.99506939279193996</v>
      </c>
      <c r="Y42" s="9" t="str">
        <f t="shared" si="16"/>
        <v xml:space="preserve">ниже </v>
      </c>
      <c r="Z42" s="9" t="str">
        <f t="shared" si="17"/>
        <v>Обеспеченность контейнерами ниже среднего по России на 100%</v>
      </c>
      <c r="AA42" s="9" t="str">
        <f t="shared" si="18"/>
        <v>Потребность в контейнерах по данным субъекта 508 шт. (4%)</v>
      </c>
      <c r="AB42" s="8" t="str">
        <f t="shared" si="19"/>
        <v>12/11/1 (4%)</v>
      </c>
    </row>
    <row r="43" spans="2:28">
      <c r="B43" s="12" t="s">
        <v>32</v>
      </c>
      <c r="C43" s="20">
        <f t="shared" si="8"/>
        <v>1</v>
      </c>
      <c r="D43" s="24">
        <f t="shared" si="20"/>
        <v>1</v>
      </c>
      <c r="E43" s="20">
        <f t="shared" si="9"/>
        <v>0</v>
      </c>
      <c r="F43" s="20">
        <f t="shared" si="21"/>
        <v>2</v>
      </c>
      <c r="G43" s="20">
        <f t="shared" si="22"/>
        <v>1</v>
      </c>
      <c r="H43" s="21">
        <v>5833002</v>
      </c>
      <c r="I43" s="54">
        <v>42974</v>
      </c>
      <c r="J43" s="54"/>
      <c r="K43" s="55">
        <v>93828</v>
      </c>
      <c r="L43" s="54">
        <v>14336</v>
      </c>
      <c r="M43" s="21">
        <f t="shared" si="11"/>
        <v>93828</v>
      </c>
      <c r="N43" s="22">
        <f t="shared" si="0"/>
        <v>7.3673898963175395</v>
      </c>
      <c r="O43" s="22">
        <f t="shared" si="12"/>
        <v>16.085713668536375</v>
      </c>
      <c r="P43" s="22">
        <f t="shared" si="4"/>
        <v>16.085713668536375</v>
      </c>
      <c r="Q43" s="21">
        <f t="shared" si="13"/>
        <v>57310</v>
      </c>
      <c r="R43" s="23">
        <f t="shared" si="14"/>
        <v>0.25014831617518757</v>
      </c>
      <c r="S43" s="23">
        <f t="shared" si="1"/>
        <v>0.45800827045231701</v>
      </c>
      <c r="T43" s="9" t="str">
        <f t="shared" si="15"/>
        <v>Контейнеры: 42974 по ФГИС УТКО / 93828 по ТС</v>
      </c>
      <c r="U43" s="9" t="str">
        <f t="shared" si="5"/>
        <v>Наполнение ФГИС УТКО 46%</v>
      </c>
      <c r="V43" s="25" t="str">
        <f t="shared" si="23"/>
        <v>Аномальные данные территориальной схемы</v>
      </c>
      <c r="X43" s="9">
        <f t="shared" si="7"/>
        <v>0.97578014064507401</v>
      </c>
      <c r="Y43" s="9" t="str">
        <f t="shared" si="16"/>
        <v xml:space="preserve">ниже </v>
      </c>
      <c r="Z43" s="9" t="str">
        <f t="shared" si="17"/>
        <v>Обеспеченность контейнерами ниже среднего по России на 98%</v>
      </c>
      <c r="AA43" s="9" t="str">
        <f t="shared" si="18"/>
        <v>Потребность в контейнерах по данным субъекта 14336 шт. (25%)</v>
      </c>
      <c r="AB43" s="8" t="str">
        <f t="shared" si="19"/>
        <v>57/43/14 (25%)</v>
      </c>
    </row>
    <row r="44" spans="2:28">
      <c r="B44" s="12" t="s">
        <v>33</v>
      </c>
      <c r="C44" s="20">
        <f t="shared" si="8"/>
        <v>0</v>
      </c>
      <c r="D44" s="24">
        <f t="shared" si="20"/>
        <v>0</v>
      </c>
      <c r="E44" s="20">
        <f t="shared" si="9"/>
        <v>0</v>
      </c>
      <c r="F44" s="20">
        <f t="shared" si="21"/>
        <v>2</v>
      </c>
      <c r="G44" s="20">
        <f t="shared" si="22"/>
        <v>0</v>
      </c>
      <c r="H44" s="21">
        <v>2846120</v>
      </c>
      <c r="I44" s="54">
        <v>42103</v>
      </c>
      <c r="J44" s="54"/>
      <c r="K44" s="55">
        <v>81301</v>
      </c>
      <c r="L44" s="54">
        <v>7450</v>
      </c>
      <c r="M44" s="21">
        <f t="shared" si="11"/>
        <v>81301</v>
      </c>
      <c r="N44" s="22">
        <f t="shared" si="0"/>
        <v>14.7931218641519</v>
      </c>
      <c r="O44" s="22">
        <f t="shared" si="12"/>
        <v>28.565555914718988</v>
      </c>
      <c r="P44" s="22">
        <f t="shared" si="4"/>
        <v>28.565555914718988</v>
      </c>
      <c r="Q44" s="21">
        <f t="shared" si="13"/>
        <v>49553</v>
      </c>
      <c r="R44" s="23">
        <f t="shared" si="14"/>
        <v>0.15034407603979577</v>
      </c>
      <c r="S44" s="23">
        <f t="shared" si="1"/>
        <v>0.51786570890886952</v>
      </c>
      <c r="T44" s="9" t="str">
        <f t="shared" si="15"/>
        <v>Контейнеры: 42103 по ФГИС УТКО / 81301 по ТС</v>
      </c>
      <c r="U44" s="9" t="str">
        <f t="shared" si="5"/>
        <v>Наполнение ФГИС УТКО 52%</v>
      </c>
      <c r="V44" s="25" t="str">
        <f t="shared" si="23"/>
        <v>Аномальные данные территориальной схемы</v>
      </c>
      <c r="X44" s="9">
        <f t="shared" si="7"/>
        <v>0.97905833727770641</v>
      </c>
      <c r="Y44" s="9" t="str">
        <f t="shared" si="16"/>
        <v xml:space="preserve">ниже </v>
      </c>
      <c r="Z44" s="9" t="str">
        <f t="shared" si="17"/>
        <v>Обеспеченность контейнерами ниже среднего по России на 98%</v>
      </c>
      <c r="AA44" s="9" t="str">
        <f t="shared" si="18"/>
        <v>Потребность в контейнерах по данным субъекта 7450 шт. (15%)</v>
      </c>
      <c r="AB44" s="8" t="str">
        <f t="shared" si="19"/>
        <v>50/42/7 (15%)</v>
      </c>
    </row>
    <row r="45" spans="2:28">
      <c r="B45" s="12" t="s">
        <v>34</v>
      </c>
      <c r="C45" s="20">
        <f t="shared" si="8"/>
        <v>2</v>
      </c>
      <c r="D45" s="24">
        <f t="shared" si="20"/>
        <v>2</v>
      </c>
      <c r="E45" s="20">
        <f t="shared" si="9"/>
        <v>0</v>
      </c>
      <c r="F45" s="20">
        <f t="shared" si="21"/>
        <v>2</v>
      </c>
      <c r="G45" s="20">
        <f t="shared" si="22"/>
        <v>2</v>
      </c>
      <c r="H45" s="21">
        <v>753002</v>
      </c>
      <c r="I45" s="54">
        <v>10977</v>
      </c>
      <c r="J45" s="54"/>
      <c r="K45" s="55">
        <v>17634</v>
      </c>
      <c r="L45" s="54">
        <v>0</v>
      </c>
      <c r="M45" s="21">
        <f t="shared" si="11"/>
        <v>17634</v>
      </c>
      <c r="N45" s="22">
        <f t="shared" si="0"/>
        <v>14.577650524168595</v>
      </c>
      <c r="O45" s="22">
        <f t="shared" si="12"/>
        <v>23.418264493321399</v>
      </c>
      <c r="P45" s="22">
        <f t="shared" si="4"/>
        <v>23.418264493321399</v>
      </c>
      <c r="Q45" s="21">
        <f t="shared" si="13"/>
        <v>10977</v>
      </c>
      <c r="R45" s="23">
        <f t="shared" si="14"/>
        <v>0</v>
      </c>
      <c r="S45" s="23">
        <f t="shared" si="1"/>
        <v>0.62249064307587609</v>
      </c>
      <c r="T45" s="9" t="str">
        <f t="shared" si="15"/>
        <v>Контейнеры: 10977 по ФГИС УТКО / 17634 по ТС</v>
      </c>
      <c r="U45" s="9" t="str">
        <f t="shared" si="5"/>
        <v>Наполнение ФГИС УТКО 62%</v>
      </c>
      <c r="V45" s="25" t="str">
        <f t="shared" si="23"/>
        <v>Аномальные данные территориальной схемы</v>
      </c>
      <c r="X45" s="9">
        <f t="shared" si="7"/>
        <v>0.99536099465819194</v>
      </c>
      <c r="Y45" s="9" t="str">
        <f t="shared" si="16"/>
        <v xml:space="preserve">ниже </v>
      </c>
      <c r="Z45" s="9" t="str">
        <f t="shared" si="17"/>
        <v>Обеспеченность контейнерами ниже среднего по России на 100%</v>
      </c>
      <c r="AA45" s="9" t="str">
        <f t="shared" si="18"/>
        <v>Потребность в КП не представлена</v>
      </c>
      <c r="AB45" s="8" t="str">
        <f t="shared" si="19"/>
        <v>11/11/0 (0%)</v>
      </c>
    </row>
    <row r="46" spans="2:28">
      <c r="B46" s="12" t="s">
        <v>35</v>
      </c>
      <c r="C46" s="20">
        <f t="shared" si="8"/>
        <v>1</v>
      </c>
      <c r="D46" s="24">
        <f t="shared" si="20"/>
        <v>1</v>
      </c>
      <c r="E46" s="20">
        <f t="shared" si="9"/>
        <v>0</v>
      </c>
      <c r="F46" s="20">
        <f t="shared" si="21"/>
        <v>1</v>
      </c>
      <c r="G46" s="20">
        <f t="shared" si="22"/>
        <v>1</v>
      </c>
      <c r="H46" s="21">
        <v>1060892</v>
      </c>
      <c r="I46" s="54">
        <v>16513</v>
      </c>
      <c r="J46" s="54"/>
      <c r="K46" s="55">
        <v>18344</v>
      </c>
      <c r="L46" s="54">
        <v>6704</v>
      </c>
      <c r="M46" s="21">
        <f t="shared" si="11"/>
        <v>18344</v>
      </c>
      <c r="N46" s="22">
        <f t="shared" si="0"/>
        <v>15.56520362110375</v>
      </c>
      <c r="O46" s="22">
        <f t="shared" si="12"/>
        <v>17.291109745384073</v>
      </c>
      <c r="P46" s="22">
        <f t="shared" si="4"/>
        <v>17.291109745384073</v>
      </c>
      <c r="Q46" s="21">
        <f t="shared" si="13"/>
        <v>23217</v>
      </c>
      <c r="R46" s="23">
        <f t="shared" si="14"/>
        <v>0.28875393030968688</v>
      </c>
      <c r="S46" s="23">
        <f t="shared" si="1"/>
        <v>0.90018534670737027</v>
      </c>
      <c r="T46" s="9" t="str">
        <f t="shared" si="15"/>
        <v>Контейнеры: 16513 по ФГИС УТКО / 18344 по ТС</v>
      </c>
      <c r="U46" s="9" t="str">
        <f t="shared" si="5"/>
        <v>Наполнение ФГИС УТКО 90%</v>
      </c>
      <c r="V46" s="25" t="str">
        <f t="shared" si="23"/>
        <v>Аномальные данные территориальной схемы</v>
      </c>
      <c r="X46" s="9">
        <f t="shared" si="7"/>
        <v>0.99018823111772258</v>
      </c>
      <c r="Y46" s="9" t="str">
        <f t="shared" si="16"/>
        <v xml:space="preserve">ниже </v>
      </c>
      <c r="Z46" s="9" t="str">
        <f t="shared" si="17"/>
        <v>Обеспеченность контейнерами ниже среднего по России на 99%</v>
      </c>
      <c r="AA46" s="9" t="str">
        <f t="shared" si="18"/>
        <v>Потребность в контейнерах по данным субъекта 6704 шт. (29%)</v>
      </c>
      <c r="AB46" s="8" t="str">
        <f t="shared" si="19"/>
        <v>23/17/7 (29%)</v>
      </c>
    </row>
    <row r="47" spans="2:28">
      <c r="B47" s="12" t="s">
        <v>36</v>
      </c>
      <c r="C47" s="20">
        <f t="shared" si="8"/>
        <v>0</v>
      </c>
      <c r="D47" s="24">
        <f t="shared" si="20"/>
        <v>0</v>
      </c>
      <c r="E47" s="20">
        <f t="shared" si="9"/>
        <v>0</v>
      </c>
      <c r="F47" s="20">
        <f t="shared" si="21"/>
        <v>2</v>
      </c>
      <c r="G47" s="20">
        <f t="shared" si="22"/>
        <v>0</v>
      </c>
      <c r="H47" s="21">
        <v>2035762</v>
      </c>
      <c r="I47" s="54">
        <v>25688</v>
      </c>
      <c r="J47" s="54"/>
      <c r="K47" s="55">
        <v>46802</v>
      </c>
      <c r="L47" s="54">
        <v>1938</v>
      </c>
      <c r="M47" s="21">
        <f t="shared" si="11"/>
        <v>46802</v>
      </c>
      <c r="N47" s="22">
        <f t="shared" si="0"/>
        <v>12.618370909762536</v>
      </c>
      <c r="O47" s="22">
        <f t="shared" si="12"/>
        <v>22.989917288956175</v>
      </c>
      <c r="P47" s="22">
        <f t="shared" si="4"/>
        <v>22.989917288956175</v>
      </c>
      <c r="Q47" s="21">
        <f t="shared" si="13"/>
        <v>27626</v>
      </c>
      <c r="R47" s="23">
        <f t="shared" si="14"/>
        <v>7.0151306740027508E-2</v>
      </c>
      <c r="S47" s="23">
        <f t="shared" si="1"/>
        <v>0.54886543310114955</v>
      </c>
      <c r="T47" s="9" t="str">
        <f t="shared" si="15"/>
        <v>Контейнеры: 25688 по ФГИС УТКО / 46802 по ТС</v>
      </c>
      <c r="U47" s="9" t="str">
        <f t="shared" si="5"/>
        <v>Наполнение ФГИС УТКО 55%</v>
      </c>
      <c r="V47" s="25" t="str">
        <f t="shared" si="23"/>
        <v>Аномальные данные территориальной схемы</v>
      </c>
      <c r="X47" s="9">
        <f t="shared" si="7"/>
        <v>0.9883249374535128</v>
      </c>
      <c r="Y47" s="9" t="str">
        <f t="shared" si="16"/>
        <v xml:space="preserve">ниже </v>
      </c>
      <c r="Z47" s="9" t="str">
        <f t="shared" si="17"/>
        <v>Обеспеченность контейнерами ниже среднего по России на 99%</v>
      </c>
      <c r="AA47" s="9" t="str">
        <f t="shared" si="18"/>
        <v>Потребность в контейнерах по данным субъекта 1938 шт. (7%)</v>
      </c>
      <c r="AB47" s="8" t="str">
        <f t="shared" si="19"/>
        <v>28/26/2 (7%)</v>
      </c>
    </row>
    <row r="48" spans="2:28">
      <c r="B48" s="12" t="s">
        <v>37</v>
      </c>
      <c r="C48" s="20">
        <f t="shared" si="8"/>
        <v>1</v>
      </c>
      <c r="D48" s="24">
        <f t="shared" si="20"/>
        <v>1</v>
      </c>
      <c r="E48" s="20">
        <f t="shared" si="9"/>
        <v>0</v>
      </c>
      <c r="F48" s="20">
        <f t="shared" si="21"/>
        <v>0</v>
      </c>
      <c r="G48" s="20">
        <f t="shared" si="22"/>
        <v>1</v>
      </c>
      <c r="H48" s="21">
        <v>1116265</v>
      </c>
      <c r="I48" s="54">
        <v>35095</v>
      </c>
      <c r="J48" s="54"/>
      <c r="K48" s="55">
        <v>29585</v>
      </c>
      <c r="L48" s="54">
        <v>6708</v>
      </c>
      <c r="M48" s="21">
        <f t="shared" si="11"/>
        <v>35095</v>
      </c>
      <c r="N48" s="22">
        <f t="shared" si="0"/>
        <v>31.43966710413746</v>
      </c>
      <c r="O48" s="22">
        <f t="shared" si="12"/>
        <v>26.503563221994778</v>
      </c>
      <c r="P48" s="22">
        <f t="shared" si="4"/>
        <v>31.43966710413746</v>
      </c>
      <c r="Q48" s="21">
        <f t="shared" si="13"/>
        <v>41803</v>
      </c>
      <c r="R48" s="23">
        <f t="shared" si="14"/>
        <v>0.16046695213262205</v>
      </c>
      <c r="S48" s="23">
        <f t="shared" si="1"/>
        <v>1</v>
      </c>
      <c r="T48" s="9" t="str">
        <f t="shared" si="15"/>
        <v>Контейнеры: 35095 по ФГИС УТКО / 29585 по ТС</v>
      </c>
      <c r="U48" s="9" t="str">
        <f t="shared" si="5"/>
        <v>Наполнение ФГИС УТКО более 100%</v>
      </c>
      <c r="V48" s="25" t="str">
        <f t="shared" si="23"/>
        <v>Аномальные данные территориальной схемы</v>
      </c>
      <c r="X48" s="9">
        <f t="shared" si="7"/>
        <v>0.98233357563053625</v>
      </c>
      <c r="Y48" s="9" t="str">
        <f t="shared" si="16"/>
        <v xml:space="preserve">ниже </v>
      </c>
      <c r="Z48" s="9" t="str">
        <f t="shared" si="17"/>
        <v>Обеспеченность контейнерами ниже среднего по России на 98%</v>
      </c>
      <c r="AA48" s="9" t="str">
        <f t="shared" si="18"/>
        <v>Потребность в контейнерах по данным субъекта 6708 шт. (16%)</v>
      </c>
      <c r="AB48" s="8" t="str">
        <f t="shared" si="19"/>
        <v>42/35/7 (16%)</v>
      </c>
    </row>
    <row r="49" spans="2:28">
      <c r="B49" s="12" t="s">
        <v>581</v>
      </c>
      <c r="C49" s="60">
        <v>0</v>
      </c>
      <c r="D49" s="60">
        <v>0</v>
      </c>
      <c r="E49" s="60">
        <v>0</v>
      </c>
      <c r="F49" s="60">
        <v>0</v>
      </c>
      <c r="G49" s="60">
        <v>0</v>
      </c>
      <c r="H49" s="21"/>
      <c r="I49" s="54">
        <v>0</v>
      </c>
      <c r="J49" s="54"/>
      <c r="K49" s="55">
        <v>6892</v>
      </c>
      <c r="L49" s="54">
        <v>13829</v>
      </c>
      <c r="M49" s="21"/>
      <c r="N49" s="22"/>
      <c r="O49" s="22"/>
      <c r="P49" s="22"/>
      <c r="Q49" s="21">
        <f t="shared" si="13"/>
        <v>13829</v>
      </c>
      <c r="R49" s="23"/>
      <c r="S49" s="23"/>
      <c r="T49" s="9"/>
      <c r="V49" s="25"/>
    </row>
    <row r="50" spans="2:28">
      <c r="B50" s="12" t="s">
        <v>38</v>
      </c>
      <c r="C50" s="20">
        <f t="shared" si="8"/>
        <v>2</v>
      </c>
      <c r="D50" s="24">
        <f t="shared" si="20"/>
        <v>2</v>
      </c>
      <c r="E50" s="20">
        <f t="shared" si="9"/>
        <v>0</v>
      </c>
      <c r="F50" s="20">
        <f t="shared" si="21"/>
        <v>0</v>
      </c>
      <c r="G50" s="20">
        <f t="shared" si="22"/>
        <v>2</v>
      </c>
      <c r="H50" s="21">
        <v>133387</v>
      </c>
      <c r="I50" s="54">
        <v>2657</v>
      </c>
      <c r="J50" s="54"/>
      <c r="K50" s="55">
        <v>1922</v>
      </c>
      <c r="L50" s="54">
        <v>0</v>
      </c>
      <c r="M50" s="21">
        <f t="shared" si="11"/>
        <v>2657</v>
      </c>
      <c r="N50" s="22">
        <f t="shared" ref="N50:N81" si="24">I50/$H50*1000</f>
        <v>19.919482408330644</v>
      </c>
      <c r="O50" s="22">
        <f t="shared" si="12"/>
        <v>14.409200296880504</v>
      </c>
      <c r="P50" s="22">
        <f t="shared" si="4"/>
        <v>19.919482408330644</v>
      </c>
      <c r="Q50" s="21">
        <f t="shared" si="13"/>
        <v>2657</v>
      </c>
      <c r="R50" s="23">
        <f t="shared" si="14"/>
        <v>0</v>
      </c>
      <c r="S50" s="23">
        <f t="shared" ref="S50:S81" si="25">I50/MAX(I50,K50)</f>
        <v>1</v>
      </c>
      <c r="T50" s="9" t="str">
        <f t="shared" si="15"/>
        <v>Контейнеры: 2657 по ФГИС УТКО / 1922 по ТС</v>
      </c>
      <c r="U50" s="9" t="str">
        <f t="shared" si="5"/>
        <v>Наполнение ФГИС УТКО более 100%</v>
      </c>
      <c r="V50" s="25" t="str">
        <f t="shared" ref="V50:V97" si="26">IF(O50&gt;$O$8,$V$107,IF(Q50&gt;$Q$10,$V$108,IF(I50&gt;K50*(1+$K$10),$V$109,"")))</f>
        <v>Аномальные данные территориальной схемы</v>
      </c>
      <c r="X50" s="9">
        <f t="shared" si="7"/>
        <v>0.9988771215092298</v>
      </c>
      <c r="Y50" s="9" t="str">
        <f t="shared" si="16"/>
        <v xml:space="preserve">ниже </v>
      </c>
      <c r="Z50" s="9" t="str">
        <f t="shared" si="17"/>
        <v>Обеспеченность контейнерами ниже среднего по России на 100%</v>
      </c>
      <c r="AA50" s="9" t="str">
        <f t="shared" si="18"/>
        <v>Потребность в КП не представлена</v>
      </c>
      <c r="AB50" s="8" t="str">
        <f t="shared" si="19"/>
        <v>3/3/0 (0%)</v>
      </c>
    </row>
    <row r="51" spans="2:28">
      <c r="B51" s="12" t="s">
        <v>39</v>
      </c>
      <c r="C51" s="20">
        <f t="shared" si="8"/>
        <v>0</v>
      </c>
      <c r="D51" s="24">
        <f t="shared" si="20"/>
        <v>0</v>
      </c>
      <c r="E51" s="20">
        <f t="shared" si="9"/>
        <v>0</v>
      </c>
      <c r="F51" s="20">
        <f t="shared" si="21"/>
        <v>0</v>
      </c>
      <c r="G51" s="20">
        <f t="shared" si="22"/>
        <v>0</v>
      </c>
      <c r="H51" s="21">
        <v>8651260</v>
      </c>
      <c r="I51" s="54">
        <v>207855</v>
      </c>
      <c r="J51" s="54"/>
      <c r="K51" s="55">
        <v>176639</v>
      </c>
      <c r="L51" s="54">
        <v>15011</v>
      </c>
      <c r="M51" s="21">
        <f t="shared" si="11"/>
        <v>207855</v>
      </c>
      <c r="N51" s="22">
        <f t="shared" si="24"/>
        <v>24.025980030654495</v>
      </c>
      <c r="O51" s="22">
        <f t="shared" si="12"/>
        <v>20.417719499818524</v>
      </c>
      <c r="P51" s="22">
        <f t="shared" si="4"/>
        <v>24.025980030654495</v>
      </c>
      <c r="Q51" s="21">
        <f t="shared" si="13"/>
        <v>222866</v>
      </c>
      <c r="R51" s="23">
        <f t="shared" si="14"/>
        <v>6.7354374377428583E-2</v>
      </c>
      <c r="S51" s="23">
        <f t="shared" si="25"/>
        <v>1</v>
      </c>
      <c r="T51" s="9" t="str">
        <f t="shared" si="15"/>
        <v>Контейнеры: 207855 по ФГИС УТКО / 176639 по ТС</v>
      </c>
      <c r="U51" s="9" t="str">
        <f t="shared" ref="U51:U82" si="27">_xlfn.TEXTJOIN(,0,"Наполнение ФГИС УТКО"," ",IF(I51&lt;=K51,TEXT(S51,"0%"),"более 100%"))</f>
        <v>Наполнение ФГИС УТКО более 100%</v>
      </c>
      <c r="V51" s="25" t="str">
        <f t="shared" si="26"/>
        <v>Аномальные данные территориальной схемы</v>
      </c>
      <c r="X51" s="9">
        <f t="shared" ref="X51:X82" si="28">IF(Q51&gt;=$Q$15,Q51/$Q$15-1,1-Q51/$Q$15)</f>
        <v>0.90581428764622351</v>
      </c>
      <c r="Y51" s="9" t="str">
        <f t="shared" si="16"/>
        <v xml:space="preserve">ниже </v>
      </c>
      <c r="Z51" s="9" t="str">
        <f t="shared" si="17"/>
        <v>Обеспеченность контейнерами ниже среднего по России на 91%</v>
      </c>
      <c r="AA51" s="9" t="str">
        <f t="shared" si="18"/>
        <v>Потребность в контейнерах по данным субъекта 15011 шт. (7%)</v>
      </c>
      <c r="AB51" s="8" t="str">
        <f t="shared" si="19"/>
        <v>223/208/15 (7%)</v>
      </c>
    </row>
    <row r="52" spans="2:28">
      <c r="B52" s="12" t="s">
        <v>40</v>
      </c>
      <c r="C52" s="20">
        <f t="shared" si="8"/>
        <v>0</v>
      </c>
      <c r="D52" s="24">
        <f t="shared" si="20"/>
        <v>0</v>
      </c>
      <c r="E52" s="20">
        <f t="shared" si="9"/>
        <v>0</v>
      </c>
      <c r="F52" s="20">
        <f t="shared" si="21"/>
        <v>0</v>
      </c>
      <c r="G52" s="20">
        <f t="shared" si="22"/>
        <v>0</v>
      </c>
      <c r="H52" s="21">
        <v>656438</v>
      </c>
      <c r="I52" s="54">
        <v>12374</v>
      </c>
      <c r="J52" s="54"/>
      <c r="K52" s="55">
        <v>12311</v>
      </c>
      <c r="L52" s="54">
        <v>150</v>
      </c>
      <c r="M52" s="21">
        <f t="shared" si="11"/>
        <v>12374</v>
      </c>
      <c r="N52" s="22">
        <f t="shared" si="24"/>
        <v>18.850218908716439</v>
      </c>
      <c r="O52" s="22">
        <f t="shared" si="12"/>
        <v>18.75424640255439</v>
      </c>
      <c r="P52" s="22">
        <f t="shared" si="4"/>
        <v>18.850218908716439</v>
      </c>
      <c r="Q52" s="21">
        <f t="shared" si="13"/>
        <v>12524</v>
      </c>
      <c r="R52" s="23">
        <f t="shared" si="14"/>
        <v>1.1977004152028107E-2</v>
      </c>
      <c r="S52" s="23">
        <f t="shared" si="25"/>
        <v>1</v>
      </c>
      <c r="T52" s="9" t="str">
        <f t="shared" si="15"/>
        <v>Контейнеры: 12374 по ФГИС УТКО / 12311 по ТС</v>
      </c>
      <c r="U52" s="9" t="str">
        <f t="shared" si="27"/>
        <v>Наполнение ФГИС УТКО более 100%</v>
      </c>
      <c r="V52" s="25" t="str">
        <f t="shared" si="26"/>
        <v>Аномальные данные территориальной схемы</v>
      </c>
      <c r="X52" s="9">
        <f t="shared" si="28"/>
        <v>0.994707214821827</v>
      </c>
      <c r="Y52" s="9" t="str">
        <f t="shared" si="16"/>
        <v xml:space="preserve">ниже </v>
      </c>
      <c r="Z52" s="9" t="str">
        <f t="shared" si="17"/>
        <v>Обеспеченность контейнерами ниже среднего по России на 99%</v>
      </c>
      <c r="AA52" s="9" t="str">
        <f t="shared" si="18"/>
        <v>Потребность в контейнерах по данным субъекта 150 шт. (1%)</v>
      </c>
      <c r="AB52" s="8" t="str">
        <f t="shared" si="19"/>
        <v>13/12/0 (1%)</v>
      </c>
    </row>
    <row r="53" spans="2:28">
      <c r="B53" s="12" t="s">
        <v>41</v>
      </c>
      <c r="C53" s="20">
        <f t="shared" si="8"/>
        <v>0</v>
      </c>
      <c r="D53" s="24">
        <f t="shared" si="20"/>
        <v>0</v>
      </c>
      <c r="E53" s="20">
        <f t="shared" si="9"/>
        <v>0</v>
      </c>
      <c r="F53" s="20">
        <f t="shared" si="21"/>
        <v>0</v>
      </c>
      <c r="G53" s="20">
        <f t="shared" si="22"/>
        <v>0</v>
      </c>
      <c r="H53" s="21">
        <v>42224</v>
      </c>
      <c r="I53" s="54">
        <v>1580</v>
      </c>
      <c r="J53" s="54"/>
      <c r="K53" s="55">
        <v>1580</v>
      </c>
      <c r="L53" s="54">
        <v>12</v>
      </c>
      <c r="M53" s="21">
        <f t="shared" si="11"/>
        <v>1580</v>
      </c>
      <c r="N53" s="22">
        <f t="shared" si="24"/>
        <v>37.419477074649485</v>
      </c>
      <c r="O53" s="22">
        <f t="shared" si="12"/>
        <v>37.419477074649485</v>
      </c>
      <c r="P53" s="22">
        <f t="shared" si="4"/>
        <v>37.419477074649485</v>
      </c>
      <c r="Q53" s="21">
        <f t="shared" si="13"/>
        <v>1592</v>
      </c>
      <c r="R53" s="23">
        <f t="shared" si="14"/>
        <v>7.537688442211055E-3</v>
      </c>
      <c r="S53" s="23">
        <f t="shared" si="25"/>
        <v>1</v>
      </c>
      <c r="T53" s="9" t="str">
        <f t="shared" si="15"/>
        <v>Контейнеры: 1580 по ФГИС УТКО / 1580 по ТС</v>
      </c>
      <c r="U53" s="9" t="str">
        <f t="shared" si="27"/>
        <v>Наполнение ФГИС УТКО 100%</v>
      </c>
      <c r="V53" s="25" t="str">
        <f t="shared" si="26"/>
        <v>Аномальные данные территориальной схемы</v>
      </c>
      <c r="X53" s="9">
        <f t="shared" si="28"/>
        <v>0.9993272026506187</v>
      </c>
      <c r="Y53" s="9" t="str">
        <f t="shared" si="16"/>
        <v xml:space="preserve">ниже </v>
      </c>
      <c r="Z53" s="9" t="str">
        <f t="shared" si="17"/>
        <v>Обеспеченность контейнерами ниже среднего по России на 100%</v>
      </c>
      <c r="AA53" s="9" t="str">
        <f t="shared" si="18"/>
        <v>Потребность в контейнерах по данным субъекта 12 шт. (1%)</v>
      </c>
      <c r="AB53" s="8" t="str">
        <f t="shared" si="19"/>
        <v>2/2/0 (1%)</v>
      </c>
    </row>
    <row r="54" spans="2:28">
      <c r="B54" s="12" t="s">
        <v>42</v>
      </c>
      <c r="C54" s="20">
        <f t="shared" si="8"/>
        <v>2</v>
      </c>
      <c r="D54" s="24">
        <f t="shared" si="20"/>
        <v>2</v>
      </c>
      <c r="E54" s="20">
        <f t="shared" si="9"/>
        <v>0</v>
      </c>
      <c r="F54" s="20">
        <f t="shared" si="21"/>
        <v>1</v>
      </c>
      <c r="G54" s="20">
        <f t="shared" si="22"/>
        <v>2</v>
      </c>
      <c r="H54" s="21">
        <v>3060335</v>
      </c>
      <c r="I54" s="54">
        <v>59725</v>
      </c>
      <c r="J54" s="54"/>
      <c r="K54" s="55">
        <v>67611</v>
      </c>
      <c r="L54" s="54">
        <v>0</v>
      </c>
      <c r="M54" s="21">
        <f t="shared" si="11"/>
        <v>67611</v>
      </c>
      <c r="N54" s="22">
        <f t="shared" si="24"/>
        <v>19.515837318463504</v>
      </c>
      <c r="O54" s="22">
        <f t="shared" si="12"/>
        <v>22.092679396209892</v>
      </c>
      <c r="P54" s="22">
        <f t="shared" si="4"/>
        <v>22.092679396209892</v>
      </c>
      <c r="Q54" s="21">
        <f t="shared" si="13"/>
        <v>59725</v>
      </c>
      <c r="R54" s="23">
        <f t="shared" si="14"/>
        <v>0</v>
      </c>
      <c r="S54" s="23">
        <f t="shared" si="25"/>
        <v>0.88336217479404244</v>
      </c>
      <c r="T54" s="9" t="str">
        <f t="shared" si="15"/>
        <v>Контейнеры: 59725 по ФГИС УТКО / 67611 по ТС</v>
      </c>
      <c r="U54" s="9" t="str">
        <f t="shared" si="27"/>
        <v>Наполнение ФГИС УТКО 88%</v>
      </c>
      <c r="V54" s="25" t="str">
        <f t="shared" si="26"/>
        <v>Аномальные данные территориальной схемы</v>
      </c>
      <c r="X54" s="9">
        <f t="shared" si="28"/>
        <v>0.97475953411319227</v>
      </c>
      <c r="Y54" s="9" t="str">
        <f t="shared" si="16"/>
        <v xml:space="preserve">ниже </v>
      </c>
      <c r="Z54" s="9" t="str">
        <f t="shared" si="17"/>
        <v>Обеспеченность контейнерами ниже среднего по России на 97%</v>
      </c>
      <c r="AA54" s="9" t="str">
        <f t="shared" si="18"/>
        <v>Потребность в КП не представлена</v>
      </c>
      <c r="AB54" s="8" t="str">
        <f t="shared" si="19"/>
        <v>60/60/0 (0%)</v>
      </c>
    </row>
    <row r="55" spans="2:28">
      <c r="B55" s="12" t="s">
        <v>43</v>
      </c>
      <c r="C55" s="20">
        <f t="shared" si="8"/>
        <v>0</v>
      </c>
      <c r="D55" s="24">
        <f t="shared" si="20"/>
        <v>0</v>
      </c>
      <c r="E55" s="20">
        <f t="shared" si="9"/>
        <v>0</v>
      </c>
      <c r="F55" s="20">
        <f t="shared" si="21"/>
        <v>0</v>
      </c>
      <c r="G55" s="20">
        <f t="shared" si="22"/>
        <v>0</v>
      </c>
      <c r="H55" s="21">
        <v>571447</v>
      </c>
      <c r="I55" s="54">
        <v>9744</v>
      </c>
      <c r="J55" s="54"/>
      <c r="K55" s="55">
        <v>8689</v>
      </c>
      <c r="L55" s="54">
        <v>20</v>
      </c>
      <c r="M55" s="21">
        <f t="shared" si="11"/>
        <v>9744</v>
      </c>
      <c r="N55" s="22">
        <f t="shared" si="24"/>
        <v>17.051450090734576</v>
      </c>
      <c r="O55" s="22">
        <f t="shared" si="12"/>
        <v>15.20525963037692</v>
      </c>
      <c r="P55" s="22">
        <f t="shared" si="4"/>
        <v>17.051450090734576</v>
      </c>
      <c r="Q55" s="21">
        <f t="shared" si="13"/>
        <v>9764</v>
      </c>
      <c r="R55" s="23">
        <f t="shared" si="14"/>
        <v>2.0483408439164277E-3</v>
      </c>
      <c r="S55" s="23">
        <f t="shared" si="25"/>
        <v>1</v>
      </c>
      <c r="T55" s="9" t="str">
        <f t="shared" si="15"/>
        <v>Контейнеры: 9744 по ФГИС УТКО / 8689 по ТС</v>
      </c>
      <c r="U55" s="9" t="str">
        <f t="shared" si="27"/>
        <v>Наполнение ФГИС УТКО более 100%</v>
      </c>
      <c r="V55" s="25" t="str">
        <f t="shared" si="26"/>
        <v>Аномальные данные территориальной схемы</v>
      </c>
      <c r="X55" s="9">
        <f t="shared" si="28"/>
        <v>0.99587362228683485</v>
      </c>
      <c r="Y55" s="9" t="str">
        <f t="shared" si="16"/>
        <v xml:space="preserve">ниже </v>
      </c>
      <c r="Z55" s="9" t="str">
        <f t="shared" si="17"/>
        <v>Обеспеченность контейнерами ниже среднего по России на 100%</v>
      </c>
      <c r="AA55" s="9" t="str">
        <f t="shared" si="18"/>
        <v>Потребность в контейнерах по данным субъекта 20 шт. (0%)</v>
      </c>
      <c r="AB55" s="8" t="str">
        <f t="shared" si="19"/>
        <v>10/10/0 (0%)</v>
      </c>
    </row>
    <row r="56" spans="2:28">
      <c r="B56" s="12" t="s">
        <v>44</v>
      </c>
      <c r="C56" s="20">
        <f t="shared" si="8"/>
        <v>0</v>
      </c>
      <c r="D56" s="24">
        <f t="shared" si="20"/>
        <v>0</v>
      </c>
      <c r="E56" s="20">
        <f t="shared" si="9"/>
        <v>0</v>
      </c>
      <c r="F56" s="20">
        <f t="shared" si="21"/>
        <v>0</v>
      </c>
      <c r="G56" s="20">
        <f t="shared" si="22"/>
        <v>0</v>
      </c>
      <c r="H56" s="21">
        <v>2789532</v>
      </c>
      <c r="I56" s="54">
        <v>38649</v>
      </c>
      <c r="J56" s="54"/>
      <c r="K56" s="55">
        <v>37503</v>
      </c>
      <c r="L56" s="54">
        <v>4158</v>
      </c>
      <c r="M56" s="21">
        <f t="shared" si="11"/>
        <v>38649</v>
      </c>
      <c r="N56" s="22">
        <f t="shared" si="24"/>
        <v>13.855012238612067</v>
      </c>
      <c r="O56" s="22">
        <f t="shared" si="12"/>
        <v>13.444190638429673</v>
      </c>
      <c r="P56" s="22">
        <f t="shared" si="4"/>
        <v>13.855012238612067</v>
      </c>
      <c r="Q56" s="21">
        <f t="shared" si="13"/>
        <v>42807</v>
      </c>
      <c r="R56" s="23">
        <f t="shared" si="14"/>
        <v>9.7133646366248508E-2</v>
      </c>
      <c r="S56" s="23">
        <f t="shared" si="25"/>
        <v>1</v>
      </c>
      <c r="T56" s="9" t="str">
        <f t="shared" si="15"/>
        <v>Контейнеры: 38649 по ФГИС УТКО / 37503 по ТС</v>
      </c>
      <c r="U56" s="9" t="str">
        <f t="shared" si="27"/>
        <v>Наполнение ФГИС УТКО более 100%</v>
      </c>
      <c r="V56" s="25" t="str">
        <f t="shared" si="26"/>
        <v>Аномальные данные территориальной схемы</v>
      </c>
      <c r="X56" s="9">
        <f t="shared" si="28"/>
        <v>0.9819092737845696</v>
      </c>
      <c r="Y56" s="9" t="str">
        <f t="shared" si="16"/>
        <v xml:space="preserve">ниже </v>
      </c>
      <c r="Z56" s="9" t="str">
        <f t="shared" si="17"/>
        <v>Обеспеченность контейнерами ниже среднего по России на 98%</v>
      </c>
      <c r="AA56" s="9" t="str">
        <f t="shared" si="18"/>
        <v>Потребность в контейнерах по данным субъекта 4158 шт. (10%)</v>
      </c>
      <c r="AB56" s="8" t="str">
        <f t="shared" si="19"/>
        <v>43/39/4 (10%)</v>
      </c>
    </row>
    <row r="57" spans="2:28">
      <c r="B57" s="12" t="s">
        <v>45</v>
      </c>
      <c r="C57" s="20">
        <f t="shared" si="8"/>
        <v>0</v>
      </c>
      <c r="D57" s="24">
        <f t="shared" si="20"/>
        <v>0</v>
      </c>
      <c r="E57" s="20">
        <f t="shared" si="9"/>
        <v>0</v>
      </c>
      <c r="F57" s="20">
        <f t="shared" si="21"/>
        <v>0</v>
      </c>
      <c r="G57" s="20">
        <f t="shared" si="22"/>
        <v>0</v>
      </c>
      <c r="H57" s="21">
        <v>1818093</v>
      </c>
      <c r="I57" s="54">
        <v>38248</v>
      </c>
      <c r="J57" s="54"/>
      <c r="K57" s="55">
        <v>38747</v>
      </c>
      <c r="L57" s="54">
        <v>4634</v>
      </c>
      <c r="M57" s="21">
        <f t="shared" si="11"/>
        <v>38747</v>
      </c>
      <c r="N57" s="22">
        <f t="shared" si="24"/>
        <v>21.037427678342087</v>
      </c>
      <c r="O57" s="22">
        <f t="shared" si="12"/>
        <v>21.311891085879545</v>
      </c>
      <c r="P57" s="22">
        <f t="shared" si="4"/>
        <v>21.311891085879545</v>
      </c>
      <c r="Q57" s="21">
        <f t="shared" si="13"/>
        <v>42882</v>
      </c>
      <c r="R57" s="23">
        <f t="shared" si="14"/>
        <v>0.10806398955272609</v>
      </c>
      <c r="S57" s="23">
        <f t="shared" si="25"/>
        <v>0.98712158360647273</v>
      </c>
      <c r="T57" s="9" t="str">
        <f t="shared" si="15"/>
        <v>Контейнеры: 38248 по ФГИС УТКО / 38747 по ТС</v>
      </c>
      <c r="U57" s="9" t="str">
        <f t="shared" si="27"/>
        <v>Наполнение ФГИС УТКО 99%</v>
      </c>
      <c r="V57" s="25" t="str">
        <f t="shared" si="26"/>
        <v>Аномальные данные территориальной схемы</v>
      </c>
      <c r="X57" s="9">
        <f t="shared" si="28"/>
        <v>0.98187757792954222</v>
      </c>
      <c r="Y57" s="9" t="str">
        <f t="shared" si="16"/>
        <v xml:space="preserve">ниже </v>
      </c>
      <c r="Z57" s="9" t="str">
        <f t="shared" si="17"/>
        <v>Обеспеченность контейнерами ниже среднего по России на 98%</v>
      </c>
      <c r="AA57" s="9" t="str">
        <f t="shared" si="18"/>
        <v>Потребность в контейнерах по данным субъекта 4634 шт. (11%)</v>
      </c>
      <c r="AB57" s="8" t="str">
        <f t="shared" si="19"/>
        <v>43/38/5 (11%)</v>
      </c>
    </row>
    <row r="58" spans="2:28">
      <c r="B58" s="12" t="s">
        <v>46</v>
      </c>
      <c r="C58" s="20">
        <f t="shared" si="8"/>
        <v>1</v>
      </c>
      <c r="D58" s="24">
        <f t="shared" si="20"/>
        <v>1</v>
      </c>
      <c r="E58" s="20">
        <f t="shared" si="9"/>
        <v>0</v>
      </c>
      <c r="F58" s="20">
        <f t="shared" si="21"/>
        <v>0</v>
      </c>
      <c r="G58" s="20">
        <f t="shared" si="22"/>
        <v>1</v>
      </c>
      <c r="H58" s="21">
        <v>1828656</v>
      </c>
      <c r="I58" s="54">
        <v>29484</v>
      </c>
      <c r="J58" s="54"/>
      <c r="K58" s="55">
        <v>22117</v>
      </c>
      <c r="L58" s="54">
        <v>6191</v>
      </c>
      <c r="M58" s="21">
        <f t="shared" si="11"/>
        <v>29484</v>
      </c>
      <c r="N58" s="22">
        <f t="shared" si="24"/>
        <v>16.123316796598157</v>
      </c>
      <c r="O58" s="22">
        <f t="shared" si="12"/>
        <v>12.094674996281421</v>
      </c>
      <c r="P58" s="22">
        <f t="shared" si="4"/>
        <v>16.123316796598157</v>
      </c>
      <c r="Q58" s="21">
        <f t="shared" si="13"/>
        <v>35675</v>
      </c>
      <c r="R58" s="23">
        <f t="shared" si="14"/>
        <v>0.17353889278206028</v>
      </c>
      <c r="S58" s="23">
        <f t="shared" si="25"/>
        <v>1</v>
      </c>
      <c r="T58" s="9" t="str">
        <f t="shared" si="15"/>
        <v>Контейнеры: 29484 по ФГИС УТКО / 22117 по ТС</v>
      </c>
      <c r="U58" s="9" t="str">
        <f t="shared" si="27"/>
        <v>Наполнение ФГИС УТКО более 100%</v>
      </c>
      <c r="V58" s="25" t="str">
        <f t="shared" si="26"/>
        <v>Аномальные данные территориальной схемы</v>
      </c>
      <c r="X58" s="9">
        <f t="shared" si="28"/>
        <v>0.98492333829197376</v>
      </c>
      <c r="Y58" s="9" t="str">
        <f t="shared" si="16"/>
        <v xml:space="preserve">ниже </v>
      </c>
      <c r="Z58" s="9" t="str">
        <f t="shared" si="17"/>
        <v>Обеспеченность контейнерами ниже среднего по России на 98%</v>
      </c>
      <c r="AA58" s="9" t="str">
        <f t="shared" si="18"/>
        <v>Потребность в контейнерах по данным субъекта 6191 шт. (17%)</v>
      </c>
      <c r="AB58" s="8" t="str">
        <f t="shared" si="19"/>
        <v>36/29/6 (17%)</v>
      </c>
    </row>
    <row r="59" spans="2:28">
      <c r="B59" s="12" t="s">
        <v>47</v>
      </c>
      <c r="C59" s="20">
        <f t="shared" si="8"/>
        <v>0</v>
      </c>
      <c r="D59" s="24">
        <f t="shared" si="20"/>
        <v>0</v>
      </c>
      <c r="E59" s="20">
        <f t="shared" si="9"/>
        <v>0</v>
      </c>
      <c r="F59" s="20">
        <f t="shared" si="21"/>
        <v>0</v>
      </c>
      <c r="G59" s="20">
        <f t="shared" si="22"/>
        <v>0</v>
      </c>
      <c r="H59" s="21">
        <v>692486</v>
      </c>
      <c r="I59" s="54">
        <v>19433</v>
      </c>
      <c r="J59" s="54"/>
      <c r="K59" s="55">
        <v>18429</v>
      </c>
      <c r="L59" s="54">
        <v>159</v>
      </c>
      <c r="M59" s="21">
        <f t="shared" si="11"/>
        <v>19433</v>
      </c>
      <c r="N59" s="22">
        <f t="shared" si="24"/>
        <v>28.062661194594547</v>
      </c>
      <c r="O59" s="22">
        <f t="shared" si="12"/>
        <v>26.612812388986924</v>
      </c>
      <c r="P59" s="22">
        <f t="shared" si="4"/>
        <v>28.062661194594547</v>
      </c>
      <c r="Q59" s="21">
        <f t="shared" si="13"/>
        <v>19592</v>
      </c>
      <c r="R59" s="23">
        <f t="shared" si="14"/>
        <v>8.1155573703552471E-3</v>
      </c>
      <c r="S59" s="23">
        <f t="shared" si="25"/>
        <v>1</v>
      </c>
      <c r="T59" s="9" t="str">
        <f t="shared" si="15"/>
        <v>Контейнеры: 19433 по ФГИС УТКО / 18429 по ТС</v>
      </c>
      <c r="U59" s="9" t="str">
        <f t="shared" si="27"/>
        <v>Наполнение ФГИС УТКО более 100%</v>
      </c>
      <c r="V59" s="25" t="str">
        <f t="shared" si="26"/>
        <v>Аномальные данные территориальной схемы</v>
      </c>
      <c r="X59" s="9">
        <f t="shared" si="28"/>
        <v>0.99172019744404627</v>
      </c>
      <c r="Y59" s="9" t="str">
        <f t="shared" si="16"/>
        <v xml:space="preserve">ниже </v>
      </c>
      <c r="Z59" s="9" t="str">
        <f t="shared" si="17"/>
        <v>Обеспеченность контейнерами ниже среднего по России на 99%</v>
      </c>
      <c r="AA59" s="9" t="str">
        <f t="shared" si="18"/>
        <v>Потребность в контейнерах по данным субъекта 159 шт. (1%)</v>
      </c>
      <c r="AB59" s="8" t="str">
        <f t="shared" si="19"/>
        <v>20/19/0 (1%)</v>
      </c>
    </row>
    <row r="60" spans="2:28">
      <c r="B60" s="12" t="s">
        <v>48</v>
      </c>
      <c r="C60" s="20">
        <f t="shared" si="8"/>
        <v>1</v>
      </c>
      <c r="D60" s="24">
        <f t="shared" si="20"/>
        <v>1</v>
      </c>
      <c r="E60" s="20">
        <f t="shared" si="9"/>
        <v>0</v>
      </c>
      <c r="F60" s="20">
        <f t="shared" si="21"/>
        <v>1</v>
      </c>
      <c r="G60" s="20">
        <f t="shared" si="22"/>
        <v>1</v>
      </c>
      <c r="H60" s="21">
        <v>1236113</v>
      </c>
      <c r="I60" s="54">
        <v>16381</v>
      </c>
      <c r="J60" s="54"/>
      <c r="K60" s="55">
        <v>19101</v>
      </c>
      <c r="L60" s="54">
        <v>3551</v>
      </c>
      <c r="M60" s="21">
        <f t="shared" si="11"/>
        <v>19101</v>
      </c>
      <c r="N60" s="22">
        <f t="shared" si="24"/>
        <v>13.252024693535299</v>
      </c>
      <c r="O60" s="22">
        <f t="shared" si="12"/>
        <v>15.45247076925815</v>
      </c>
      <c r="P60" s="22">
        <f t="shared" si="4"/>
        <v>15.45247076925815</v>
      </c>
      <c r="Q60" s="21">
        <f t="shared" si="13"/>
        <v>19932</v>
      </c>
      <c r="R60" s="23">
        <f t="shared" si="14"/>
        <v>0.17815572948023278</v>
      </c>
      <c r="S60" s="23">
        <f t="shared" si="25"/>
        <v>0.85759907858227313</v>
      </c>
      <c r="T60" s="9" t="str">
        <f t="shared" si="15"/>
        <v>Контейнеры: 16381 по ФГИС УТКО / 19101 по ТС</v>
      </c>
      <c r="U60" s="9" t="str">
        <f t="shared" si="27"/>
        <v>Наполнение ФГИС УТКО 86%</v>
      </c>
      <c r="V60" s="25" t="str">
        <f t="shared" si="26"/>
        <v>Аномальные данные территориальной схемы</v>
      </c>
      <c r="X60" s="9">
        <f t="shared" si="28"/>
        <v>0.99157650956792209</v>
      </c>
      <c r="Y60" s="9" t="str">
        <f t="shared" si="16"/>
        <v xml:space="preserve">ниже </v>
      </c>
      <c r="Z60" s="9" t="str">
        <f t="shared" si="17"/>
        <v>Обеспеченность контейнерами ниже среднего по России на 99%</v>
      </c>
      <c r="AA60" s="9" t="str">
        <f t="shared" si="18"/>
        <v>Потребность в контейнерах по данным субъекта 3551 шт. (18%)</v>
      </c>
      <c r="AB60" s="8" t="str">
        <f t="shared" si="19"/>
        <v>20/16/4 (18%)</v>
      </c>
    </row>
    <row r="61" spans="2:28">
      <c r="B61" s="12" t="s">
        <v>49</v>
      </c>
      <c r="C61" s="20">
        <f t="shared" si="8"/>
        <v>1</v>
      </c>
      <c r="D61" s="24">
        <f t="shared" si="20"/>
        <v>1</v>
      </c>
      <c r="E61" s="20">
        <f t="shared" si="9"/>
        <v>0</v>
      </c>
      <c r="F61" s="20">
        <f t="shared" si="21"/>
        <v>0</v>
      </c>
      <c r="G61" s="20">
        <f t="shared" si="22"/>
        <v>1</v>
      </c>
      <c r="H61" s="21">
        <v>2495266</v>
      </c>
      <c r="I61" s="54">
        <v>45020</v>
      </c>
      <c r="J61" s="54"/>
      <c r="K61" s="55">
        <v>33890</v>
      </c>
      <c r="L61" s="54">
        <v>16956</v>
      </c>
      <c r="M61" s="21">
        <f t="shared" si="11"/>
        <v>45020</v>
      </c>
      <c r="N61" s="22">
        <f t="shared" si="24"/>
        <v>18.042164642967926</v>
      </c>
      <c r="O61" s="22">
        <f t="shared" si="12"/>
        <v>13.581718341852131</v>
      </c>
      <c r="P61" s="22">
        <f t="shared" si="4"/>
        <v>18.042164642967926</v>
      </c>
      <c r="Q61" s="21">
        <f t="shared" si="13"/>
        <v>61976</v>
      </c>
      <c r="R61" s="23">
        <f t="shared" si="14"/>
        <v>0.27358977668775009</v>
      </c>
      <c r="S61" s="23">
        <f t="shared" si="25"/>
        <v>1</v>
      </c>
      <c r="T61" s="9" t="str">
        <f t="shared" si="15"/>
        <v>Контейнеры: 45020 по ФГИС УТКО / 33890 по ТС</v>
      </c>
      <c r="U61" s="9" t="str">
        <f t="shared" si="27"/>
        <v>Наполнение ФГИС УТКО более 100%</v>
      </c>
      <c r="V61" s="25" t="str">
        <f t="shared" si="26"/>
        <v>Аномальные данные территориальной схемы</v>
      </c>
      <c r="X61" s="9">
        <f t="shared" si="28"/>
        <v>0.97380823585097032</v>
      </c>
      <c r="Y61" s="9" t="str">
        <f t="shared" si="16"/>
        <v xml:space="preserve">ниже </v>
      </c>
      <c r="Z61" s="9" t="str">
        <f t="shared" si="17"/>
        <v>Обеспеченность контейнерами ниже среднего по России на 97%</v>
      </c>
      <c r="AA61" s="9" t="str">
        <f t="shared" si="18"/>
        <v>Потребность в контейнерах по данным субъекта 16956 шт. (27%)</v>
      </c>
      <c r="AB61" s="8" t="str">
        <f t="shared" si="19"/>
        <v>62/45/17 (27%)</v>
      </c>
    </row>
    <row r="62" spans="2:28">
      <c r="B62" s="12" t="s">
        <v>50</v>
      </c>
      <c r="C62" s="20">
        <f t="shared" si="8"/>
        <v>2</v>
      </c>
      <c r="D62" s="24">
        <f t="shared" si="20"/>
        <v>2</v>
      </c>
      <c r="E62" s="20">
        <f t="shared" si="9"/>
        <v>0</v>
      </c>
      <c r="F62" s="20">
        <f t="shared" si="21"/>
        <v>2</v>
      </c>
      <c r="G62" s="20">
        <f t="shared" si="22"/>
        <v>2</v>
      </c>
      <c r="H62" s="21">
        <v>1806393</v>
      </c>
      <c r="I62" s="54">
        <v>9423</v>
      </c>
      <c r="J62" s="54"/>
      <c r="K62" s="55">
        <v>61549</v>
      </c>
      <c r="L62" s="54">
        <v>39637</v>
      </c>
      <c r="M62" s="21">
        <f t="shared" si="11"/>
        <v>61549</v>
      </c>
      <c r="N62" s="22">
        <f t="shared" si="24"/>
        <v>5.2164728273415584</v>
      </c>
      <c r="O62" s="22">
        <f t="shared" si="12"/>
        <v>34.07287340019586</v>
      </c>
      <c r="P62" s="22">
        <f t="shared" si="4"/>
        <v>34.07287340019586</v>
      </c>
      <c r="Q62" s="21">
        <f t="shared" si="13"/>
        <v>49060</v>
      </c>
      <c r="R62" s="23">
        <f t="shared" si="14"/>
        <v>0.80792906644924578</v>
      </c>
      <c r="S62" s="23">
        <f t="shared" si="25"/>
        <v>0.15309753204763685</v>
      </c>
      <c r="T62" s="9" t="str">
        <f t="shared" si="15"/>
        <v>Контейнеры: 9423 по ФГИС УТКО / 61549 по ТС</v>
      </c>
      <c r="U62" s="9" t="str">
        <f t="shared" si="27"/>
        <v>Наполнение ФГИС УТКО 15%</v>
      </c>
      <c r="V62" s="25" t="str">
        <f t="shared" si="26"/>
        <v>Аномальные данные территориальной схемы</v>
      </c>
      <c r="X62" s="9">
        <f t="shared" si="28"/>
        <v>0.97926668469808642</v>
      </c>
      <c r="Y62" s="9" t="str">
        <f t="shared" si="16"/>
        <v xml:space="preserve">ниже </v>
      </c>
      <c r="Z62" s="9" t="str">
        <f t="shared" si="17"/>
        <v>Обеспеченность контейнерами ниже среднего по России на 98%</v>
      </c>
      <c r="AA62" s="9" t="str">
        <f t="shared" si="18"/>
        <v>Потребность в контейнерах по данным субъекта 39637 шт. (81%)</v>
      </c>
      <c r="AB62" s="8" t="str">
        <f t="shared" si="19"/>
        <v>49/9/40 (81%)</v>
      </c>
    </row>
    <row r="63" spans="2:28">
      <c r="B63" s="12" t="s">
        <v>51</v>
      </c>
      <c r="C63" s="20">
        <f t="shared" si="8"/>
        <v>1</v>
      </c>
      <c r="D63" s="24">
        <f t="shared" si="20"/>
        <v>1</v>
      </c>
      <c r="E63" s="20">
        <f t="shared" si="9"/>
        <v>0</v>
      </c>
      <c r="F63" s="20">
        <f t="shared" si="21"/>
        <v>2</v>
      </c>
      <c r="G63" s="20">
        <f t="shared" si="22"/>
        <v>1</v>
      </c>
      <c r="H63" s="21">
        <v>581147</v>
      </c>
      <c r="I63" s="54">
        <v>7218</v>
      </c>
      <c r="J63" s="54"/>
      <c r="K63" s="55">
        <v>9469</v>
      </c>
      <c r="L63" s="54">
        <v>2329</v>
      </c>
      <c r="M63" s="21">
        <f t="shared" si="11"/>
        <v>9469</v>
      </c>
      <c r="N63" s="22">
        <f t="shared" si="24"/>
        <v>12.420265440585601</v>
      </c>
      <c r="O63" s="22">
        <f t="shared" si="12"/>
        <v>16.293639991258669</v>
      </c>
      <c r="P63" s="22">
        <f t="shared" si="4"/>
        <v>16.293639991258669</v>
      </c>
      <c r="Q63" s="21">
        <f t="shared" si="13"/>
        <v>9547</v>
      </c>
      <c r="R63" s="23">
        <f t="shared" si="14"/>
        <v>0.24395097936524562</v>
      </c>
      <c r="S63" s="23">
        <f t="shared" si="25"/>
        <v>0.76227690358010347</v>
      </c>
      <c r="T63" s="9" t="str">
        <f t="shared" si="15"/>
        <v>Контейнеры: 7218 по ФГИС УТКО / 9469 по ТС</v>
      </c>
      <c r="U63" s="9" t="str">
        <f t="shared" si="27"/>
        <v>Наполнение ФГИС УТКО 76%</v>
      </c>
      <c r="V63" s="25" t="str">
        <f t="shared" si="26"/>
        <v>Аномальные данные территориальной схемы</v>
      </c>
      <c r="X63" s="9">
        <f t="shared" si="28"/>
        <v>0.99596532896071399</v>
      </c>
      <c r="Y63" s="9" t="str">
        <f t="shared" si="16"/>
        <v xml:space="preserve">ниже </v>
      </c>
      <c r="Z63" s="9" t="str">
        <f t="shared" si="17"/>
        <v>Обеспеченность контейнерами ниже среднего по России на 100%</v>
      </c>
      <c r="AA63" s="9" t="str">
        <f t="shared" si="18"/>
        <v>Потребность в контейнерах по данным субъекта 2329 шт. (24%)</v>
      </c>
      <c r="AB63" s="8" t="str">
        <f t="shared" si="19"/>
        <v>10/7/2 (24%)</v>
      </c>
    </row>
    <row r="64" spans="2:28">
      <c r="B64" s="12" t="s">
        <v>52</v>
      </c>
      <c r="C64" s="20">
        <f t="shared" si="8"/>
        <v>2</v>
      </c>
      <c r="D64" s="24">
        <f t="shared" si="20"/>
        <v>2</v>
      </c>
      <c r="E64" s="20">
        <f t="shared" si="9"/>
        <v>0</v>
      </c>
      <c r="F64" s="20">
        <f t="shared" si="21"/>
        <v>2</v>
      </c>
      <c r="G64" s="20">
        <f t="shared" si="22"/>
        <v>2</v>
      </c>
      <c r="H64" s="21">
        <v>500591</v>
      </c>
      <c r="I64" s="54">
        <v>3611</v>
      </c>
      <c r="J64" s="54"/>
      <c r="K64" s="55">
        <v>6856</v>
      </c>
      <c r="L64" s="54">
        <v>4302</v>
      </c>
      <c r="M64" s="21">
        <f t="shared" si="11"/>
        <v>6856</v>
      </c>
      <c r="N64" s="22">
        <f t="shared" si="24"/>
        <v>7.2134736741171936</v>
      </c>
      <c r="O64" s="22">
        <f t="shared" si="12"/>
        <v>13.695811550747019</v>
      </c>
      <c r="P64" s="22">
        <f t="shared" si="4"/>
        <v>13.695811550747019</v>
      </c>
      <c r="Q64" s="21">
        <f t="shared" si="13"/>
        <v>7913</v>
      </c>
      <c r="R64" s="23">
        <f t="shared" si="14"/>
        <v>0.54366232781498802</v>
      </c>
      <c r="S64" s="23">
        <f t="shared" si="25"/>
        <v>0.52669194865810964</v>
      </c>
      <c r="T64" s="9" t="str">
        <f t="shared" si="15"/>
        <v>Контейнеры: 3611 по ФГИС УТКО / 6856 по ТС</v>
      </c>
      <c r="U64" s="9" t="str">
        <f t="shared" si="27"/>
        <v>Наполнение ФГИС УТКО 53%</v>
      </c>
      <c r="V64" s="25" t="str">
        <f t="shared" si="26"/>
        <v>Аномальные данные территориальной схемы</v>
      </c>
      <c r="X64" s="9">
        <f t="shared" si="28"/>
        <v>0.9966558759889107</v>
      </c>
      <c r="Y64" s="9" t="str">
        <f t="shared" si="16"/>
        <v xml:space="preserve">ниже </v>
      </c>
      <c r="Z64" s="9" t="str">
        <f t="shared" si="17"/>
        <v>Обеспеченность контейнерами ниже среднего по России на 100%</v>
      </c>
      <c r="AA64" s="9" t="str">
        <f t="shared" si="18"/>
        <v>Потребность в контейнерах по данным субъекта 4302 шт. (54%)</v>
      </c>
      <c r="AB64" s="8" t="str">
        <f t="shared" si="19"/>
        <v>8/4/4 (54%)</v>
      </c>
    </row>
    <row r="65" spans="2:28">
      <c r="B65" s="12" t="s">
        <v>53</v>
      </c>
      <c r="C65" s="20">
        <f t="shared" si="8"/>
        <v>1</v>
      </c>
      <c r="D65" s="24">
        <f t="shared" si="20"/>
        <v>1</v>
      </c>
      <c r="E65" s="20">
        <f t="shared" si="9"/>
        <v>0</v>
      </c>
      <c r="F65" s="20">
        <f t="shared" si="21"/>
        <v>2</v>
      </c>
      <c r="G65" s="20">
        <f t="shared" si="22"/>
        <v>1</v>
      </c>
      <c r="H65" s="21">
        <v>210765</v>
      </c>
      <c r="I65" s="54">
        <v>2829</v>
      </c>
      <c r="J65" s="54"/>
      <c r="K65" s="55">
        <v>4936</v>
      </c>
      <c r="L65" s="54">
        <v>700</v>
      </c>
      <c r="M65" s="21">
        <f t="shared" si="11"/>
        <v>4936</v>
      </c>
      <c r="N65" s="22">
        <f t="shared" si="24"/>
        <v>13.422532204113587</v>
      </c>
      <c r="O65" s="22">
        <f t="shared" si="12"/>
        <v>23.419448200602567</v>
      </c>
      <c r="P65" s="22">
        <f t="shared" si="4"/>
        <v>23.419448200602567</v>
      </c>
      <c r="Q65" s="21">
        <f t="shared" si="13"/>
        <v>3529</v>
      </c>
      <c r="R65" s="23">
        <f t="shared" si="14"/>
        <v>0.19835647492207426</v>
      </c>
      <c r="S65" s="23">
        <f t="shared" si="25"/>
        <v>0.57313614262560775</v>
      </c>
      <c r="T65" s="9" t="str">
        <f t="shared" si="15"/>
        <v>Контейнеры: 2829 по ФГИС УТКО / 4936 по ТС</v>
      </c>
      <c r="U65" s="9" t="str">
        <f t="shared" si="27"/>
        <v>Наполнение ФГИС УТКО 57%</v>
      </c>
      <c r="V65" s="25" t="str">
        <f t="shared" si="26"/>
        <v>Аномальные данные территориальной схемы</v>
      </c>
      <c r="X65" s="9">
        <f t="shared" si="28"/>
        <v>0.9985086043681114</v>
      </c>
      <c r="Y65" s="9" t="str">
        <f t="shared" si="16"/>
        <v xml:space="preserve">ниже </v>
      </c>
      <c r="Z65" s="9" t="str">
        <f t="shared" si="17"/>
        <v>Обеспеченность контейнерами ниже среднего по России на 100%</v>
      </c>
      <c r="AA65" s="9" t="str">
        <f t="shared" si="18"/>
        <v>Потребность в контейнерах по данным субъекта 700 шт. (20%)</v>
      </c>
      <c r="AB65" s="8" t="str">
        <f t="shared" si="19"/>
        <v>4/3/1 (20%)</v>
      </c>
    </row>
    <row r="66" spans="2:28">
      <c r="B66" s="12" t="s">
        <v>3</v>
      </c>
      <c r="C66" s="20">
        <f t="shared" si="8"/>
        <v>0</v>
      </c>
      <c r="D66" s="24">
        <f t="shared" si="20"/>
        <v>0</v>
      </c>
      <c r="E66" s="20">
        <f t="shared" si="9"/>
        <v>0</v>
      </c>
      <c r="F66" s="20">
        <f t="shared" si="21"/>
        <v>0</v>
      </c>
      <c r="G66" s="20">
        <f t="shared" si="22"/>
        <v>0</v>
      </c>
      <c r="H66" s="21">
        <v>4064361</v>
      </c>
      <c r="I66" s="54">
        <v>103522</v>
      </c>
      <c r="J66" s="54"/>
      <c r="K66" s="55">
        <v>88879</v>
      </c>
      <c r="L66" s="54">
        <v>10195</v>
      </c>
      <c r="M66" s="21">
        <f t="shared" si="11"/>
        <v>103522</v>
      </c>
      <c r="N66" s="22">
        <f t="shared" si="24"/>
        <v>25.470670543290815</v>
      </c>
      <c r="O66" s="22">
        <f t="shared" si="12"/>
        <v>21.867890180030759</v>
      </c>
      <c r="P66" s="22">
        <f t="shared" si="4"/>
        <v>25.470670543290815</v>
      </c>
      <c r="Q66" s="21">
        <f t="shared" si="13"/>
        <v>113717</v>
      </c>
      <c r="R66" s="23">
        <f t="shared" si="14"/>
        <v>8.9652382669257888E-2</v>
      </c>
      <c r="S66" s="23">
        <f t="shared" si="25"/>
        <v>1</v>
      </c>
      <c r="T66" s="9" t="str">
        <f t="shared" si="15"/>
        <v>Контейнеры: 103522 по ФГИС УТКО / 88879 по ТС</v>
      </c>
      <c r="U66" s="9" t="str">
        <f t="shared" si="27"/>
        <v>Наполнение ФГИС УТКО более 100%</v>
      </c>
      <c r="V66" s="25" t="str">
        <f t="shared" si="26"/>
        <v>Аномальные данные территориальной схемы</v>
      </c>
      <c r="X66" s="9">
        <f t="shared" si="28"/>
        <v>0.95194189938467777</v>
      </c>
      <c r="Y66" s="9" t="str">
        <f t="shared" si="16"/>
        <v xml:space="preserve">ниже </v>
      </c>
      <c r="Z66" s="9" t="str">
        <f t="shared" si="17"/>
        <v>Обеспеченность контейнерами ниже среднего по России на 95%</v>
      </c>
      <c r="AA66" s="9" t="str">
        <f t="shared" si="18"/>
        <v>Потребность в контейнерах по данным субъекта 10195 шт. (9%)</v>
      </c>
      <c r="AB66" s="8" t="str">
        <f t="shared" si="19"/>
        <v>114/104/10 (9%)</v>
      </c>
    </row>
    <row r="67" spans="2:28">
      <c r="B67" s="12" t="s">
        <v>54</v>
      </c>
      <c r="C67" s="20">
        <f t="shared" si="8"/>
        <v>2</v>
      </c>
      <c r="D67" s="24">
        <f t="shared" si="20"/>
        <v>2</v>
      </c>
      <c r="E67" s="20">
        <f t="shared" si="9"/>
        <v>2</v>
      </c>
      <c r="F67" s="20">
        <f t="shared" si="21"/>
        <v>0</v>
      </c>
      <c r="G67" s="20">
        <f t="shared" si="22"/>
        <v>2</v>
      </c>
      <c r="H67" s="21">
        <v>971922</v>
      </c>
      <c r="I67" s="54">
        <v>7328</v>
      </c>
      <c r="J67" s="54"/>
      <c r="K67" s="55">
        <v>7110</v>
      </c>
      <c r="L67" s="54">
        <v>0</v>
      </c>
      <c r="M67" s="21">
        <f t="shared" si="11"/>
        <v>7328</v>
      </c>
      <c r="N67" s="22">
        <f t="shared" si="24"/>
        <v>7.5396996878350322</v>
      </c>
      <c r="O67" s="22">
        <f t="shared" si="12"/>
        <v>7.3154018532351364</v>
      </c>
      <c r="P67" s="22">
        <f t="shared" si="4"/>
        <v>7.5396996878350322</v>
      </c>
      <c r="Q67" s="21">
        <f t="shared" si="13"/>
        <v>7328</v>
      </c>
      <c r="R67" s="23">
        <f t="shared" si="14"/>
        <v>0</v>
      </c>
      <c r="S67" s="23">
        <f t="shared" si="25"/>
        <v>1</v>
      </c>
      <c r="T67" s="9" t="str">
        <f t="shared" si="15"/>
        <v>Контейнеры: 7328 по ФГИС УТКО / 7110 по ТС</v>
      </c>
      <c r="U67" s="9" t="str">
        <f t="shared" si="27"/>
        <v>Наполнение ФГИС УТКО более 100%</v>
      </c>
      <c r="V67" s="25" t="str">
        <f t="shared" si="26"/>
        <v>Аномальные данные территориальной схемы</v>
      </c>
      <c r="X67" s="9">
        <f t="shared" si="28"/>
        <v>0.99690310365812429</v>
      </c>
      <c r="Y67" s="9" t="str">
        <f t="shared" si="16"/>
        <v xml:space="preserve">ниже </v>
      </c>
      <c r="Z67" s="9" t="str">
        <f t="shared" si="17"/>
        <v>Обеспеченность контейнерами ниже среднего по России на 100%</v>
      </c>
      <c r="AA67" s="9" t="str">
        <f t="shared" si="18"/>
        <v>Потребность в КП не представлена</v>
      </c>
      <c r="AB67" s="8" t="str">
        <f t="shared" si="19"/>
        <v>7/7/0 (0%)</v>
      </c>
    </row>
    <row r="68" spans="2:28">
      <c r="B68" s="12" t="s">
        <v>55</v>
      </c>
      <c r="C68" s="20">
        <f t="shared" si="8"/>
        <v>2</v>
      </c>
      <c r="D68" s="24">
        <f t="shared" si="20"/>
        <v>2</v>
      </c>
      <c r="E68" s="20">
        <f t="shared" si="9"/>
        <v>2</v>
      </c>
      <c r="F68" s="20">
        <f t="shared" si="21"/>
        <v>0</v>
      </c>
      <c r="G68" s="20">
        <f t="shared" si="22"/>
        <v>2</v>
      </c>
      <c r="H68" s="21">
        <v>3232224</v>
      </c>
      <c r="I68" s="54">
        <v>18260</v>
      </c>
      <c r="J68" s="54"/>
      <c r="K68" s="55">
        <v>5315</v>
      </c>
      <c r="L68" s="54">
        <v>0</v>
      </c>
      <c r="M68" s="21">
        <f t="shared" si="11"/>
        <v>18260</v>
      </c>
      <c r="N68" s="22">
        <f t="shared" si="24"/>
        <v>5.6493609353807166</v>
      </c>
      <c r="O68" s="22">
        <f t="shared" si="12"/>
        <v>1.6443786074232478</v>
      </c>
      <c r="P68" s="22">
        <f t="shared" si="4"/>
        <v>5.6493609353807166</v>
      </c>
      <c r="Q68" s="21">
        <f t="shared" si="13"/>
        <v>18260</v>
      </c>
      <c r="R68" s="23">
        <f t="shared" si="14"/>
        <v>0</v>
      </c>
      <c r="S68" s="23">
        <f t="shared" si="25"/>
        <v>1</v>
      </c>
      <c r="T68" s="9" t="str">
        <f t="shared" si="15"/>
        <v>Контейнеры: 18260 по ФГИС УТКО / 5315 по ТС</v>
      </c>
      <c r="U68" s="9" t="str">
        <f t="shared" si="27"/>
        <v>Наполнение ФГИС УТКО более 100%</v>
      </c>
      <c r="V68" s="25" t="str">
        <f t="shared" si="26"/>
        <v>Аномальные данные территориальной схемы</v>
      </c>
      <c r="X68" s="9">
        <f t="shared" si="28"/>
        <v>0.9922831158293326</v>
      </c>
      <c r="Y68" s="9" t="str">
        <f t="shared" si="16"/>
        <v xml:space="preserve">ниже </v>
      </c>
      <c r="Z68" s="9" t="str">
        <f t="shared" si="17"/>
        <v>Обеспеченность контейнерами ниже среднего по России на 99%</v>
      </c>
      <c r="AA68" s="9" t="str">
        <f t="shared" si="18"/>
        <v>Потребность в КП не представлена</v>
      </c>
      <c r="AB68" s="8" t="str">
        <f t="shared" si="19"/>
        <v>18/18/0 (0%)</v>
      </c>
    </row>
    <row r="69" spans="2:28">
      <c r="B69" s="12" t="s">
        <v>56</v>
      </c>
      <c r="C69" s="20">
        <f t="shared" si="8"/>
        <v>2</v>
      </c>
      <c r="D69" s="24">
        <f t="shared" si="20"/>
        <v>2</v>
      </c>
      <c r="E69" s="20">
        <f t="shared" si="9"/>
        <v>2</v>
      </c>
      <c r="F69" s="20">
        <f t="shared" si="21"/>
        <v>2</v>
      </c>
      <c r="G69" s="20">
        <f t="shared" si="22"/>
        <v>2</v>
      </c>
      <c r="H69" s="21">
        <v>527220</v>
      </c>
      <c r="I69" s="54">
        <v>319</v>
      </c>
      <c r="J69" s="54"/>
      <c r="K69" s="55">
        <v>1395</v>
      </c>
      <c r="L69" s="54">
        <v>0</v>
      </c>
      <c r="M69" s="21">
        <f t="shared" si="11"/>
        <v>1395</v>
      </c>
      <c r="N69" s="22">
        <f t="shared" si="24"/>
        <v>0.60506050605060513</v>
      </c>
      <c r="O69" s="22">
        <f t="shared" si="12"/>
        <v>2.6459542505974736</v>
      </c>
      <c r="P69" s="22">
        <f t="shared" si="4"/>
        <v>2.6459542505974736</v>
      </c>
      <c r="Q69" s="21">
        <f t="shared" si="13"/>
        <v>319</v>
      </c>
      <c r="R69" s="23">
        <f t="shared" si="14"/>
        <v>0</v>
      </c>
      <c r="S69" s="23">
        <f t="shared" si="25"/>
        <v>0.22867383512544803</v>
      </c>
      <c r="T69" s="9" t="str">
        <f t="shared" si="15"/>
        <v>Контейнеры: 319 по ФГИС УТКО / 1395 по ТС</v>
      </c>
      <c r="U69" s="9" t="str">
        <f t="shared" si="27"/>
        <v>Наполнение ФГИС УТКО 23%</v>
      </c>
      <c r="V69" s="25" t="str">
        <f t="shared" si="26"/>
        <v>Аномальные данные территориальной схемы</v>
      </c>
      <c r="X69" s="9">
        <f t="shared" si="28"/>
        <v>0.99986518696328353</v>
      </c>
      <c r="Y69" s="9" t="str">
        <f t="shared" si="16"/>
        <v xml:space="preserve">ниже </v>
      </c>
      <c r="Z69" s="9" t="str">
        <f t="shared" si="17"/>
        <v>Обеспеченность контейнерами ниже среднего по России на 100%</v>
      </c>
      <c r="AA69" s="9" t="str">
        <f t="shared" si="18"/>
        <v>Потребность в КП не представлена</v>
      </c>
      <c r="AB69" s="8" t="str">
        <f t="shared" si="19"/>
        <v>0/0/0 (0%)</v>
      </c>
    </row>
    <row r="70" spans="2:28">
      <c r="B70" s="12" t="s">
        <v>57</v>
      </c>
      <c r="C70" s="20">
        <f t="shared" si="8"/>
        <v>1</v>
      </c>
      <c r="D70" s="24">
        <f t="shared" si="20"/>
        <v>1</v>
      </c>
      <c r="E70" s="20">
        <f t="shared" si="9"/>
        <v>2</v>
      </c>
      <c r="F70" s="20">
        <f t="shared" si="21"/>
        <v>0</v>
      </c>
      <c r="G70" s="20">
        <f t="shared" si="22"/>
        <v>1</v>
      </c>
      <c r="H70" s="21">
        <v>266770</v>
      </c>
      <c r="I70" s="54">
        <v>2375</v>
      </c>
      <c r="J70" s="54"/>
      <c r="K70" s="55">
        <v>1795</v>
      </c>
      <c r="L70" s="54">
        <v>819</v>
      </c>
      <c r="M70" s="21">
        <f t="shared" si="11"/>
        <v>2375</v>
      </c>
      <c r="N70" s="22">
        <f t="shared" si="24"/>
        <v>8.9028001649360888</v>
      </c>
      <c r="O70" s="22">
        <f t="shared" si="12"/>
        <v>6.7286426509727475</v>
      </c>
      <c r="P70" s="22">
        <f t="shared" si="4"/>
        <v>8.9028001649360888</v>
      </c>
      <c r="Q70" s="21">
        <f t="shared" si="13"/>
        <v>3194</v>
      </c>
      <c r="R70" s="23">
        <f t="shared" si="14"/>
        <v>0.25641828428303071</v>
      </c>
      <c r="S70" s="23">
        <f t="shared" si="25"/>
        <v>1</v>
      </c>
      <c r="T70" s="9" t="str">
        <f t="shared" si="15"/>
        <v>Контейнеры: 2375 по ФГИС УТКО / 1795 по ТС</v>
      </c>
      <c r="U70" s="9" t="str">
        <f t="shared" si="27"/>
        <v>Наполнение ФГИС УТКО более 100%</v>
      </c>
      <c r="V70" s="25" t="str">
        <f t="shared" si="26"/>
        <v>Аномальные данные территориальной схемы</v>
      </c>
      <c r="X70" s="9">
        <f t="shared" si="28"/>
        <v>0.99865017918723376</v>
      </c>
      <c r="Y70" s="9" t="str">
        <f t="shared" si="16"/>
        <v xml:space="preserve">ниже </v>
      </c>
      <c r="Z70" s="9" t="str">
        <f t="shared" si="17"/>
        <v>Обеспеченность контейнерами ниже среднего по России на 100%</v>
      </c>
      <c r="AA70" s="9" t="str">
        <f t="shared" si="18"/>
        <v>Потребность в контейнерах по данным субъекта 819 шт. (26%)</v>
      </c>
      <c r="AB70" s="8" t="str">
        <f t="shared" si="19"/>
        <v>3/2/1 (26%)</v>
      </c>
    </row>
    <row r="71" spans="2:28">
      <c r="B71" s="12" t="s">
        <v>58</v>
      </c>
      <c r="C71" s="20">
        <f t="shared" si="8"/>
        <v>2</v>
      </c>
      <c r="D71" s="24">
        <f t="shared" si="20"/>
        <v>2</v>
      </c>
      <c r="E71" s="20">
        <f t="shared" si="9"/>
        <v>0</v>
      </c>
      <c r="F71" s="20">
        <f t="shared" si="21"/>
        <v>2</v>
      </c>
      <c r="G71" s="20">
        <f t="shared" si="22"/>
        <v>2</v>
      </c>
      <c r="H71" s="21">
        <v>523856</v>
      </c>
      <c r="I71" s="54">
        <v>8628</v>
      </c>
      <c r="J71" s="54"/>
      <c r="K71" s="55">
        <v>12100</v>
      </c>
      <c r="L71" s="54">
        <v>0</v>
      </c>
      <c r="M71" s="21">
        <f t="shared" si="11"/>
        <v>12100</v>
      </c>
      <c r="N71" s="22">
        <f t="shared" si="24"/>
        <v>16.470175009926393</v>
      </c>
      <c r="O71" s="22">
        <f t="shared" si="12"/>
        <v>23.097950581839285</v>
      </c>
      <c r="P71" s="22">
        <f t="shared" si="4"/>
        <v>23.097950581839285</v>
      </c>
      <c r="Q71" s="21">
        <f t="shared" si="13"/>
        <v>8628</v>
      </c>
      <c r="R71" s="23">
        <f t="shared" si="14"/>
        <v>0</v>
      </c>
      <c r="S71" s="23">
        <f t="shared" si="25"/>
        <v>0.71305785123966947</v>
      </c>
      <c r="T71" s="9" t="str">
        <f t="shared" si="15"/>
        <v>Контейнеры: 8628 по ФГИС УТКО / 12100 по ТС</v>
      </c>
      <c r="U71" s="9" t="str">
        <f t="shared" si="27"/>
        <v>Наполнение ФГИС УТКО 71%</v>
      </c>
      <c r="V71" s="25" t="str">
        <f t="shared" si="26"/>
        <v>Аномальные данные территориальной схемы</v>
      </c>
      <c r="X71" s="9">
        <f t="shared" si="28"/>
        <v>0.99635370883764962</v>
      </c>
      <c r="Y71" s="9" t="str">
        <f t="shared" si="16"/>
        <v xml:space="preserve">ниже </v>
      </c>
      <c r="Z71" s="9" t="str">
        <f t="shared" si="17"/>
        <v>Обеспеченность контейнерами ниже среднего по России на 100%</v>
      </c>
      <c r="AA71" s="9" t="str">
        <f t="shared" si="18"/>
        <v>Потребность в КП не представлена</v>
      </c>
      <c r="AB71" s="8" t="str">
        <f t="shared" si="19"/>
        <v>9/9/0 (0%)</v>
      </c>
    </row>
    <row r="72" spans="2:28">
      <c r="B72" s="12" t="s">
        <v>59</v>
      </c>
      <c r="C72" s="20">
        <f t="shared" si="8"/>
        <v>0</v>
      </c>
      <c r="D72" s="24">
        <f t="shared" si="20"/>
        <v>0</v>
      </c>
      <c r="E72" s="20">
        <f t="shared" si="9"/>
        <v>0</v>
      </c>
      <c r="F72" s="20">
        <f t="shared" si="21"/>
        <v>0</v>
      </c>
      <c r="G72" s="20">
        <f t="shared" si="22"/>
        <v>0</v>
      </c>
      <c r="H72" s="21">
        <v>720610</v>
      </c>
      <c r="I72" s="54">
        <v>16588</v>
      </c>
      <c r="J72" s="54"/>
      <c r="K72" s="55">
        <v>14171</v>
      </c>
      <c r="L72" s="54">
        <v>1117</v>
      </c>
      <c r="M72" s="21">
        <f t="shared" si="11"/>
        <v>16588</v>
      </c>
      <c r="N72" s="22">
        <f t="shared" si="24"/>
        <v>23.019386353228516</v>
      </c>
      <c r="O72" s="22">
        <f t="shared" si="12"/>
        <v>19.665283579189854</v>
      </c>
      <c r="P72" s="22">
        <f t="shared" si="4"/>
        <v>23.019386353228516</v>
      </c>
      <c r="Q72" s="21">
        <f t="shared" si="13"/>
        <v>17705</v>
      </c>
      <c r="R72" s="23">
        <f t="shared" si="14"/>
        <v>6.3089522733691047E-2</v>
      </c>
      <c r="S72" s="23">
        <f t="shared" si="25"/>
        <v>1</v>
      </c>
      <c r="T72" s="9" t="str">
        <f t="shared" si="15"/>
        <v>Контейнеры: 16588 по ФГИС УТКО / 14171 по ТС</v>
      </c>
      <c r="U72" s="9" t="str">
        <f t="shared" si="27"/>
        <v>Наполнение ФГИС УТКО более 100%</v>
      </c>
      <c r="V72" s="25" t="str">
        <f t="shared" si="26"/>
        <v>Аномальные данные территориальной схемы</v>
      </c>
      <c r="X72" s="9">
        <f t="shared" si="28"/>
        <v>0.99251766515653528</v>
      </c>
      <c r="Y72" s="9" t="str">
        <f t="shared" si="16"/>
        <v xml:space="preserve">ниже </v>
      </c>
      <c r="Z72" s="9" t="str">
        <f t="shared" si="17"/>
        <v>Обеспеченность контейнерами ниже среднего по России на 99%</v>
      </c>
      <c r="AA72" s="9" t="str">
        <f t="shared" si="18"/>
        <v>Потребность в контейнерах по данным субъекта 1117 шт. (6%)</v>
      </c>
      <c r="AB72" s="8" t="str">
        <f t="shared" si="19"/>
        <v>18/17/1 (6%)</v>
      </c>
    </row>
    <row r="73" spans="2:28">
      <c r="B73" s="12" t="s">
        <v>60</v>
      </c>
      <c r="C73" s="20">
        <f t="shared" si="8"/>
        <v>0</v>
      </c>
      <c r="D73" s="24">
        <f t="shared" si="20"/>
        <v>0</v>
      </c>
      <c r="E73" s="20">
        <f t="shared" si="9"/>
        <v>0</v>
      </c>
      <c r="F73" s="20">
        <f t="shared" si="21"/>
        <v>0</v>
      </c>
      <c r="G73" s="20">
        <f t="shared" si="22"/>
        <v>0</v>
      </c>
      <c r="H73" s="21">
        <v>1909499</v>
      </c>
      <c r="I73" s="54">
        <v>25528</v>
      </c>
      <c r="J73" s="54"/>
      <c r="K73" s="55">
        <v>22908</v>
      </c>
      <c r="L73" s="54">
        <v>663</v>
      </c>
      <c r="M73" s="21">
        <f t="shared" si="11"/>
        <v>25528</v>
      </c>
      <c r="N73" s="22">
        <f t="shared" si="24"/>
        <v>13.368951751218512</v>
      </c>
      <c r="O73" s="22">
        <f t="shared" si="12"/>
        <v>11.996864098907619</v>
      </c>
      <c r="P73" s="22">
        <f t="shared" si="4"/>
        <v>13.368951751218512</v>
      </c>
      <c r="Q73" s="21">
        <f t="shared" si="13"/>
        <v>26191</v>
      </c>
      <c r="R73" s="23">
        <f t="shared" si="14"/>
        <v>2.531403917376198E-2</v>
      </c>
      <c r="S73" s="23">
        <f t="shared" si="25"/>
        <v>1</v>
      </c>
      <c r="T73" s="9" t="str">
        <f t="shared" si="15"/>
        <v>Контейнеры: 25528 по ФГИС УТКО / 22908 по ТС</v>
      </c>
      <c r="U73" s="9" t="str">
        <f t="shared" si="27"/>
        <v>Наполнение ФГИС УТКО более 100%</v>
      </c>
      <c r="V73" s="25" t="str">
        <f t="shared" si="26"/>
        <v>Аномальные данные территориальной схемы</v>
      </c>
      <c r="X73" s="9">
        <f t="shared" si="28"/>
        <v>0.98893138481303666</v>
      </c>
      <c r="Y73" s="9" t="str">
        <f t="shared" si="16"/>
        <v xml:space="preserve">ниже </v>
      </c>
      <c r="Z73" s="9" t="str">
        <f t="shared" si="17"/>
        <v>Обеспеченность контейнерами ниже среднего по России на 99%</v>
      </c>
      <c r="AA73" s="9" t="str">
        <f t="shared" si="18"/>
        <v>Потребность в контейнерах по данным субъекта 663 шт. (3%)</v>
      </c>
      <c r="AB73" s="8" t="str">
        <f t="shared" si="19"/>
        <v>26/26/1 (3%)</v>
      </c>
    </row>
    <row r="74" spans="2:28">
      <c r="B74" s="12" t="s">
        <v>61</v>
      </c>
      <c r="C74" s="20">
        <f t="shared" si="8"/>
        <v>0</v>
      </c>
      <c r="D74" s="24">
        <f t="shared" si="20"/>
        <v>0</v>
      </c>
      <c r="E74" s="20">
        <f t="shared" si="9"/>
        <v>0</v>
      </c>
      <c r="F74" s="20">
        <f t="shared" si="21"/>
        <v>0</v>
      </c>
      <c r="G74" s="20">
        <f t="shared" si="22"/>
        <v>0</v>
      </c>
      <c r="H74" s="21">
        <v>669854</v>
      </c>
      <c r="I74" s="54">
        <v>9210</v>
      </c>
      <c r="J74" s="54"/>
      <c r="K74" s="55">
        <v>10076</v>
      </c>
      <c r="L74" s="54">
        <v>174</v>
      </c>
      <c r="M74" s="21">
        <f t="shared" si="11"/>
        <v>10076</v>
      </c>
      <c r="N74" s="22">
        <f t="shared" si="24"/>
        <v>13.749264765157781</v>
      </c>
      <c r="O74" s="22">
        <f t="shared" si="12"/>
        <v>15.042083797364798</v>
      </c>
      <c r="P74" s="22">
        <f t="shared" si="4"/>
        <v>15.042083797364798</v>
      </c>
      <c r="Q74" s="21">
        <f t="shared" si="13"/>
        <v>9384</v>
      </c>
      <c r="R74" s="23">
        <f t="shared" si="14"/>
        <v>1.8542199488491048E-2</v>
      </c>
      <c r="S74" s="23">
        <f t="shared" si="25"/>
        <v>0.91405319571258437</v>
      </c>
      <c r="T74" s="9" t="str">
        <f t="shared" si="15"/>
        <v>Контейнеры: 9210 по ФГИС УТКО / 10076 по ТС</v>
      </c>
      <c r="U74" s="9" t="str">
        <f t="shared" si="27"/>
        <v>Наполнение ФГИС УТКО 91%</v>
      </c>
      <c r="V74" s="25" t="str">
        <f t="shared" si="26"/>
        <v>Аномальные данные территориальной схемы</v>
      </c>
      <c r="X74" s="9">
        <f t="shared" si="28"/>
        <v>0.99603421461897357</v>
      </c>
      <c r="Y74" s="9" t="str">
        <f t="shared" si="16"/>
        <v xml:space="preserve">ниже </v>
      </c>
      <c r="Z74" s="9" t="str">
        <f t="shared" si="17"/>
        <v>Обеспеченность контейнерами ниже среднего по России на 100%</v>
      </c>
      <c r="AA74" s="9" t="str">
        <f t="shared" si="18"/>
        <v>Потребность в контейнерах по данным субъекта 174 шт. (2%)</v>
      </c>
      <c r="AB74" s="8" t="str">
        <f t="shared" si="19"/>
        <v>9/9/0 (2%)</v>
      </c>
    </row>
    <row r="75" spans="2:28">
      <c r="B75" s="12" t="s">
        <v>62</v>
      </c>
      <c r="C75" s="20">
        <f t="shared" si="8"/>
        <v>2</v>
      </c>
      <c r="D75" s="24">
        <f t="shared" si="20"/>
        <v>2</v>
      </c>
      <c r="E75" s="20">
        <f t="shared" si="9"/>
        <v>0</v>
      </c>
      <c r="F75" s="20">
        <f t="shared" si="21"/>
        <v>1</v>
      </c>
      <c r="G75" s="20">
        <f t="shared" si="22"/>
        <v>2</v>
      </c>
      <c r="H75" s="21">
        <v>765891</v>
      </c>
      <c r="I75" s="54">
        <v>14766</v>
      </c>
      <c r="J75" s="54"/>
      <c r="K75" s="55">
        <v>16860</v>
      </c>
      <c r="L75" s="54">
        <v>0</v>
      </c>
      <c r="M75" s="21">
        <f t="shared" si="11"/>
        <v>16860</v>
      </c>
      <c r="N75" s="22">
        <f t="shared" si="24"/>
        <v>19.279505830464128</v>
      </c>
      <c r="O75" s="22">
        <f t="shared" si="12"/>
        <v>22.013576344414545</v>
      </c>
      <c r="P75" s="22">
        <f t="shared" si="4"/>
        <v>22.013576344414545</v>
      </c>
      <c r="Q75" s="21">
        <f t="shared" si="13"/>
        <v>14766</v>
      </c>
      <c r="R75" s="23">
        <f t="shared" si="14"/>
        <v>0</v>
      </c>
      <c r="S75" s="23">
        <f t="shared" si="25"/>
        <v>0.87580071174377228</v>
      </c>
      <c r="T75" s="9" t="str">
        <f t="shared" si="15"/>
        <v>Контейнеры: 14766 по ФГИС УТКО / 16860 по ТС</v>
      </c>
      <c r="U75" s="9" t="str">
        <f t="shared" si="27"/>
        <v>Наполнение ФГИС УТКО 88%</v>
      </c>
      <c r="V75" s="25" t="str">
        <f t="shared" si="26"/>
        <v>Аномальные данные территориальной схемы</v>
      </c>
      <c r="X75" s="9">
        <f t="shared" si="28"/>
        <v>0.99375972006220836</v>
      </c>
      <c r="Y75" s="9" t="str">
        <f t="shared" si="16"/>
        <v xml:space="preserve">ниже </v>
      </c>
      <c r="Z75" s="9" t="str">
        <f t="shared" si="17"/>
        <v>Обеспеченность контейнерами ниже среднего по России на 99%</v>
      </c>
      <c r="AA75" s="9" t="str">
        <f t="shared" si="18"/>
        <v>Потребность в КП не представлена</v>
      </c>
      <c r="AB75" s="8" t="str">
        <f t="shared" si="19"/>
        <v>15/15/0 (0%)</v>
      </c>
    </row>
    <row r="76" spans="2:28">
      <c r="B76" s="12" t="s">
        <v>63</v>
      </c>
      <c r="C76" s="20">
        <f t="shared" si="8"/>
        <v>2</v>
      </c>
      <c r="D76" s="24">
        <f t="shared" si="20"/>
        <v>2</v>
      </c>
      <c r="E76" s="20">
        <f t="shared" si="9"/>
        <v>0</v>
      </c>
      <c r="F76" s="20">
        <f t="shared" si="21"/>
        <v>2</v>
      </c>
      <c r="G76" s="20">
        <f t="shared" si="22"/>
        <v>2</v>
      </c>
      <c r="H76" s="21">
        <v>1001664</v>
      </c>
      <c r="I76" s="54">
        <v>10461</v>
      </c>
      <c r="J76" s="54"/>
      <c r="K76" s="55">
        <v>14286</v>
      </c>
      <c r="L76" s="54">
        <v>0</v>
      </c>
      <c r="M76" s="21">
        <f t="shared" si="11"/>
        <v>14286</v>
      </c>
      <c r="N76" s="22">
        <f t="shared" si="24"/>
        <v>10.443621813302665</v>
      </c>
      <c r="O76" s="22">
        <f t="shared" si="12"/>
        <v>14.262267586735673</v>
      </c>
      <c r="P76" s="22">
        <f t="shared" si="4"/>
        <v>14.262267586735673</v>
      </c>
      <c r="Q76" s="21">
        <f t="shared" si="13"/>
        <v>10461</v>
      </c>
      <c r="R76" s="23">
        <f t="shared" si="14"/>
        <v>0</v>
      </c>
      <c r="S76" s="23">
        <f t="shared" si="25"/>
        <v>0.73225535489290217</v>
      </c>
      <c r="T76" s="9" t="str">
        <f t="shared" si="15"/>
        <v>Контейнеры: 10461 по ФГИС УТКО / 14286 по ТС</v>
      </c>
      <c r="U76" s="9" t="str">
        <f t="shared" si="27"/>
        <v>Наполнение ФГИС УТКО 73%</v>
      </c>
      <c r="V76" s="25" t="str">
        <f t="shared" si="26"/>
        <v>Аномальные данные территориальной схемы</v>
      </c>
      <c r="X76" s="9">
        <f t="shared" si="28"/>
        <v>0.99557906214078029</v>
      </c>
      <c r="Y76" s="9" t="str">
        <f t="shared" si="16"/>
        <v xml:space="preserve">ниже </v>
      </c>
      <c r="Z76" s="9" t="str">
        <f t="shared" si="17"/>
        <v>Обеспеченность контейнерами ниже среднего по России на 100%</v>
      </c>
      <c r="AA76" s="9" t="str">
        <f t="shared" si="18"/>
        <v>Потребность в КП не представлена</v>
      </c>
      <c r="AB76" s="8" t="str">
        <f t="shared" si="19"/>
        <v>10/10/0 (0%)</v>
      </c>
    </row>
    <row r="77" spans="2:28">
      <c r="B77" s="12" t="s">
        <v>64</v>
      </c>
      <c r="C77" s="20">
        <f t="shared" si="8"/>
        <v>0</v>
      </c>
      <c r="D77" s="24">
        <f t="shared" si="20"/>
        <v>0</v>
      </c>
      <c r="E77" s="20">
        <f t="shared" si="9"/>
        <v>0</v>
      </c>
      <c r="F77" s="20">
        <f t="shared" si="21"/>
        <v>0</v>
      </c>
      <c r="G77" s="20">
        <f t="shared" si="22"/>
        <v>0</v>
      </c>
      <c r="H77" s="21">
        <v>678879</v>
      </c>
      <c r="I77" s="54">
        <v>6272</v>
      </c>
      <c r="J77" s="54"/>
      <c r="K77" s="55">
        <v>6035</v>
      </c>
      <c r="L77" s="54">
        <v>1020</v>
      </c>
      <c r="M77" s="21">
        <f t="shared" si="11"/>
        <v>6272</v>
      </c>
      <c r="N77" s="22">
        <f t="shared" si="24"/>
        <v>9.2387597789885962</v>
      </c>
      <c r="O77" s="22">
        <f t="shared" si="12"/>
        <v>8.8896548574930137</v>
      </c>
      <c r="P77" s="22">
        <f t="shared" si="4"/>
        <v>9.2387597789885962</v>
      </c>
      <c r="Q77" s="21">
        <f t="shared" si="13"/>
        <v>7292</v>
      </c>
      <c r="R77" s="23">
        <f t="shared" si="14"/>
        <v>0.1398793198025233</v>
      </c>
      <c r="S77" s="23">
        <f t="shared" si="25"/>
        <v>1</v>
      </c>
      <c r="T77" s="9" t="str">
        <f t="shared" si="15"/>
        <v>Контейнеры: 6272 по ФГИС УТКО / 6035 по ТС</v>
      </c>
      <c r="U77" s="9" t="str">
        <f t="shared" si="27"/>
        <v>Наполнение ФГИС УТКО более 100%</v>
      </c>
      <c r="V77" s="25" t="str">
        <f t="shared" si="26"/>
        <v>Аномальные данные территориальной схемы</v>
      </c>
      <c r="X77" s="9">
        <f t="shared" si="28"/>
        <v>0.99691831766853745</v>
      </c>
      <c r="Y77" s="9" t="str">
        <f t="shared" si="16"/>
        <v xml:space="preserve">ниже </v>
      </c>
      <c r="Z77" s="9" t="str">
        <f t="shared" si="17"/>
        <v>Обеспеченность контейнерами ниже среднего по России на 100%</v>
      </c>
      <c r="AA77" s="9" t="str">
        <f t="shared" si="18"/>
        <v>Потребность в контейнерах по данным субъекта 1020 шт. (14%)</v>
      </c>
      <c r="AB77" s="8" t="str">
        <f t="shared" si="19"/>
        <v>7/6/1 (14%)</v>
      </c>
    </row>
    <row r="78" spans="2:28">
      <c r="B78" s="12" t="s">
        <v>65</v>
      </c>
      <c r="C78" s="20">
        <f t="shared" si="8"/>
        <v>1</v>
      </c>
      <c r="D78" s="24">
        <f t="shared" si="20"/>
        <v>1</v>
      </c>
      <c r="E78" s="20">
        <f t="shared" si="9"/>
        <v>0</v>
      </c>
      <c r="F78" s="20">
        <f t="shared" si="21"/>
        <v>0</v>
      </c>
      <c r="G78" s="20">
        <f t="shared" si="22"/>
        <v>1</v>
      </c>
      <c r="H78" s="21">
        <v>4003016</v>
      </c>
      <c r="I78" s="54">
        <v>32765</v>
      </c>
      <c r="J78" s="54"/>
      <c r="K78" s="55">
        <v>34973</v>
      </c>
      <c r="L78" s="54">
        <v>11907</v>
      </c>
      <c r="M78" s="21">
        <f t="shared" si="11"/>
        <v>34973</v>
      </c>
      <c r="N78" s="22">
        <f t="shared" si="24"/>
        <v>8.1850784508480601</v>
      </c>
      <c r="O78" s="22">
        <f t="shared" si="12"/>
        <v>8.7366625564324494</v>
      </c>
      <c r="P78" s="22">
        <f t="shared" si="4"/>
        <v>8.7366625564324494</v>
      </c>
      <c r="Q78" s="21">
        <f t="shared" si="13"/>
        <v>44672</v>
      </c>
      <c r="R78" s="23">
        <f t="shared" si="14"/>
        <v>0.26654280085959886</v>
      </c>
      <c r="S78" s="23">
        <f t="shared" si="25"/>
        <v>0.9368655820204157</v>
      </c>
      <c r="T78" s="9" t="str">
        <f t="shared" si="15"/>
        <v>Контейнеры: 32765 по ФГИС УТКО / 34973 по ТС</v>
      </c>
      <c r="U78" s="9" t="str">
        <f t="shared" si="27"/>
        <v>Наполнение ФГИС УТКО 94%</v>
      </c>
      <c r="V78" s="25" t="str">
        <f t="shared" si="26"/>
        <v>Аномальные данные территориальной схемы</v>
      </c>
      <c r="X78" s="9">
        <f t="shared" si="28"/>
        <v>0.98112110352288862</v>
      </c>
      <c r="Y78" s="9" t="str">
        <f t="shared" si="16"/>
        <v xml:space="preserve">ниже </v>
      </c>
      <c r="Z78" s="9" t="str">
        <f t="shared" si="17"/>
        <v>Обеспеченность контейнерами ниже среднего по России на 98%</v>
      </c>
      <c r="AA78" s="9" t="str">
        <f t="shared" si="18"/>
        <v>Потребность в контейнерах по данным субъекта 11907 шт. (27%)</v>
      </c>
      <c r="AB78" s="8" t="str">
        <f t="shared" si="19"/>
        <v>45/33/12 (27%)</v>
      </c>
    </row>
    <row r="79" spans="2:28">
      <c r="B79" s="12" t="s">
        <v>66</v>
      </c>
      <c r="C79" s="20">
        <f t="shared" si="8"/>
        <v>2</v>
      </c>
      <c r="D79" s="24">
        <f t="shared" si="20"/>
        <v>2</v>
      </c>
      <c r="E79" s="20">
        <f t="shared" si="9"/>
        <v>2</v>
      </c>
      <c r="F79" s="20">
        <f t="shared" si="21"/>
        <v>2</v>
      </c>
      <c r="G79" s="20">
        <f t="shared" si="22"/>
        <v>2</v>
      </c>
      <c r="H79" s="21">
        <v>337544</v>
      </c>
      <c r="I79" s="54">
        <v>967</v>
      </c>
      <c r="J79" s="54"/>
      <c r="K79" s="55">
        <v>2500</v>
      </c>
      <c r="L79" s="54">
        <v>0</v>
      </c>
      <c r="M79" s="21">
        <f t="shared" si="11"/>
        <v>2500</v>
      </c>
      <c r="N79" s="22">
        <f t="shared" si="24"/>
        <v>2.8648116986229941</v>
      </c>
      <c r="O79" s="22">
        <f t="shared" si="12"/>
        <v>7.4064418268433148</v>
      </c>
      <c r="P79" s="22">
        <f t="shared" si="4"/>
        <v>7.4064418268433148</v>
      </c>
      <c r="Q79" s="21">
        <f t="shared" si="13"/>
        <v>967</v>
      </c>
      <c r="R79" s="23">
        <f t="shared" si="14"/>
        <v>0</v>
      </c>
      <c r="S79" s="23">
        <f t="shared" si="25"/>
        <v>0.38679999999999998</v>
      </c>
      <c r="T79" s="9" t="str">
        <f t="shared" si="15"/>
        <v>Контейнеры: 967 по ФГИС УТКО / 2500 по ТС</v>
      </c>
      <c r="U79" s="9" t="str">
        <f t="shared" si="27"/>
        <v>Наполнение ФГИС УТКО 39%</v>
      </c>
      <c r="V79" s="25" t="str">
        <f t="shared" si="26"/>
        <v>Аномальные данные территориальной схемы</v>
      </c>
      <c r="X79" s="9">
        <f t="shared" si="28"/>
        <v>0.99959133477584694</v>
      </c>
      <c r="Y79" s="9" t="str">
        <f t="shared" si="16"/>
        <v xml:space="preserve">ниже </v>
      </c>
      <c r="Z79" s="9" t="str">
        <f t="shared" si="17"/>
        <v>Обеспеченность контейнерами ниже среднего по России на 100%</v>
      </c>
      <c r="AA79" s="9" t="str">
        <f t="shared" si="18"/>
        <v>Потребность в КП не представлена</v>
      </c>
      <c r="AB79" s="8" t="str">
        <f t="shared" si="19"/>
        <v>1/1/0 (0%)</v>
      </c>
    </row>
    <row r="80" spans="2:28">
      <c r="B80" s="12" t="s">
        <v>67</v>
      </c>
      <c r="C80" s="20">
        <f t="shared" si="8"/>
        <v>2</v>
      </c>
      <c r="D80" s="24">
        <f t="shared" si="20"/>
        <v>2</v>
      </c>
      <c r="E80" s="20">
        <f t="shared" si="9"/>
        <v>0</v>
      </c>
      <c r="F80" s="20">
        <f t="shared" si="21"/>
        <v>2</v>
      </c>
      <c r="G80" s="20">
        <f t="shared" si="22"/>
        <v>2</v>
      </c>
      <c r="H80" s="21">
        <v>528175</v>
      </c>
      <c r="I80" s="54">
        <v>4867</v>
      </c>
      <c r="J80" s="54"/>
      <c r="K80" s="55">
        <v>10198</v>
      </c>
      <c r="L80" s="54">
        <v>5744</v>
      </c>
      <c r="M80" s="21">
        <f t="shared" si="11"/>
        <v>10198</v>
      </c>
      <c r="N80" s="22">
        <f t="shared" si="24"/>
        <v>9.2147488995124718</v>
      </c>
      <c r="O80" s="22">
        <f t="shared" si="12"/>
        <v>19.307994509395559</v>
      </c>
      <c r="P80" s="22">
        <f t="shared" si="4"/>
        <v>19.307994509395559</v>
      </c>
      <c r="Q80" s="21">
        <f t="shared" si="13"/>
        <v>10611</v>
      </c>
      <c r="R80" s="23">
        <f t="shared" si="14"/>
        <v>0.54132504005277537</v>
      </c>
      <c r="S80" s="23">
        <f t="shared" si="25"/>
        <v>0.47725044126299276</v>
      </c>
      <c r="T80" s="9" t="str">
        <f t="shared" si="15"/>
        <v>Контейнеры: 4867 по ФГИС УТКО / 10198 по ТС</v>
      </c>
      <c r="U80" s="9" t="str">
        <f t="shared" si="27"/>
        <v>Наполнение ФГИС УТКО 48%</v>
      </c>
      <c r="V80" s="25" t="str">
        <f t="shared" si="26"/>
        <v>Аномальные данные территориальной схемы</v>
      </c>
      <c r="X80" s="9">
        <f t="shared" si="28"/>
        <v>0.99551567043072553</v>
      </c>
      <c r="Y80" s="9" t="str">
        <f t="shared" si="16"/>
        <v xml:space="preserve">ниже </v>
      </c>
      <c r="Z80" s="9" t="str">
        <f t="shared" si="17"/>
        <v>Обеспеченность контейнерами ниже среднего по России на 100%</v>
      </c>
      <c r="AA80" s="9" t="str">
        <f t="shared" si="18"/>
        <v>Потребность в контейнерах по данным субъекта 5744 шт. (54%)</v>
      </c>
      <c r="AB80" s="8" t="str">
        <f t="shared" si="19"/>
        <v>11/5/6 (54%)</v>
      </c>
    </row>
    <row r="81" spans="2:28">
      <c r="B81" s="12" t="s">
        <v>68</v>
      </c>
      <c r="C81" s="20">
        <f t="shared" ref="C81:C104" si="29">IF(D81&gt;$D$8,2,IF(D81&gt;$D$9,1,0))</f>
        <v>0</v>
      </c>
      <c r="D81" s="24">
        <f t="shared" si="20"/>
        <v>0</v>
      </c>
      <c r="E81" s="20">
        <f t="shared" ref="E81:E104" si="30">IF(O81&lt;$O$7,2,IF(Q81&lt;$O$9,1,0))</f>
        <v>0</v>
      </c>
      <c r="F81" s="20">
        <f t="shared" si="21"/>
        <v>1</v>
      </c>
      <c r="G81" s="20">
        <f t="shared" si="22"/>
        <v>0</v>
      </c>
      <c r="H81" s="21">
        <v>4152518</v>
      </c>
      <c r="I81" s="54">
        <v>44330</v>
      </c>
      <c r="J81" s="54"/>
      <c r="K81" s="55">
        <v>51754</v>
      </c>
      <c r="L81" s="54">
        <v>4141</v>
      </c>
      <c r="M81" s="21">
        <f t="shared" si="11"/>
        <v>51754</v>
      </c>
      <c r="N81" s="22">
        <f t="shared" si="24"/>
        <v>10.675450413459977</v>
      </c>
      <c r="O81" s="22">
        <f t="shared" si="12"/>
        <v>12.463281315096046</v>
      </c>
      <c r="P81" s="22">
        <f t="shared" si="4"/>
        <v>12.463281315096046</v>
      </c>
      <c r="Q81" s="21">
        <f t="shared" ref="Q81:Q104" si="31">I81+L81</f>
        <v>48471</v>
      </c>
      <c r="R81" s="23">
        <f t="shared" ref="R81:R104" si="32">L81/(I81+L81)</f>
        <v>8.5432526665428818E-2</v>
      </c>
      <c r="S81" s="23">
        <f t="shared" si="25"/>
        <v>0.85655215055841094</v>
      </c>
      <c r="T81" s="9" t="str">
        <f t="shared" si="15"/>
        <v>Контейнеры: 44330 по ФГИС УТКО / 51754 по ТС</v>
      </c>
      <c r="U81" s="9" t="str">
        <f t="shared" si="27"/>
        <v>Наполнение ФГИС УТКО 86%</v>
      </c>
      <c r="V81" s="25" t="str">
        <f t="shared" si="26"/>
        <v>Аномальные данные территориальной схемы</v>
      </c>
      <c r="X81" s="9">
        <f t="shared" si="28"/>
        <v>0.97951560281290151</v>
      </c>
      <c r="Y81" s="9" t="str">
        <f t="shared" si="16"/>
        <v xml:space="preserve">ниже </v>
      </c>
      <c r="Z81" s="9" t="str">
        <f t="shared" si="17"/>
        <v>Обеспеченность контейнерами ниже среднего по России на 98%</v>
      </c>
      <c r="AA81" s="9" t="str">
        <f t="shared" si="18"/>
        <v>Потребность в контейнерах по данным субъекта 4141 шт. (9%)</v>
      </c>
      <c r="AB81" s="8" t="str">
        <f t="shared" ref="AB81:AB104" si="33">_xlfn.TEXTJOIN(,0,ROUND((I81+L81)/1000,0),"/",ROUND(I81/1000,0),"/",ROUND(L81/1000,0)," (",TEXT(R81,"0%"),")")</f>
        <v>48/44/4 (9%)</v>
      </c>
    </row>
    <row r="82" spans="2:28">
      <c r="B82" s="12" t="s">
        <v>69</v>
      </c>
      <c r="C82" s="20">
        <f t="shared" si="29"/>
        <v>1</v>
      </c>
      <c r="D82" s="24">
        <f t="shared" si="20"/>
        <v>1</v>
      </c>
      <c r="E82" s="20">
        <f t="shared" si="30"/>
        <v>0</v>
      </c>
      <c r="F82" s="20">
        <f t="shared" si="21"/>
        <v>0</v>
      </c>
      <c r="G82" s="20">
        <f t="shared" si="22"/>
        <v>1</v>
      </c>
      <c r="H82" s="21">
        <v>1082231</v>
      </c>
      <c r="I82" s="54">
        <v>25841</v>
      </c>
      <c r="J82" s="54"/>
      <c r="K82" s="55">
        <v>23532</v>
      </c>
      <c r="L82" s="54">
        <v>6889</v>
      </c>
      <c r="M82" s="21">
        <f t="shared" si="11"/>
        <v>25841</v>
      </c>
      <c r="N82" s="22">
        <f t="shared" ref="N82:N104" si="34">I82/$H82*1000</f>
        <v>23.877527071392336</v>
      </c>
      <c r="O82" s="22">
        <f t="shared" si="12"/>
        <v>21.743971481134803</v>
      </c>
      <c r="P82" s="22">
        <f t="shared" si="4"/>
        <v>23.877527071392336</v>
      </c>
      <c r="Q82" s="21">
        <f t="shared" si="31"/>
        <v>32730</v>
      </c>
      <c r="R82" s="23">
        <f t="shared" si="32"/>
        <v>0.21047968224870151</v>
      </c>
      <c r="S82" s="23">
        <f t="shared" ref="S82:S104" si="35">I82/MAX(I82,K82)</f>
        <v>1</v>
      </c>
      <c r="T82" s="9" t="str">
        <f t="shared" si="15"/>
        <v>Контейнеры: 25841 по ФГИС УТКО / 23532 по ТС</v>
      </c>
      <c r="U82" s="9" t="str">
        <f t="shared" si="27"/>
        <v>Наполнение ФГИС УТКО более 100%</v>
      </c>
      <c r="V82" s="25" t="str">
        <f t="shared" si="26"/>
        <v>Аномальные данные территориальной схемы</v>
      </c>
      <c r="X82" s="9">
        <f t="shared" si="28"/>
        <v>0.98616792886604909</v>
      </c>
      <c r="Y82" s="9" t="str">
        <f t="shared" si="16"/>
        <v xml:space="preserve">ниже </v>
      </c>
      <c r="Z82" s="9" t="str">
        <f t="shared" si="17"/>
        <v>Обеспеченность контейнерами ниже среднего по России на 99%</v>
      </c>
      <c r="AA82" s="9" t="str">
        <f t="shared" si="18"/>
        <v>Потребность в контейнерах по данным субъекта 6889 шт. (21%)</v>
      </c>
      <c r="AB82" s="8" t="str">
        <f t="shared" si="33"/>
        <v>33/26/7 (21%)</v>
      </c>
    </row>
    <row r="83" spans="2:28">
      <c r="B83" s="12" t="s">
        <v>70</v>
      </c>
      <c r="C83" s="20">
        <f t="shared" si="29"/>
        <v>2</v>
      </c>
      <c r="D83" s="24">
        <f t="shared" si="20"/>
        <v>2</v>
      </c>
      <c r="E83" s="20">
        <f t="shared" si="30"/>
        <v>0</v>
      </c>
      <c r="F83" s="20">
        <f t="shared" si="21"/>
        <v>2</v>
      </c>
      <c r="G83" s="20">
        <f t="shared" si="22"/>
        <v>2</v>
      </c>
      <c r="H83" s="21">
        <v>3127842</v>
      </c>
      <c r="I83" s="54">
        <v>43181</v>
      </c>
      <c r="J83" s="54"/>
      <c r="K83" s="55">
        <v>55224</v>
      </c>
      <c r="L83" s="54">
        <v>0</v>
      </c>
      <c r="M83" s="21">
        <f t="shared" si="11"/>
        <v>55224</v>
      </c>
      <c r="N83" s="22">
        <f t="shared" si="34"/>
        <v>13.805364848991733</v>
      </c>
      <c r="O83" s="22">
        <f t="shared" si="12"/>
        <v>17.655623269973354</v>
      </c>
      <c r="P83" s="22">
        <f t="shared" ref="P83" si="36">MAX(N83,O83)</f>
        <v>17.655623269973354</v>
      </c>
      <c r="Q83" s="21">
        <f t="shared" si="31"/>
        <v>43181</v>
      </c>
      <c r="R83" s="23">
        <f t="shared" si="32"/>
        <v>0</v>
      </c>
      <c r="S83" s="23">
        <f t="shared" si="35"/>
        <v>0.78192452556859338</v>
      </c>
      <c r="T83" s="9" t="str">
        <f t="shared" si="15"/>
        <v>Контейнеры: 43181 по ФГИС УТКО / 55224 по ТС</v>
      </c>
      <c r="U83" s="9" t="str">
        <f t="shared" ref="U83:U104" si="37">_xlfn.TEXTJOIN(,0,"Наполнение ФГИС УТКО"," ",IF(I83&lt;=K83,TEXT(S83,"0%"),"более 100%"))</f>
        <v>Наполнение ФГИС УТКО 78%</v>
      </c>
      <c r="V83" s="25" t="str">
        <f t="shared" si="26"/>
        <v>Аномальные данные территориальной схемы</v>
      </c>
      <c r="X83" s="9">
        <f t="shared" ref="X83:X104" si="38">IF(Q83&gt;=$Q$15,Q83/$Q$15-1,1-Q83/$Q$15)</f>
        <v>0.98175121712083302</v>
      </c>
      <c r="Y83" s="9" t="str">
        <f t="shared" si="16"/>
        <v xml:space="preserve">ниже </v>
      </c>
      <c r="Z83" s="9" t="str">
        <f t="shared" si="17"/>
        <v>Обеспеченность контейнерами ниже среднего по России на 98%</v>
      </c>
      <c r="AA83" s="9" t="str">
        <f t="shared" si="18"/>
        <v>Потребность в КП не представлена</v>
      </c>
      <c r="AB83" s="8" t="str">
        <f t="shared" si="33"/>
        <v>43/43/0 (0%)</v>
      </c>
    </row>
    <row r="84" spans="2:28">
      <c r="B84" s="12" t="s">
        <v>71</v>
      </c>
      <c r="C84" s="20">
        <f t="shared" si="29"/>
        <v>1</v>
      </c>
      <c r="D84" s="24">
        <f t="shared" si="20"/>
        <v>1</v>
      </c>
      <c r="E84" s="20">
        <f t="shared" si="30"/>
        <v>0</v>
      </c>
      <c r="F84" s="20">
        <f t="shared" si="21"/>
        <v>1</v>
      </c>
      <c r="G84" s="20">
        <f t="shared" si="22"/>
        <v>1</v>
      </c>
      <c r="H84" s="21">
        <v>2385163</v>
      </c>
      <c r="I84" s="54">
        <v>25836</v>
      </c>
      <c r="J84" s="54"/>
      <c r="K84" s="55">
        <v>31548</v>
      </c>
      <c r="L84" s="54">
        <v>6435</v>
      </c>
      <c r="M84" s="21">
        <f t="shared" ref="M84:M104" si="39">MAX(I84,K84)</f>
        <v>31548</v>
      </c>
      <c r="N84" s="22">
        <f t="shared" si="34"/>
        <v>10.831964104759297</v>
      </c>
      <c r="O84" s="22">
        <f t="shared" ref="O84:O104" si="40">K84/$H84*1000</f>
        <v>13.226768988115277</v>
      </c>
      <c r="P84" s="22">
        <f>MAX(N84,O84)</f>
        <v>13.226768988115277</v>
      </c>
      <c r="Q84" s="21">
        <f t="shared" si="31"/>
        <v>32271</v>
      </c>
      <c r="R84" s="23">
        <f t="shared" si="32"/>
        <v>0.1994050385795296</v>
      </c>
      <c r="S84" s="23">
        <f t="shared" si="35"/>
        <v>0.81894256371243823</v>
      </c>
      <c r="T84" s="9" t="str">
        <f t="shared" ref="T84:T104" si="41">_xlfn.TEXTJOIN(,0,"Контейнеры: ",I84," по ФГИС УТКО / ",K84," по ТС")</f>
        <v>Контейнеры: 25836 по ФГИС УТКО / 31548 по ТС</v>
      </c>
      <c r="U84" s="9" t="str">
        <f t="shared" si="37"/>
        <v>Наполнение ФГИС УТКО 82%</v>
      </c>
      <c r="V84" s="25" t="str">
        <f t="shared" si="26"/>
        <v>Аномальные данные территориальной схемы</v>
      </c>
      <c r="X84" s="9">
        <f t="shared" si="38"/>
        <v>0.98636190749881669</v>
      </c>
      <c r="Y84" s="9" t="str">
        <f t="shared" ref="Y84:Y104" si="42">IF(Q84&gt;=$Q$15,"выше ","ниже ")</f>
        <v xml:space="preserve">ниже </v>
      </c>
      <c r="Z84" s="9" t="str">
        <f t="shared" ref="Z84:Z104" si="43">_xlfn.TEXTJOIN(,0,"Обеспеченность контейнерами ",Y84,"среднего по России на ",TEXT(X84,"0%"))</f>
        <v>Обеспеченность контейнерами ниже среднего по России на 99%</v>
      </c>
      <c r="AA84" s="9" t="str">
        <f t="shared" ref="AA84:AA104" si="44">IF(L84&gt;0,_xlfn.TEXTJOIN(,0,"Потребность в контейнерах по данным субъекта ",L84," шт. (",TEXT(R84,"0%"),")"),"Потребность в КП не представлена")</f>
        <v>Потребность в контейнерах по данным субъекта 6435 шт. (20%)</v>
      </c>
      <c r="AB84" s="8" t="str">
        <f t="shared" si="33"/>
        <v>32/26/6 (20%)</v>
      </c>
    </row>
    <row r="85" spans="2:28">
      <c r="B85" s="12" t="s">
        <v>72</v>
      </c>
      <c r="C85" s="20">
        <f t="shared" si="29"/>
        <v>0</v>
      </c>
      <c r="D85" s="24">
        <f t="shared" si="20"/>
        <v>0</v>
      </c>
      <c r="E85" s="20">
        <f t="shared" si="30"/>
        <v>0</v>
      </c>
      <c r="F85" s="20">
        <f t="shared" si="21"/>
        <v>0</v>
      </c>
      <c r="G85" s="20">
        <f t="shared" si="22"/>
        <v>0</v>
      </c>
      <c r="H85" s="21">
        <v>457590</v>
      </c>
      <c r="I85" s="54">
        <v>9937</v>
      </c>
      <c r="J85" s="54"/>
      <c r="K85" s="55">
        <v>10256</v>
      </c>
      <c r="L85" s="54">
        <v>608</v>
      </c>
      <c r="M85" s="21">
        <f t="shared" si="39"/>
        <v>10256</v>
      </c>
      <c r="N85" s="22">
        <f t="shared" si="34"/>
        <v>21.715946589741908</v>
      </c>
      <c r="O85" s="22">
        <f t="shared" si="40"/>
        <v>22.413077208855089</v>
      </c>
      <c r="P85" s="22">
        <f t="shared" ref="P85:P104" si="45">MAX(N85,O85)</f>
        <v>22.413077208855089</v>
      </c>
      <c r="Q85" s="21">
        <f t="shared" si="31"/>
        <v>10545</v>
      </c>
      <c r="R85" s="23">
        <f t="shared" si="32"/>
        <v>5.7657657657657659E-2</v>
      </c>
      <c r="S85" s="23">
        <f t="shared" si="35"/>
        <v>0.96889625585023398</v>
      </c>
      <c r="T85" s="9" t="str">
        <f t="shared" si="41"/>
        <v>Контейнеры: 9937 по ФГИС УТКО / 10256 по ТС</v>
      </c>
      <c r="U85" s="9" t="str">
        <f t="shared" si="37"/>
        <v>Наполнение ФГИС УТКО 97%</v>
      </c>
      <c r="V85" s="25" t="str">
        <f t="shared" si="26"/>
        <v>Аномальные данные территориальной схемы</v>
      </c>
      <c r="X85" s="9">
        <f t="shared" si="38"/>
        <v>0.99554356278314959</v>
      </c>
      <c r="Y85" s="9" t="str">
        <f t="shared" si="42"/>
        <v xml:space="preserve">ниже </v>
      </c>
      <c r="Z85" s="9" t="str">
        <f t="shared" si="43"/>
        <v>Обеспеченность контейнерами ниже среднего по России на 100%</v>
      </c>
      <c r="AA85" s="9" t="str">
        <f t="shared" si="44"/>
        <v>Потребность в контейнерах по данным субъекта 608 шт. (6%)</v>
      </c>
      <c r="AB85" s="8" t="str">
        <f t="shared" si="33"/>
        <v>11/10/1 (6%)</v>
      </c>
    </row>
    <row r="86" spans="2:28">
      <c r="B86" s="12" t="s">
        <v>73</v>
      </c>
      <c r="C86" s="20">
        <f t="shared" si="29"/>
        <v>0</v>
      </c>
      <c r="D86" s="24">
        <f t="shared" si="20"/>
        <v>0</v>
      </c>
      <c r="E86" s="20">
        <f t="shared" si="30"/>
        <v>0</v>
      </c>
      <c r="F86" s="20">
        <f t="shared" si="21"/>
        <v>2</v>
      </c>
      <c r="G86" s="20">
        <f t="shared" si="22"/>
        <v>0</v>
      </c>
      <c r="H86" s="21">
        <v>4222695</v>
      </c>
      <c r="I86" s="54">
        <v>90015</v>
      </c>
      <c r="J86" s="54"/>
      <c r="K86" s="55">
        <v>117708</v>
      </c>
      <c r="L86" s="54">
        <v>8871</v>
      </c>
      <c r="M86" s="21">
        <f t="shared" si="39"/>
        <v>117708</v>
      </c>
      <c r="N86" s="22">
        <f t="shared" si="34"/>
        <v>21.316955167256928</v>
      </c>
      <c r="O86" s="22">
        <f t="shared" si="40"/>
        <v>27.875089249874783</v>
      </c>
      <c r="P86" s="22">
        <f t="shared" si="45"/>
        <v>27.875089249874783</v>
      </c>
      <c r="Q86" s="21">
        <f t="shared" si="31"/>
        <v>98886</v>
      </c>
      <c r="R86" s="23">
        <f t="shared" si="32"/>
        <v>8.9709362295977188E-2</v>
      </c>
      <c r="S86" s="23">
        <f t="shared" si="35"/>
        <v>0.76473136915077988</v>
      </c>
      <c r="T86" s="9" t="str">
        <f t="shared" si="41"/>
        <v>Контейнеры: 90015 по ФГИС УТКО / 117708 по ТС</v>
      </c>
      <c r="U86" s="9" t="str">
        <f t="shared" si="37"/>
        <v>Наполнение ФГИС УТКО 76%</v>
      </c>
      <c r="V86" s="25" t="str">
        <f t="shared" si="26"/>
        <v>Аномальные данные территориальной схемы</v>
      </c>
      <c r="X86" s="9">
        <f t="shared" si="38"/>
        <v>0.95820964906349315</v>
      </c>
      <c r="Y86" s="9" t="str">
        <f t="shared" si="42"/>
        <v xml:space="preserve">ниже </v>
      </c>
      <c r="Z86" s="9" t="str">
        <f t="shared" si="43"/>
        <v>Обеспеченность контейнерами ниже среднего по России на 96%</v>
      </c>
      <c r="AA86" s="9" t="str">
        <f t="shared" si="44"/>
        <v>Потребность в контейнерах по данным субъекта 8871 шт. (9%)</v>
      </c>
      <c r="AB86" s="8" t="str">
        <f t="shared" si="33"/>
        <v>99/90/9 (9%)</v>
      </c>
    </row>
    <row r="87" spans="2:28">
      <c r="B87" s="12" t="s">
        <v>74</v>
      </c>
      <c r="C87" s="20">
        <f t="shared" si="29"/>
        <v>1</v>
      </c>
      <c r="D87" s="24">
        <f t="shared" si="20"/>
        <v>1</v>
      </c>
      <c r="E87" s="20">
        <f t="shared" si="30"/>
        <v>0</v>
      </c>
      <c r="F87" s="20">
        <f t="shared" si="21"/>
        <v>2</v>
      </c>
      <c r="G87" s="20">
        <f t="shared" si="22"/>
        <v>1</v>
      </c>
      <c r="H87" s="21">
        <v>863987</v>
      </c>
      <c r="I87" s="54">
        <v>12460</v>
      </c>
      <c r="J87" s="54"/>
      <c r="K87" s="55">
        <v>18510</v>
      </c>
      <c r="L87" s="54">
        <v>4272</v>
      </c>
      <c r="M87" s="21">
        <f t="shared" si="39"/>
        <v>18510</v>
      </c>
      <c r="N87" s="22">
        <f t="shared" si="34"/>
        <v>14.421513286658248</v>
      </c>
      <c r="O87" s="22">
        <f t="shared" si="40"/>
        <v>21.423933461961813</v>
      </c>
      <c r="P87" s="22">
        <f t="shared" si="45"/>
        <v>21.423933461961813</v>
      </c>
      <c r="Q87" s="21">
        <f t="shared" si="31"/>
        <v>16732</v>
      </c>
      <c r="R87" s="23">
        <f t="shared" si="32"/>
        <v>0.25531914893617019</v>
      </c>
      <c r="S87" s="23">
        <f t="shared" si="35"/>
        <v>0.67314964883846573</v>
      </c>
      <c r="T87" s="9" t="str">
        <f t="shared" si="41"/>
        <v>Контейнеры: 12460 по ФГИС УТКО / 18510 по ТС</v>
      </c>
      <c r="U87" s="9" t="str">
        <f t="shared" si="37"/>
        <v>Наполнение ФГИС УТКО 67%</v>
      </c>
      <c r="V87" s="25" t="str">
        <f t="shared" si="26"/>
        <v>Аномальные данные территориальной схемы</v>
      </c>
      <c r="X87" s="9">
        <f t="shared" si="38"/>
        <v>0.99292886604909059</v>
      </c>
      <c r="Y87" s="9" t="str">
        <f t="shared" si="42"/>
        <v xml:space="preserve">ниже </v>
      </c>
      <c r="Z87" s="9" t="str">
        <f t="shared" si="43"/>
        <v>Обеспеченность контейнерами ниже среднего по России на 99%</v>
      </c>
      <c r="AA87" s="9" t="str">
        <f t="shared" si="44"/>
        <v>Потребность в контейнерах по данным субъекта 4272 шт. (26%)</v>
      </c>
      <c r="AB87" s="8" t="str">
        <f t="shared" si="33"/>
        <v>17/12/4 (26%)</v>
      </c>
    </row>
    <row r="88" spans="2:28">
      <c r="B88" s="12" t="s">
        <v>75</v>
      </c>
      <c r="C88" s="20">
        <f t="shared" si="29"/>
        <v>1</v>
      </c>
      <c r="D88" s="24">
        <f t="shared" si="20"/>
        <v>1</v>
      </c>
      <c r="E88" s="20">
        <f t="shared" si="30"/>
        <v>0</v>
      </c>
      <c r="F88" s="20">
        <f t="shared" si="21"/>
        <v>2</v>
      </c>
      <c r="G88" s="20">
        <f t="shared" si="22"/>
        <v>1</v>
      </c>
      <c r="H88" s="21">
        <v>2886108</v>
      </c>
      <c r="I88" s="54">
        <v>19550</v>
      </c>
      <c r="J88" s="54"/>
      <c r="K88" s="55">
        <v>26698</v>
      </c>
      <c r="L88" s="54">
        <v>3810</v>
      </c>
      <c r="M88" s="21">
        <f t="shared" si="39"/>
        <v>26698</v>
      </c>
      <c r="N88" s="22">
        <f t="shared" si="34"/>
        <v>6.7738282836262531</v>
      </c>
      <c r="O88" s="22">
        <f t="shared" si="40"/>
        <v>9.2505200775577343</v>
      </c>
      <c r="P88" s="22">
        <f t="shared" si="45"/>
        <v>9.2505200775577343</v>
      </c>
      <c r="Q88" s="21">
        <f t="shared" si="31"/>
        <v>23360</v>
      </c>
      <c r="R88" s="23">
        <f t="shared" si="32"/>
        <v>0.16309931506849315</v>
      </c>
      <c r="S88" s="23">
        <f t="shared" si="35"/>
        <v>0.73226458910779835</v>
      </c>
      <c r="T88" s="9" t="str">
        <f t="shared" si="41"/>
        <v>Контейнеры: 19550 по ФГИС УТКО / 26698 по ТС</v>
      </c>
      <c r="U88" s="9" t="str">
        <f t="shared" si="37"/>
        <v>Наполнение ФГИС УТКО 73%</v>
      </c>
      <c r="V88" s="25" t="str">
        <f t="shared" si="26"/>
        <v>Аномальные данные территориальной схемы</v>
      </c>
      <c r="X88" s="9">
        <f t="shared" si="38"/>
        <v>0.99012779768747039</v>
      </c>
      <c r="Y88" s="9" t="str">
        <f t="shared" si="42"/>
        <v xml:space="preserve">ниже </v>
      </c>
      <c r="Z88" s="9" t="str">
        <f t="shared" si="43"/>
        <v>Обеспеченность контейнерами ниже среднего по России на 99%</v>
      </c>
      <c r="AA88" s="9" t="str">
        <f t="shared" si="44"/>
        <v>Потребность в контейнерах по данным субъекта 3810 шт. (16%)</v>
      </c>
      <c r="AB88" s="8" t="str">
        <f t="shared" si="33"/>
        <v>23/20/4 (16%)</v>
      </c>
    </row>
    <row r="89" spans="2:28">
      <c r="B89" s="12" t="s">
        <v>76</v>
      </c>
      <c r="C89" s="20">
        <f t="shared" si="29"/>
        <v>2</v>
      </c>
      <c r="D89" s="24">
        <f t="shared" si="20"/>
        <v>2</v>
      </c>
      <c r="E89" s="20">
        <f t="shared" si="30"/>
        <v>0</v>
      </c>
      <c r="F89" s="20">
        <f t="shared" si="21"/>
        <v>2</v>
      </c>
      <c r="G89" s="20">
        <f t="shared" si="22"/>
        <v>2</v>
      </c>
      <c r="H89" s="21">
        <v>956292</v>
      </c>
      <c r="I89" s="54">
        <v>10692</v>
      </c>
      <c r="J89" s="54"/>
      <c r="K89" s="55">
        <v>14055</v>
      </c>
      <c r="L89" s="54">
        <v>14250</v>
      </c>
      <c r="M89" s="21">
        <f t="shared" si="39"/>
        <v>14055</v>
      </c>
      <c r="N89" s="22">
        <f t="shared" si="34"/>
        <v>11.180685397347252</v>
      </c>
      <c r="O89" s="22">
        <f t="shared" si="40"/>
        <v>14.697393683100978</v>
      </c>
      <c r="P89" s="22">
        <f t="shared" si="45"/>
        <v>14.697393683100978</v>
      </c>
      <c r="Q89" s="21">
        <f t="shared" si="31"/>
        <v>24942</v>
      </c>
      <c r="R89" s="23">
        <f t="shared" si="32"/>
        <v>0.57132547510223719</v>
      </c>
      <c r="S89" s="23">
        <f t="shared" si="35"/>
        <v>0.76072572038420494</v>
      </c>
      <c r="T89" s="9" t="str">
        <f t="shared" si="41"/>
        <v>Контейнеры: 10692 по ФГИС УТКО / 14055 по ТС</v>
      </c>
      <c r="U89" s="9" t="str">
        <f t="shared" si="37"/>
        <v>Наполнение ФГИС УТКО 76%</v>
      </c>
      <c r="V89" s="25" t="str">
        <f t="shared" si="26"/>
        <v>Аномальные данные территориальной схемы</v>
      </c>
      <c r="X89" s="9">
        <f t="shared" si="38"/>
        <v>0.98945922645209272</v>
      </c>
      <c r="Y89" s="9" t="str">
        <f t="shared" si="42"/>
        <v xml:space="preserve">ниже </v>
      </c>
      <c r="Z89" s="9" t="str">
        <f t="shared" si="43"/>
        <v>Обеспеченность контейнерами ниже среднего по России на 99%</v>
      </c>
      <c r="AA89" s="9" t="str">
        <f t="shared" si="44"/>
        <v>Потребность в контейнерах по данным субъекта 14250 шт. (57%)</v>
      </c>
      <c r="AB89" s="8" t="str">
        <f t="shared" si="33"/>
        <v>25/11/14 (57%)</v>
      </c>
    </row>
    <row r="90" spans="2:28">
      <c r="B90" s="12" t="s">
        <v>77</v>
      </c>
      <c r="C90" s="20">
        <f t="shared" si="29"/>
        <v>1</v>
      </c>
      <c r="D90" s="24">
        <f t="shared" si="20"/>
        <v>1</v>
      </c>
      <c r="E90" s="20">
        <f t="shared" si="30"/>
        <v>0</v>
      </c>
      <c r="F90" s="20">
        <f t="shared" si="21"/>
        <v>0</v>
      </c>
      <c r="G90" s="20">
        <f t="shared" si="22"/>
        <v>1</v>
      </c>
      <c r="H90" s="21">
        <v>1199747</v>
      </c>
      <c r="I90" s="54">
        <v>20453</v>
      </c>
      <c r="J90" s="54"/>
      <c r="K90" s="55">
        <v>21122</v>
      </c>
      <c r="L90" s="54">
        <v>5200</v>
      </c>
      <c r="M90" s="21">
        <f t="shared" si="39"/>
        <v>21122</v>
      </c>
      <c r="N90" s="22">
        <f t="shared" si="34"/>
        <v>17.047760902923699</v>
      </c>
      <c r="O90" s="22">
        <f t="shared" si="40"/>
        <v>17.605378467293523</v>
      </c>
      <c r="P90" s="22">
        <f t="shared" si="45"/>
        <v>17.605378467293523</v>
      </c>
      <c r="Q90" s="21">
        <f t="shared" si="31"/>
        <v>25653</v>
      </c>
      <c r="R90" s="23">
        <f t="shared" si="32"/>
        <v>0.20270533660780415</v>
      </c>
      <c r="S90" s="23">
        <f t="shared" si="35"/>
        <v>0.96832686298645965</v>
      </c>
      <c r="T90" s="9" t="str">
        <f t="shared" si="41"/>
        <v>Контейнеры: 20453 по ФГИС УТКО / 21122 по ТС</v>
      </c>
      <c r="U90" s="9" t="str">
        <f t="shared" si="37"/>
        <v>Наполнение ФГИС УТКО 97%</v>
      </c>
      <c r="V90" s="25" t="str">
        <f t="shared" si="26"/>
        <v>Аномальные данные территориальной схемы</v>
      </c>
      <c r="X90" s="9">
        <f t="shared" si="38"/>
        <v>0.98915874974643314</v>
      </c>
      <c r="Y90" s="9" t="str">
        <f t="shared" si="42"/>
        <v xml:space="preserve">ниже </v>
      </c>
      <c r="Z90" s="9" t="str">
        <f t="shared" si="43"/>
        <v>Обеспеченность контейнерами ниже среднего по России на 99%</v>
      </c>
      <c r="AA90" s="9" t="str">
        <f t="shared" si="44"/>
        <v>Потребность в контейнерах по данным субъекта 5200 шт. (20%)</v>
      </c>
      <c r="AB90" s="8" t="str">
        <f t="shared" si="33"/>
        <v>26/20/5 (20%)</v>
      </c>
    </row>
    <row r="91" spans="2:28">
      <c r="B91" s="12" t="s">
        <v>78</v>
      </c>
      <c r="C91" s="20">
        <f t="shared" si="29"/>
        <v>0</v>
      </c>
      <c r="D91" s="24">
        <f t="shared" si="20"/>
        <v>0</v>
      </c>
      <c r="E91" s="20">
        <f t="shared" si="30"/>
        <v>0</v>
      </c>
      <c r="F91" s="20">
        <f t="shared" si="21"/>
        <v>0</v>
      </c>
      <c r="G91" s="20">
        <f t="shared" si="22"/>
        <v>0</v>
      </c>
      <c r="H91" s="21">
        <v>1043385</v>
      </c>
      <c r="I91" s="54">
        <v>21478</v>
      </c>
      <c r="J91" s="54"/>
      <c r="K91" s="55">
        <v>21262</v>
      </c>
      <c r="L91" s="54">
        <v>3227</v>
      </c>
      <c r="M91" s="21">
        <f t="shared" si="39"/>
        <v>21478</v>
      </c>
      <c r="N91" s="22">
        <f t="shared" si="34"/>
        <v>20.584923110836367</v>
      </c>
      <c r="O91" s="22">
        <f t="shared" si="40"/>
        <v>20.377904608557724</v>
      </c>
      <c r="P91" s="22">
        <f t="shared" si="45"/>
        <v>20.584923110836367</v>
      </c>
      <c r="Q91" s="21">
        <f t="shared" si="31"/>
        <v>24705</v>
      </c>
      <c r="R91" s="23">
        <f t="shared" si="32"/>
        <v>0.13062133171422788</v>
      </c>
      <c r="S91" s="23">
        <f t="shared" si="35"/>
        <v>1</v>
      </c>
      <c r="T91" s="9" t="str">
        <f t="shared" si="41"/>
        <v>Контейнеры: 21478 по ФГИС УТКО / 21262 по ТС</v>
      </c>
      <c r="U91" s="9" t="str">
        <f t="shared" si="37"/>
        <v>Наполнение ФГИС УТКО более 100%</v>
      </c>
      <c r="V91" s="25" t="str">
        <f t="shared" si="26"/>
        <v>Аномальные данные территориальной схемы</v>
      </c>
      <c r="X91" s="9">
        <f t="shared" si="38"/>
        <v>0.98955938535397936</v>
      </c>
      <c r="Y91" s="9" t="str">
        <f t="shared" si="42"/>
        <v xml:space="preserve">ниже </v>
      </c>
      <c r="Z91" s="9" t="str">
        <f t="shared" si="43"/>
        <v>Обеспеченность контейнерами ниже среднего по России на 99%</v>
      </c>
      <c r="AA91" s="9" t="str">
        <f t="shared" si="44"/>
        <v>Потребность в контейнерах по данным субъекта 3227 шт. (13%)</v>
      </c>
      <c r="AB91" s="8" t="str">
        <f t="shared" si="33"/>
        <v>25/21/3 (13%)</v>
      </c>
    </row>
    <row r="92" spans="2:28">
      <c r="B92" s="12" t="s">
        <v>79</v>
      </c>
      <c r="C92" s="20">
        <f t="shared" si="29"/>
        <v>1</v>
      </c>
      <c r="D92" s="24">
        <f t="shared" si="20"/>
        <v>1</v>
      </c>
      <c r="E92" s="20">
        <f t="shared" si="30"/>
        <v>0</v>
      </c>
      <c r="F92" s="20">
        <f t="shared" si="21"/>
        <v>2</v>
      </c>
      <c r="G92" s="20">
        <f t="shared" si="22"/>
        <v>1</v>
      </c>
      <c r="H92" s="21">
        <v>1471140</v>
      </c>
      <c r="I92" s="54">
        <v>16568</v>
      </c>
      <c r="J92" s="54"/>
      <c r="K92" s="55">
        <v>30772</v>
      </c>
      <c r="L92" s="54">
        <v>3370</v>
      </c>
      <c r="M92" s="21">
        <f t="shared" si="39"/>
        <v>30772</v>
      </c>
      <c r="N92" s="22">
        <f t="shared" si="34"/>
        <v>11.262014492162541</v>
      </c>
      <c r="O92" s="22">
        <f t="shared" si="40"/>
        <v>20.917111899615264</v>
      </c>
      <c r="P92" s="22">
        <f t="shared" si="45"/>
        <v>20.917111899615264</v>
      </c>
      <c r="Q92" s="21">
        <f t="shared" si="31"/>
        <v>19938</v>
      </c>
      <c r="R92" s="23">
        <f t="shared" si="32"/>
        <v>0.16902397432039321</v>
      </c>
      <c r="S92" s="23">
        <f t="shared" si="35"/>
        <v>0.53841154296113347</v>
      </c>
      <c r="T92" s="9" t="str">
        <f t="shared" si="41"/>
        <v>Контейнеры: 16568 по ФГИС УТКО / 30772 по ТС</v>
      </c>
      <c r="U92" s="9" t="str">
        <f t="shared" si="37"/>
        <v>Наполнение ФГИС УТКО 54%</v>
      </c>
      <c r="V92" s="25" t="str">
        <f t="shared" si="26"/>
        <v>Аномальные данные территориальной схемы</v>
      </c>
      <c r="X92" s="9">
        <f t="shared" si="38"/>
        <v>0.99157397389951996</v>
      </c>
      <c r="Y92" s="9" t="str">
        <f t="shared" si="42"/>
        <v xml:space="preserve">ниже </v>
      </c>
      <c r="Z92" s="9" t="str">
        <f t="shared" si="43"/>
        <v>Обеспеченность контейнерами ниже среднего по России на 99%</v>
      </c>
      <c r="AA92" s="9" t="str">
        <f t="shared" si="44"/>
        <v>Потребность в контейнерах по данным субъекта 3370 шт. (17%)</v>
      </c>
      <c r="AB92" s="8" t="str">
        <f t="shared" si="33"/>
        <v>20/17/3 (17%)</v>
      </c>
    </row>
    <row r="93" spans="2:28">
      <c r="B93" s="12" t="s">
        <v>80</v>
      </c>
      <c r="C93" s="20">
        <f t="shared" si="29"/>
        <v>2</v>
      </c>
      <c r="D93" s="24">
        <f t="shared" ref="D93:D104" si="46">E93*$E$11+F93*$F$11+G93*$G$11</f>
        <v>2</v>
      </c>
      <c r="E93" s="20">
        <f t="shared" si="30"/>
        <v>0</v>
      </c>
      <c r="F93" s="20">
        <f t="shared" ref="F93:F104" si="47">IF(S93&lt;$S$7,2,IF(S93&lt;$S$9,1,0))</f>
        <v>0</v>
      </c>
      <c r="G93" s="20">
        <f t="shared" ref="G93:G104" si="48">IF(OR(R93&gt;$R$8,R93&lt;=$R$7),2,IF(R93&gt;$R$10,1,0))</f>
        <v>2</v>
      </c>
      <c r="H93" s="21">
        <v>1615454</v>
      </c>
      <c r="I93" s="54">
        <v>27758</v>
      </c>
      <c r="J93" s="54"/>
      <c r="K93" s="55">
        <v>25223</v>
      </c>
      <c r="L93" s="54">
        <v>0</v>
      </c>
      <c r="M93" s="21">
        <f t="shared" si="39"/>
        <v>27758</v>
      </c>
      <c r="N93" s="22">
        <f t="shared" si="34"/>
        <v>17.182785767963683</v>
      </c>
      <c r="O93" s="22">
        <f t="shared" si="40"/>
        <v>15.613567455340727</v>
      </c>
      <c r="P93" s="22">
        <f t="shared" si="45"/>
        <v>17.182785767963683</v>
      </c>
      <c r="Q93" s="21">
        <f t="shared" si="31"/>
        <v>27758</v>
      </c>
      <c r="R93" s="23">
        <f t="shared" si="32"/>
        <v>0</v>
      </c>
      <c r="S93" s="23">
        <f t="shared" si="35"/>
        <v>1</v>
      </c>
      <c r="T93" s="9" t="str">
        <f t="shared" si="41"/>
        <v>Контейнеры: 27758 по ФГИС УТКО / 25223 по ТС</v>
      </c>
      <c r="U93" s="9" t="str">
        <f t="shared" si="37"/>
        <v>Наполнение ФГИС УТКО более 100%</v>
      </c>
      <c r="V93" s="25" t="str">
        <f t="shared" si="26"/>
        <v>Аномальные данные территориальной схемы</v>
      </c>
      <c r="X93" s="9">
        <f t="shared" si="38"/>
        <v>0.98826915274866456</v>
      </c>
      <c r="Y93" s="9" t="str">
        <f t="shared" si="42"/>
        <v xml:space="preserve">ниже </v>
      </c>
      <c r="Z93" s="9" t="str">
        <f t="shared" si="43"/>
        <v>Обеспеченность контейнерами ниже среднего по России на 99%</v>
      </c>
      <c r="AA93" s="9" t="str">
        <f t="shared" si="44"/>
        <v>Потребность в КП не представлена</v>
      </c>
      <c r="AB93" s="8" t="str">
        <f t="shared" si="33"/>
        <v>28/28/0 (0%)</v>
      </c>
    </row>
    <row r="94" spans="2:28">
      <c r="B94" s="12" t="s">
        <v>81</v>
      </c>
      <c r="C94" s="20">
        <f t="shared" si="29"/>
        <v>1</v>
      </c>
      <c r="D94" s="24">
        <f t="shared" si="46"/>
        <v>1</v>
      </c>
      <c r="E94" s="20">
        <f t="shared" si="30"/>
        <v>2</v>
      </c>
      <c r="F94" s="20">
        <f t="shared" si="47"/>
        <v>0</v>
      </c>
      <c r="G94" s="20">
        <f t="shared" si="48"/>
        <v>1</v>
      </c>
      <c r="H94" s="21">
        <v>1434557</v>
      </c>
      <c r="I94" s="54">
        <v>17493</v>
      </c>
      <c r="J94" s="54"/>
      <c r="K94" s="55">
        <v>127</v>
      </c>
      <c r="L94" s="54">
        <v>7506</v>
      </c>
      <c r="M94" s="21">
        <f t="shared" si="39"/>
        <v>17493</v>
      </c>
      <c r="N94" s="22">
        <f t="shared" si="34"/>
        <v>12.194008324521089</v>
      </c>
      <c r="O94" s="22">
        <f t="shared" si="40"/>
        <v>8.8529072041055187E-2</v>
      </c>
      <c r="P94" s="22">
        <f t="shared" si="45"/>
        <v>12.194008324521089</v>
      </c>
      <c r="Q94" s="21">
        <f t="shared" si="31"/>
        <v>24999</v>
      </c>
      <c r="R94" s="23">
        <f t="shared" si="32"/>
        <v>0.3002520100804032</v>
      </c>
      <c r="S94" s="23">
        <f t="shared" si="35"/>
        <v>1</v>
      </c>
      <c r="T94" s="9" t="str">
        <f t="shared" si="41"/>
        <v>Контейнеры: 17493 по ФГИС УТКО / 127 по ТС</v>
      </c>
      <c r="U94" s="9" t="str">
        <f t="shared" si="37"/>
        <v>Наполнение ФГИС УТКО более 100%</v>
      </c>
      <c r="V94" s="25" t="str">
        <f t="shared" si="26"/>
        <v>Аномальные данные территориальной схемы</v>
      </c>
      <c r="X94" s="9">
        <f t="shared" si="38"/>
        <v>0.98943513760227197</v>
      </c>
      <c r="Y94" s="9" t="str">
        <f t="shared" si="42"/>
        <v xml:space="preserve">ниже </v>
      </c>
      <c r="Z94" s="9" t="str">
        <f t="shared" si="43"/>
        <v>Обеспеченность контейнерами ниже среднего по России на 99%</v>
      </c>
      <c r="AA94" s="9" t="str">
        <f t="shared" si="44"/>
        <v>Потребность в контейнерах по данным субъекта 7506 шт. (30%)</v>
      </c>
      <c r="AB94" s="8" t="str">
        <f t="shared" si="33"/>
        <v>25/17/8 (30%)</v>
      </c>
    </row>
    <row r="95" spans="2:28">
      <c r="B95" s="12" t="s">
        <v>82</v>
      </c>
      <c r="C95" s="20">
        <f t="shared" si="29"/>
        <v>0</v>
      </c>
      <c r="D95" s="24">
        <f t="shared" si="46"/>
        <v>0</v>
      </c>
      <c r="E95" s="20">
        <f t="shared" si="30"/>
        <v>0</v>
      </c>
      <c r="F95" s="20">
        <f t="shared" si="47"/>
        <v>2</v>
      </c>
      <c r="G95" s="20">
        <f t="shared" si="48"/>
        <v>0</v>
      </c>
      <c r="H95" s="21">
        <v>1172782</v>
      </c>
      <c r="I95" s="54">
        <v>15166</v>
      </c>
      <c r="J95" s="54"/>
      <c r="K95" s="55">
        <v>19317</v>
      </c>
      <c r="L95" s="54">
        <v>81</v>
      </c>
      <c r="M95" s="21">
        <f t="shared" si="39"/>
        <v>19317</v>
      </c>
      <c r="N95" s="22">
        <f t="shared" si="34"/>
        <v>12.93164458526819</v>
      </c>
      <c r="O95" s="22">
        <f t="shared" si="40"/>
        <v>16.47109181416495</v>
      </c>
      <c r="P95" s="22">
        <f t="shared" si="45"/>
        <v>16.47109181416495</v>
      </c>
      <c r="Q95" s="21">
        <f t="shared" si="31"/>
        <v>15247</v>
      </c>
      <c r="R95" s="23">
        <f t="shared" si="32"/>
        <v>5.3125204958352464E-3</v>
      </c>
      <c r="S95" s="23">
        <f t="shared" si="35"/>
        <v>0.78511155976600921</v>
      </c>
      <c r="T95" s="9" t="str">
        <f t="shared" si="41"/>
        <v>Контейнеры: 15166 по ФГИС УТКО / 19317 по ТС</v>
      </c>
      <c r="U95" s="9" t="str">
        <f t="shared" si="37"/>
        <v>Наполнение ФГИС УТКО 79%</v>
      </c>
      <c r="V95" s="25" t="str">
        <f t="shared" si="26"/>
        <v>Аномальные данные территориальной схемы</v>
      </c>
      <c r="X95" s="9">
        <f t="shared" si="38"/>
        <v>0.99355644397863274</v>
      </c>
      <c r="Y95" s="9" t="str">
        <f t="shared" si="42"/>
        <v xml:space="preserve">ниже </v>
      </c>
      <c r="Z95" s="9" t="str">
        <f t="shared" si="43"/>
        <v>Обеспеченность контейнерами ниже среднего по России на 99%</v>
      </c>
      <c r="AA95" s="9" t="str">
        <f t="shared" si="44"/>
        <v>Потребность в контейнерах по данным субъекта 81 шт. (1%)</v>
      </c>
      <c r="AB95" s="8" t="str">
        <f t="shared" si="33"/>
        <v>15/15/0 (1%)</v>
      </c>
    </row>
    <row r="96" spans="2:28">
      <c r="B96" s="12" t="s">
        <v>83</v>
      </c>
      <c r="C96" s="20">
        <f t="shared" si="29"/>
        <v>1</v>
      </c>
      <c r="D96" s="24">
        <f t="shared" si="46"/>
        <v>1</v>
      </c>
      <c r="E96" s="20">
        <f t="shared" si="30"/>
        <v>2</v>
      </c>
      <c r="F96" s="20">
        <f t="shared" si="47"/>
        <v>0</v>
      </c>
      <c r="G96" s="20">
        <f t="shared" si="48"/>
        <v>1</v>
      </c>
      <c r="H96" s="21">
        <v>1278132</v>
      </c>
      <c r="I96" s="54">
        <v>26988</v>
      </c>
      <c r="J96" s="54"/>
      <c r="K96" s="55">
        <v>0</v>
      </c>
      <c r="L96" s="54">
        <v>4978</v>
      </c>
      <c r="M96" s="21">
        <f t="shared" si="39"/>
        <v>26988</v>
      </c>
      <c r="N96" s="22">
        <f t="shared" si="34"/>
        <v>21.115189980377611</v>
      </c>
      <c r="O96" s="22">
        <f t="shared" si="40"/>
        <v>0</v>
      </c>
      <c r="P96" s="22">
        <f t="shared" si="45"/>
        <v>21.115189980377611</v>
      </c>
      <c r="Q96" s="21">
        <f t="shared" si="31"/>
        <v>31966</v>
      </c>
      <c r="R96" s="23">
        <f t="shared" si="32"/>
        <v>0.15572796095851843</v>
      </c>
      <c r="S96" s="23">
        <f t="shared" si="35"/>
        <v>1</v>
      </c>
      <c r="T96" s="9" t="str">
        <f t="shared" si="41"/>
        <v>Контейнеры: 26988 по ФГИС УТКО / 0 по ТС</v>
      </c>
      <c r="U96" s="9" t="str">
        <f t="shared" si="37"/>
        <v>Наполнение ФГИС УТКО более 100%</v>
      </c>
      <c r="V96" s="25" t="str">
        <f t="shared" si="26"/>
        <v>Данные о количестве КП требуют проверки</v>
      </c>
      <c r="X96" s="9">
        <f t="shared" si="38"/>
        <v>0.98649080397592803</v>
      </c>
      <c r="Y96" s="9" t="str">
        <f t="shared" si="42"/>
        <v xml:space="preserve">ниже </v>
      </c>
      <c r="Z96" s="9" t="str">
        <f t="shared" si="43"/>
        <v>Обеспеченность контейнерами ниже среднего по России на 99%</v>
      </c>
      <c r="AA96" s="9" t="str">
        <f t="shared" si="44"/>
        <v>Потребность в контейнерах по данным субъекта 4978 шт. (16%)</v>
      </c>
      <c r="AB96" s="8" t="str">
        <f t="shared" si="33"/>
        <v>32/27/5 (16%)</v>
      </c>
    </row>
    <row r="97" spans="2:28">
      <c r="B97" s="12" t="s">
        <v>84</v>
      </c>
      <c r="C97" s="20">
        <f t="shared" si="29"/>
        <v>0</v>
      </c>
      <c r="D97" s="24">
        <f t="shared" si="46"/>
        <v>0</v>
      </c>
      <c r="E97" s="20">
        <f t="shared" si="30"/>
        <v>0</v>
      </c>
      <c r="F97" s="20">
        <f t="shared" si="47"/>
        <v>0</v>
      </c>
      <c r="G97" s="20">
        <f t="shared" si="48"/>
        <v>0</v>
      </c>
      <c r="H97" s="21">
        <v>1759386</v>
      </c>
      <c r="I97" s="54">
        <v>39609</v>
      </c>
      <c r="J97" s="54"/>
      <c r="K97" s="55">
        <v>40802</v>
      </c>
      <c r="L97" s="54">
        <v>5894</v>
      </c>
      <c r="M97" s="21">
        <f t="shared" si="39"/>
        <v>40802</v>
      </c>
      <c r="N97" s="22">
        <f t="shared" si="34"/>
        <v>22.512967592103152</v>
      </c>
      <c r="O97" s="22">
        <f t="shared" si="40"/>
        <v>23.19104505776447</v>
      </c>
      <c r="P97" s="22">
        <f t="shared" si="45"/>
        <v>23.19104505776447</v>
      </c>
      <c r="Q97" s="21">
        <f t="shared" si="31"/>
        <v>45503</v>
      </c>
      <c r="R97" s="23">
        <f t="shared" si="32"/>
        <v>0.12952992110410302</v>
      </c>
      <c r="S97" s="23">
        <f t="shared" si="35"/>
        <v>0.97076123719425522</v>
      </c>
      <c r="T97" s="9" t="str">
        <f t="shared" si="41"/>
        <v>Контейнеры: 39609 по ФГИС УТКО / 40802 по ТС</v>
      </c>
      <c r="U97" s="9" t="str">
        <f t="shared" si="37"/>
        <v>Наполнение ФГИС УТКО 97%</v>
      </c>
      <c r="V97" s="25" t="str">
        <f t="shared" si="26"/>
        <v>Аномальные данные территориальной схемы</v>
      </c>
      <c r="X97" s="9">
        <f t="shared" si="38"/>
        <v>0.98076991344918518</v>
      </c>
      <c r="Y97" s="9" t="str">
        <f t="shared" si="42"/>
        <v xml:space="preserve">ниже </v>
      </c>
      <c r="Z97" s="9" t="str">
        <f t="shared" si="43"/>
        <v>Обеспеченность контейнерами ниже среднего по России на 98%</v>
      </c>
      <c r="AA97" s="9" t="str">
        <f t="shared" si="44"/>
        <v>Потребность в контейнерах по данным субъекта 5894 шт. (13%)</v>
      </c>
      <c r="AB97" s="8" t="str">
        <f t="shared" si="33"/>
        <v>46/40/6 (13%)</v>
      </c>
    </row>
    <row r="98" spans="2:28">
      <c r="B98" s="12" t="s">
        <v>166</v>
      </c>
      <c r="C98" s="60">
        <v>0</v>
      </c>
      <c r="D98" s="60">
        <v>0</v>
      </c>
      <c r="E98" s="60">
        <v>0</v>
      </c>
      <c r="F98" s="60">
        <v>0</v>
      </c>
      <c r="G98" s="60">
        <v>0</v>
      </c>
      <c r="H98" s="21"/>
      <c r="I98" s="54">
        <v>0</v>
      </c>
      <c r="J98" s="54"/>
      <c r="K98" s="55">
        <v>0</v>
      </c>
      <c r="L98" s="54">
        <v>0</v>
      </c>
      <c r="M98" s="21"/>
      <c r="N98" s="22"/>
      <c r="O98" s="22"/>
      <c r="P98" s="22"/>
      <c r="Q98" s="21">
        <f t="shared" si="31"/>
        <v>0</v>
      </c>
      <c r="R98" s="23"/>
      <c r="S98" s="23"/>
      <c r="T98" s="9"/>
      <c r="V98" s="25"/>
    </row>
    <row r="99" spans="2:28">
      <c r="B99" s="12" t="s">
        <v>85</v>
      </c>
      <c r="C99" s="20">
        <f t="shared" si="29"/>
        <v>0</v>
      </c>
      <c r="D99" s="24">
        <f t="shared" si="46"/>
        <v>0</v>
      </c>
      <c r="E99" s="20">
        <f t="shared" si="30"/>
        <v>0</v>
      </c>
      <c r="F99" s="20">
        <f t="shared" si="47"/>
        <v>2</v>
      </c>
      <c r="G99" s="20">
        <f t="shared" si="48"/>
        <v>0</v>
      </c>
      <c r="H99" s="21">
        <v>3395798</v>
      </c>
      <c r="I99" s="54">
        <v>37721</v>
      </c>
      <c r="J99" s="54"/>
      <c r="K99" s="55">
        <v>63592</v>
      </c>
      <c r="L99" s="54">
        <v>4604</v>
      </c>
      <c r="M99" s="21">
        <f t="shared" si="39"/>
        <v>63592</v>
      </c>
      <c r="N99" s="22">
        <f t="shared" si="34"/>
        <v>11.108140119053019</v>
      </c>
      <c r="O99" s="22">
        <f t="shared" si="40"/>
        <v>18.726673376920537</v>
      </c>
      <c r="P99" s="22">
        <f t="shared" si="45"/>
        <v>18.726673376920537</v>
      </c>
      <c r="Q99" s="21">
        <f t="shared" si="31"/>
        <v>42325</v>
      </c>
      <c r="R99" s="23">
        <f t="shared" si="32"/>
        <v>0.10877731836975782</v>
      </c>
      <c r="S99" s="23">
        <f t="shared" si="35"/>
        <v>0.59317209711913443</v>
      </c>
      <c r="T99" s="9" t="str">
        <f t="shared" si="41"/>
        <v>Контейнеры: 37721 по ФГИС УТКО / 63592 по ТС</v>
      </c>
      <c r="U99" s="9" t="str">
        <f t="shared" si="37"/>
        <v>Наполнение ФГИС УТКО 59%</v>
      </c>
      <c r="V99" s="25" t="str">
        <f t="shared" ref="V99:V104" si="49">IF(O99&gt;$O$8,$V$107,IF(Q99&gt;$Q$10,$V$108,IF(I99&gt;K99*(1+$K$10),$V$109,"")))</f>
        <v>Аномальные данные территориальной схемы</v>
      </c>
      <c r="X99" s="9">
        <f t="shared" si="38"/>
        <v>0.98211297247954565</v>
      </c>
      <c r="Y99" s="9" t="str">
        <f t="shared" si="42"/>
        <v xml:space="preserve">ниже </v>
      </c>
      <c r="Z99" s="9" t="str">
        <f t="shared" si="43"/>
        <v>Обеспеченность контейнерами ниже среднего по России на 98%</v>
      </c>
      <c r="AA99" s="9" t="str">
        <f t="shared" si="44"/>
        <v>Потребность в контейнерах по данным субъекта 4604 шт. (11%)</v>
      </c>
      <c r="AB99" s="8" t="str">
        <f t="shared" si="33"/>
        <v>42/38/5 (11%)</v>
      </c>
    </row>
    <row r="100" spans="2:28">
      <c r="B100" s="12" t="s">
        <v>86</v>
      </c>
      <c r="C100" s="20">
        <f t="shared" si="29"/>
        <v>0</v>
      </c>
      <c r="D100" s="24">
        <f t="shared" si="46"/>
        <v>0</v>
      </c>
      <c r="E100" s="20">
        <f t="shared" si="30"/>
        <v>2</v>
      </c>
      <c r="F100" s="20">
        <f t="shared" si="47"/>
        <v>2</v>
      </c>
      <c r="G100" s="20">
        <f t="shared" si="48"/>
        <v>0</v>
      </c>
      <c r="H100" s="21">
        <v>1552866</v>
      </c>
      <c r="I100" s="54">
        <v>5807</v>
      </c>
      <c r="J100" s="54"/>
      <c r="K100" s="55">
        <v>7900</v>
      </c>
      <c r="L100" s="54">
        <v>200</v>
      </c>
      <c r="M100" s="21">
        <f t="shared" si="39"/>
        <v>7900</v>
      </c>
      <c r="N100" s="22">
        <f t="shared" si="34"/>
        <v>3.7395370881969208</v>
      </c>
      <c r="O100" s="22">
        <f t="shared" si="40"/>
        <v>5.0873674869563761</v>
      </c>
      <c r="P100" s="22">
        <f t="shared" si="45"/>
        <v>5.0873674869563761</v>
      </c>
      <c r="Q100" s="21">
        <f t="shared" si="31"/>
        <v>6007</v>
      </c>
      <c r="R100" s="23">
        <f t="shared" si="32"/>
        <v>3.32944897619444E-2</v>
      </c>
      <c r="S100" s="23">
        <f t="shared" si="35"/>
        <v>0.73506329113924052</v>
      </c>
      <c r="T100" s="9" t="str">
        <f t="shared" si="41"/>
        <v>Контейнеры: 5807 по ФГИС УТКО / 7900 по ТС</v>
      </c>
      <c r="U100" s="9" t="str">
        <f t="shared" si="37"/>
        <v>Наполнение ФГИС УТКО 74%</v>
      </c>
      <c r="V100" s="25" t="str">
        <f t="shared" si="49"/>
        <v>Аномальные данные территориальной схемы</v>
      </c>
      <c r="X100" s="9">
        <f t="shared" si="38"/>
        <v>0.99746137331800666</v>
      </c>
      <c r="Y100" s="9" t="str">
        <f t="shared" si="42"/>
        <v xml:space="preserve">ниже </v>
      </c>
      <c r="Z100" s="9" t="str">
        <f t="shared" si="43"/>
        <v>Обеспеченность контейнерами ниже среднего по России на 100%</v>
      </c>
      <c r="AA100" s="9" t="str">
        <f t="shared" si="44"/>
        <v>Потребность в контейнерах по данным субъекта 200 шт. (3%)</v>
      </c>
      <c r="AB100" s="8" t="str">
        <f t="shared" si="33"/>
        <v>6/6/0 (3%)</v>
      </c>
    </row>
    <row r="101" spans="2:28">
      <c r="B101" s="12" t="s">
        <v>87</v>
      </c>
      <c r="C101" s="20">
        <f t="shared" si="29"/>
        <v>0</v>
      </c>
      <c r="D101" s="24">
        <f t="shared" si="46"/>
        <v>0</v>
      </c>
      <c r="E101" s="20">
        <f t="shared" si="30"/>
        <v>0</v>
      </c>
      <c r="F101" s="20">
        <f t="shared" si="47"/>
        <v>0</v>
      </c>
      <c r="G101" s="20">
        <f t="shared" si="48"/>
        <v>0</v>
      </c>
      <c r="H101" s="21">
        <v>1167061</v>
      </c>
      <c r="I101" s="54">
        <v>28065</v>
      </c>
      <c r="J101" s="54"/>
      <c r="K101" s="55">
        <v>29565</v>
      </c>
      <c r="L101" s="54">
        <v>951</v>
      </c>
      <c r="M101" s="21">
        <f t="shared" si="39"/>
        <v>29565</v>
      </c>
      <c r="N101" s="22">
        <f t="shared" si="34"/>
        <v>24.047586201578152</v>
      </c>
      <c r="O101" s="22">
        <f t="shared" si="40"/>
        <v>25.332866062699381</v>
      </c>
      <c r="P101" s="22">
        <f t="shared" si="45"/>
        <v>25.332866062699381</v>
      </c>
      <c r="Q101" s="21">
        <f t="shared" si="31"/>
        <v>29016</v>
      </c>
      <c r="R101" s="23">
        <f t="shared" si="32"/>
        <v>3.2775020678246482E-2</v>
      </c>
      <c r="S101" s="23">
        <f t="shared" si="35"/>
        <v>0.94926433282597666</v>
      </c>
      <c r="T101" s="9" t="str">
        <f t="shared" si="41"/>
        <v>Контейнеры: 28065 по ФГИС УТКО / 29565 по ТС</v>
      </c>
      <c r="U101" s="9" t="str">
        <f t="shared" si="37"/>
        <v>Наполнение ФГИС УТКО 95%</v>
      </c>
      <c r="V101" s="25" t="str">
        <f t="shared" si="49"/>
        <v>Аномальные данные территориальной схемы</v>
      </c>
      <c r="X101" s="9">
        <f t="shared" si="38"/>
        <v>0.98773750760700518</v>
      </c>
      <c r="Y101" s="9" t="str">
        <f t="shared" si="42"/>
        <v xml:space="preserve">ниже </v>
      </c>
      <c r="Z101" s="9" t="str">
        <f t="shared" si="43"/>
        <v>Обеспеченность контейнерами ниже среднего по России на 99%</v>
      </c>
      <c r="AA101" s="9" t="str">
        <f t="shared" si="44"/>
        <v>Потребность в контейнерах по данным субъекта 951 шт. (3%)</v>
      </c>
      <c r="AB101" s="8" t="str">
        <f t="shared" si="33"/>
        <v>29/28/1 (3%)</v>
      </c>
    </row>
    <row r="102" spans="2:28">
      <c r="B102" s="12" t="s">
        <v>88</v>
      </c>
      <c r="C102" s="20">
        <f t="shared" si="29"/>
        <v>1</v>
      </c>
      <c r="D102" s="24">
        <f t="shared" si="46"/>
        <v>1</v>
      </c>
      <c r="E102" s="20">
        <f t="shared" si="30"/>
        <v>0</v>
      </c>
      <c r="F102" s="20">
        <f t="shared" si="47"/>
        <v>0</v>
      </c>
      <c r="G102" s="20">
        <f t="shared" si="48"/>
        <v>1</v>
      </c>
      <c r="H102" s="21">
        <v>48029</v>
      </c>
      <c r="I102" s="54">
        <v>1292</v>
      </c>
      <c r="J102" s="54"/>
      <c r="K102" s="55">
        <v>1202</v>
      </c>
      <c r="L102" s="54">
        <v>399</v>
      </c>
      <c r="M102" s="21">
        <f t="shared" si="39"/>
        <v>1292</v>
      </c>
      <c r="N102" s="22">
        <f t="shared" si="34"/>
        <v>26.900414333007141</v>
      </c>
      <c r="O102" s="22">
        <f t="shared" si="40"/>
        <v>25.026546461512837</v>
      </c>
      <c r="P102" s="22">
        <f t="shared" si="45"/>
        <v>26.900414333007141</v>
      </c>
      <c r="Q102" s="21">
        <f t="shared" si="31"/>
        <v>1691</v>
      </c>
      <c r="R102" s="23">
        <f t="shared" si="32"/>
        <v>0.23595505617977527</v>
      </c>
      <c r="S102" s="23">
        <f t="shared" si="35"/>
        <v>1</v>
      </c>
      <c r="T102" s="9" t="str">
        <f t="shared" si="41"/>
        <v>Контейнеры: 1292 по ФГИС УТКО / 1202 по ТС</v>
      </c>
      <c r="U102" s="9" t="str">
        <f t="shared" si="37"/>
        <v>Наполнение ФГИС УТКО более 100%</v>
      </c>
      <c r="V102" s="25" t="str">
        <f t="shared" si="49"/>
        <v>Аномальные данные территориальной схемы</v>
      </c>
      <c r="X102" s="9">
        <f t="shared" si="38"/>
        <v>0.99928536412198254</v>
      </c>
      <c r="Y102" s="9" t="str">
        <f t="shared" si="42"/>
        <v xml:space="preserve">ниже </v>
      </c>
      <c r="Z102" s="9" t="str">
        <f t="shared" si="43"/>
        <v>Обеспеченность контейнерами ниже среднего по России на 100%</v>
      </c>
      <c r="AA102" s="9" t="str">
        <f t="shared" si="44"/>
        <v>Потребность в контейнерах по данным субъекта 399 шт. (24%)</v>
      </c>
      <c r="AB102" s="8" t="str">
        <f t="shared" si="33"/>
        <v>2/1/0 (24%)</v>
      </c>
    </row>
    <row r="103" spans="2:28">
      <c r="B103" s="12" t="s">
        <v>89</v>
      </c>
      <c r="C103" s="20">
        <f t="shared" si="29"/>
        <v>0</v>
      </c>
      <c r="D103" s="24">
        <f t="shared" si="46"/>
        <v>0</v>
      </c>
      <c r="E103" s="20">
        <f t="shared" si="30"/>
        <v>0</v>
      </c>
      <c r="F103" s="20">
        <f t="shared" si="47"/>
        <v>0</v>
      </c>
      <c r="G103" s="20">
        <f t="shared" si="48"/>
        <v>0</v>
      </c>
      <c r="H103" s="21">
        <v>515960</v>
      </c>
      <c r="I103" s="54">
        <v>15887</v>
      </c>
      <c r="J103" s="54"/>
      <c r="K103" s="55">
        <v>12817</v>
      </c>
      <c r="L103" s="54">
        <v>306</v>
      </c>
      <c r="M103" s="21">
        <f t="shared" si="39"/>
        <v>15887</v>
      </c>
      <c r="N103" s="22">
        <f t="shared" si="34"/>
        <v>30.791146600511667</v>
      </c>
      <c r="O103" s="22">
        <f t="shared" si="40"/>
        <v>24.841072951391581</v>
      </c>
      <c r="P103" s="22">
        <f t="shared" si="45"/>
        <v>30.791146600511667</v>
      </c>
      <c r="Q103" s="21">
        <f t="shared" si="31"/>
        <v>16193</v>
      </c>
      <c r="R103" s="23">
        <f t="shared" si="32"/>
        <v>1.8897054282714754E-2</v>
      </c>
      <c r="S103" s="23">
        <f t="shared" si="35"/>
        <v>1</v>
      </c>
      <c r="T103" s="9" t="str">
        <f t="shared" si="41"/>
        <v>Контейнеры: 15887 по ФГИС УТКО / 12817 по ТС</v>
      </c>
      <c r="U103" s="9" t="str">
        <f t="shared" si="37"/>
        <v>Наполнение ФГИС УТКО более 100%</v>
      </c>
      <c r="V103" s="25" t="str">
        <f t="shared" si="49"/>
        <v>Аномальные данные территориальной схемы</v>
      </c>
      <c r="X103" s="9">
        <f t="shared" si="38"/>
        <v>0.99315665359388738</v>
      </c>
      <c r="Y103" s="9" t="str">
        <f t="shared" si="42"/>
        <v xml:space="preserve">ниже </v>
      </c>
      <c r="Z103" s="9" t="str">
        <f t="shared" si="43"/>
        <v>Обеспеченность контейнерами ниже среднего по России на 99%</v>
      </c>
      <c r="AA103" s="9" t="str">
        <f t="shared" si="44"/>
        <v>Потребность в контейнерах по данным субъекта 306 шт. (2%)</v>
      </c>
      <c r="AB103" s="8" t="str">
        <f t="shared" si="33"/>
        <v>16/16/0 (2%)</v>
      </c>
    </row>
    <row r="104" spans="2:28">
      <c r="B104" s="12" t="s">
        <v>90</v>
      </c>
      <c r="C104" s="20">
        <f t="shared" si="29"/>
        <v>0</v>
      </c>
      <c r="D104" s="24">
        <f t="shared" si="46"/>
        <v>0</v>
      </c>
      <c r="E104" s="20">
        <f t="shared" si="30"/>
        <v>0</v>
      </c>
      <c r="F104" s="20">
        <f t="shared" si="47"/>
        <v>0</v>
      </c>
      <c r="G104" s="20">
        <f t="shared" si="48"/>
        <v>0</v>
      </c>
      <c r="H104" s="21">
        <v>1187558</v>
      </c>
      <c r="I104" s="54">
        <v>16756</v>
      </c>
      <c r="J104" s="54"/>
      <c r="K104" s="55">
        <v>17051</v>
      </c>
      <c r="L104" s="54">
        <v>1117</v>
      </c>
      <c r="M104" s="21">
        <f t="shared" si="39"/>
        <v>17051</v>
      </c>
      <c r="N104" s="22">
        <f t="shared" si="34"/>
        <v>14.109626645603836</v>
      </c>
      <c r="O104" s="22">
        <f t="shared" si="40"/>
        <v>14.358035565420806</v>
      </c>
      <c r="P104" s="22">
        <f t="shared" si="45"/>
        <v>14.358035565420806</v>
      </c>
      <c r="Q104" s="21">
        <f t="shared" si="31"/>
        <v>17873</v>
      </c>
      <c r="R104" s="23">
        <f t="shared" si="32"/>
        <v>6.2496503105242546E-2</v>
      </c>
      <c r="S104" s="23">
        <f t="shared" si="35"/>
        <v>0.98269896193771622</v>
      </c>
      <c r="T104" s="9" t="str">
        <f t="shared" si="41"/>
        <v>Контейнеры: 16756 по ФГИС УТКО / 17051 по ТС</v>
      </c>
      <c r="U104" s="9" t="str">
        <f t="shared" si="37"/>
        <v>Наполнение ФГИС УТКО 98%</v>
      </c>
      <c r="V104" s="25" t="str">
        <f t="shared" si="49"/>
        <v>Аномальные данные территориальной схемы</v>
      </c>
      <c r="X104" s="9">
        <f t="shared" si="38"/>
        <v>0.99244666644127388</v>
      </c>
      <c r="Y104" s="9" t="str">
        <f t="shared" si="42"/>
        <v xml:space="preserve">ниже </v>
      </c>
      <c r="Z104" s="9" t="str">
        <f t="shared" si="43"/>
        <v>Обеспеченность контейнерами ниже среднего по России на 99%</v>
      </c>
      <c r="AA104" s="9" t="str">
        <f t="shared" si="44"/>
        <v>Потребность в контейнерах по данным субъекта 1117 шт. (6%)</v>
      </c>
      <c r="AB104" s="8" t="str">
        <f t="shared" si="33"/>
        <v>18/17/1 (6%)</v>
      </c>
    </row>
    <row r="106" spans="2:28">
      <c r="V106" s="9" t="s">
        <v>122</v>
      </c>
    </row>
    <row r="107" spans="2:28">
      <c r="B107" s="12"/>
      <c r="V107" s="12" t="s">
        <v>123</v>
      </c>
    </row>
    <row r="108" spans="2:28">
      <c r="V108" s="12" t="s">
        <v>125</v>
      </c>
    </row>
    <row r="109" spans="2:28">
      <c r="H109" s="17"/>
      <c r="V109" s="12" t="s">
        <v>124</v>
      </c>
    </row>
  </sheetData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AB109"/>
  <sheetViews>
    <sheetView workbookViewId="0">
      <pane xSplit="2" ySplit="15" topLeftCell="C16" activePane="bottomRight" state="frozen"/>
      <selection pane="topRight"/>
      <selection pane="bottomLeft"/>
      <selection pane="bottomRight"/>
    </sheetView>
  </sheetViews>
  <sheetFormatPr defaultColWidth="10.8984375" defaultRowHeight="15"/>
  <cols>
    <col min="1" max="1" width="10.8984375" style="9"/>
    <col min="2" max="2" width="30.59765625" style="9" customWidth="1"/>
    <col min="3" max="4" width="13.5" style="13" customWidth="1"/>
    <col min="5" max="5" width="14.3984375" style="38" customWidth="1"/>
    <col min="6" max="6" width="47.8984375" style="13" customWidth="1"/>
    <col min="7" max="7" width="13.5" style="13" customWidth="1"/>
    <col min="8" max="13" width="13.5" style="8" customWidth="1"/>
    <col min="14" max="19" width="13.5" style="14" customWidth="1"/>
    <col min="20" max="20" width="58.5" style="14" customWidth="1"/>
    <col min="21" max="21" width="32" style="9" customWidth="1"/>
    <col min="22" max="22" width="42.8984375" style="9" customWidth="1"/>
    <col min="23" max="23" width="61.59765625" style="9" customWidth="1"/>
    <col min="24" max="24" width="12.09765625" style="9" customWidth="1"/>
    <col min="25" max="25" width="12" style="9" customWidth="1"/>
    <col min="26" max="26" width="48.5" style="9" customWidth="1"/>
    <col min="27" max="27" width="56.3984375" style="9" customWidth="1"/>
    <col min="28" max="16384" width="10.8984375" style="9"/>
  </cols>
  <sheetData>
    <row r="2" spans="2:28" ht="15.6">
      <c r="B2" s="7" t="s">
        <v>5</v>
      </c>
    </row>
    <row r="4" spans="2:28" s="7" customFormat="1" ht="15.6">
      <c r="B4" s="7" t="s">
        <v>574</v>
      </c>
      <c r="C4" s="50" t="s">
        <v>573</v>
      </c>
      <c r="D4" s="50"/>
      <c r="E4" s="51"/>
      <c r="F4" s="51"/>
      <c r="G4" s="50"/>
      <c r="H4" s="50"/>
      <c r="I4" s="52"/>
      <c r="J4" s="52"/>
      <c r="K4" s="52"/>
      <c r="L4" s="52"/>
      <c r="M4" s="52"/>
      <c r="N4" s="52"/>
      <c r="O4" s="53"/>
      <c r="P4" s="53"/>
      <c r="Q4" s="53"/>
      <c r="R4" s="53"/>
      <c r="S4" s="53"/>
      <c r="T4" s="53"/>
      <c r="U4" s="53"/>
    </row>
    <row r="5" spans="2:28">
      <c r="B5" s="9" t="s">
        <v>588</v>
      </c>
      <c r="C5" s="59">
        <v>45566</v>
      </c>
      <c r="F5" s="38"/>
      <c r="H5" s="13"/>
      <c r="N5" s="8"/>
      <c r="U5" s="14"/>
    </row>
    <row r="7" spans="2:28">
      <c r="B7" s="9" t="s">
        <v>92</v>
      </c>
      <c r="R7" s="15"/>
      <c r="S7" s="15"/>
    </row>
    <row r="8" spans="2:28">
      <c r="B8" s="9" t="s">
        <v>93</v>
      </c>
      <c r="D8" s="14">
        <v>1.5</v>
      </c>
      <c r="K8" s="9"/>
      <c r="O8" s="16"/>
      <c r="Q8" s="9"/>
      <c r="R8" s="15"/>
    </row>
    <row r="9" spans="2:28">
      <c r="B9" s="9" t="s">
        <v>94</v>
      </c>
      <c r="D9" s="14">
        <v>0.5</v>
      </c>
      <c r="S9" s="15"/>
    </row>
    <row r="10" spans="2:28">
      <c r="B10" s="9" t="s">
        <v>95</v>
      </c>
      <c r="K10" s="17"/>
      <c r="R10" s="15"/>
    </row>
    <row r="11" spans="2:28">
      <c r="B11" s="9" t="s">
        <v>96</v>
      </c>
      <c r="C11" s="15"/>
      <c r="E11" s="39"/>
      <c r="F11" s="15"/>
      <c r="G11" s="15"/>
    </row>
    <row r="12" spans="2:28">
      <c r="C12" s="15"/>
      <c r="E12" s="39"/>
      <c r="F12" s="15"/>
      <c r="G12" s="15"/>
      <c r="K12" s="9"/>
      <c r="O12" s="9"/>
      <c r="Q12" s="9"/>
    </row>
    <row r="14" spans="2:28" s="11" customFormat="1" ht="45">
      <c r="B14" s="11" t="s">
        <v>0</v>
      </c>
      <c r="C14" s="18" t="s">
        <v>118</v>
      </c>
      <c r="D14" s="18" t="s">
        <v>117</v>
      </c>
      <c r="E14" s="40" t="s">
        <v>548</v>
      </c>
      <c r="F14" s="18" t="s">
        <v>550</v>
      </c>
      <c r="G14" s="18"/>
      <c r="H14" s="10"/>
      <c r="I14" s="10"/>
      <c r="J14" s="10"/>
      <c r="K14" s="10"/>
      <c r="L14" s="10"/>
      <c r="M14" s="10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</row>
    <row r="15" spans="2:28" s="11" customFormat="1">
      <c r="B15" s="11" t="s">
        <v>105</v>
      </c>
      <c r="C15" s="20"/>
      <c r="D15" s="20"/>
      <c r="E15" s="41" t="str">
        <f>_xlfn.TEXTJOIN(,0,COUNTIF(E16:E104,$E$106)," / ",COUNTIF(E16:E104,$E$107)," / ",COUNTIF(E16:E104,$E$108)+COUNTIF(E16:E104,$E$109))</f>
        <v>89 / 0 / 0</v>
      </c>
      <c r="F15" s="20"/>
      <c r="G15" s="20"/>
      <c r="H15" s="21"/>
      <c r="I15" s="21"/>
      <c r="J15" s="21"/>
      <c r="K15" s="21"/>
      <c r="L15" s="21"/>
      <c r="M15" s="21"/>
      <c r="N15" s="22"/>
      <c r="O15" s="22"/>
      <c r="P15" s="22"/>
      <c r="Q15" s="22"/>
      <c r="R15" s="23"/>
      <c r="S15" s="23"/>
      <c r="T15" s="23"/>
      <c r="AB15" s="9"/>
    </row>
    <row r="16" spans="2:28" ht="30">
      <c r="B16" s="12" t="s">
        <v>1</v>
      </c>
      <c r="C16" s="20">
        <f>IF(OR(G16=2,D16&gt;$D$8),2,IF(OR(G16=1,D16&gt;$D$9),1,0))</f>
        <v>2</v>
      </c>
      <c r="D16" s="20">
        <f>IF(E16="в разработке",2,IF(E16="утверждена",0,1))</f>
        <v>2</v>
      </c>
      <c r="E16" s="42" t="s">
        <v>156</v>
      </c>
      <c r="F16" s="20" t="str">
        <f>_xlfn.TEXTJOIN(,0,"Дорожная карта по контейнерам и КП ",E16)</f>
        <v>Дорожная карта по контейнерам и КП в разработке</v>
      </c>
      <c r="G16" s="20"/>
      <c r="H16" s="21"/>
      <c r="I16" s="21"/>
      <c r="J16" s="21"/>
      <c r="K16" s="21"/>
      <c r="L16" s="21"/>
      <c r="M16" s="21"/>
      <c r="N16" s="22"/>
      <c r="O16" s="22"/>
      <c r="P16" s="22"/>
      <c r="Q16" s="22"/>
      <c r="R16" s="23"/>
      <c r="S16" s="23"/>
      <c r="T16" s="9"/>
      <c r="V16" s="25"/>
    </row>
    <row r="17" spans="2:22" ht="30">
      <c r="B17" s="12" t="s">
        <v>9</v>
      </c>
      <c r="C17" s="20">
        <f t="shared" ref="C17:C80" si="0">IF(OR(G17=2,D17&gt;$D$8),2,IF(OR(G17=1,D17&gt;$D$9),1,0))</f>
        <v>2</v>
      </c>
      <c r="D17" s="20">
        <f t="shared" ref="D17:D80" si="1">IF(E17="в разработке",2,IF(E17="утверждена",0,1))</f>
        <v>2</v>
      </c>
      <c r="E17" s="42" t="s">
        <v>156</v>
      </c>
      <c r="F17" s="20" t="str">
        <f t="shared" ref="F17:F80" si="2">_xlfn.TEXTJOIN(,0,"Дорожная карта по контейнерам и КП ",E17)</f>
        <v>Дорожная карта по контейнерам и КП в разработке</v>
      </c>
      <c r="G17" s="20"/>
      <c r="H17" s="21"/>
      <c r="I17" s="21"/>
      <c r="J17" s="21"/>
      <c r="K17" s="21"/>
      <c r="L17" s="21"/>
      <c r="M17" s="21"/>
      <c r="N17" s="22"/>
      <c r="O17" s="22"/>
      <c r="P17" s="22"/>
      <c r="Q17" s="22"/>
      <c r="R17" s="23"/>
      <c r="S17" s="23"/>
      <c r="T17" s="9"/>
      <c r="V17" s="25"/>
    </row>
    <row r="18" spans="2:22" ht="30">
      <c r="B18" s="12" t="s">
        <v>10</v>
      </c>
      <c r="C18" s="20">
        <f t="shared" si="0"/>
        <v>2</v>
      </c>
      <c r="D18" s="20">
        <f t="shared" si="1"/>
        <v>2</v>
      </c>
      <c r="E18" s="42" t="s">
        <v>156</v>
      </c>
      <c r="F18" s="20" t="str">
        <f t="shared" si="2"/>
        <v>Дорожная карта по контейнерам и КП в разработке</v>
      </c>
      <c r="G18" s="20"/>
      <c r="H18" s="21"/>
      <c r="I18" s="21"/>
      <c r="J18" s="21"/>
      <c r="K18" s="21"/>
      <c r="L18" s="21"/>
      <c r="M18" s="21"/>
      <c r="N18" s="22"/>
      <c r="O18" s="22"/>
      <c r="P18" s="22"/>
      <c r="Q18" s="22"/>
      <c r="R18" s="23"/>
      <c r="S18" s="23"/>
      <c r="T18" s="9"/>
      <c r="V18" s="25"/>
    </row>
    <row r="19" spans="2:22" ht="30">
      <c r="B19" s="12" t="s">
        <v>2</v>
      </c>
      <c r="C19" s="20">
        <f t="shared" si="0"/>
        <v>2</v>
      </c>
      <c r="D19" s="20">
        <f t="shared" si="1"/>
        <v>2</v>
      </c>
      <c r="E19" s="42" t="s">
        <v>156</v>
      </c>
      <c r="F19" s="20" t="str">
        <f t="shared" si="2"/>
        <v>Дорожная карта по контейнерам и КП в разработке</v>
      </c>
      <c r="G19" s="20"/>
      <c r="H19" s="21"/>
      <c r="I19" s="21"/>
      <c r="J19" s="21"/>
      <c r="K19" s="21"/>
      <c r="L19" s="21"/>
      <c r="M19" s="21"/>
      <c r="N19" s="22"/>
      <c r="O19" s="22"/>
      <c r="P19" s="22"/>
      <c r="Q19" s="22"/>
      <c r="R19" s="23"/>
      <c r="S19" s="23"/>
      <c r="T19" s="9"/>
      <c r="V19" s="25"/>
    </row>
    <row r="20" spans="2:22" ht="30">
      <c r="B20" s="12" t="s">
        <v>11</v>
      </c>
      <c r="C20" s="20">
        <f t="shared" si="0"/>
        <v>2</v>
      </c>
      <c r="D20" s="20">
        <f t="shared" si="1"/>
        <v>2</v>
      </c>
      <c r="E20" s="42" t="s">
        <v>156</v>
      </c>
      <c r="F20" s="20" t="str">
        <f t="shared" si="2"/>
        <v>Дорожная карта по контейнерам и КП в разработке</v>
      </c>
      <c r="G20" s="20"/>
      <c r="H20" s="21"/>
      <c r="I20" s="21"/>
      <c r="J20" s="21"/>
      <c r="K20" s="21"/>
      <c r="L20" s="21"/>
      <c r="M20" s="21"/>
      <c r="N20" s="22"/>
      <c r="O20" s="22"/>
      <c r="P20" s="22"/>
      <c r="Q20" s="22"/>
      <c r="R20" s="23"/>
      <c r="S20" s="23"/>
      <c r="T20" s="9"/>
      <c r="V20" s="25"/>
    </row>
    <row r="21" spans="2:22" ht="30">
      <c r="B21" s="12" t="s">
        <v>12</v>
      </c>
      <c r="C21" s="20">
        <f t="shared" si="0"/>
        <v>2</v>
      </c>
      <c r="D21" s="20">
        <f t="shared" si="1"/>
        <v>2</v>
      </c>
      <c r="E21" s="42" t="s">
        <v>156</v>
      </c>
      <c r="F21" s="20" t="str">
        <f t="shared" si="2"/>
        <v>Дорожная карта по контейнерам и КП в разработке</v>
      </c>
      <c r="G21" s="20"/>
      <c r="H21" s="21"/>
      <c r="I21" s="21"/>
      <c r="J21" s="21"/>
      <c r="K21" s="21"/>
      <c r="L21" s="21"/>
      <c r="M21" s="21"/>
      <c r="N21" s="22"/>
      <c r="O21" s="22"/>
      <c r="P21" s="22"/>
      <c r="Q21" s="22"/>
      <c r="R21" s="23"/>
      <c r="S21" s="23"/>
      <c r="T21" s="9"/>
      <c r="V21" s="25"/>
    </row>
    <row r="22" spans="2:22" ht="30">
      <c r="B22" s="12" t="s">
        <v>13</v>
      </c>
      <c r="C22" s="20">
        <f t="shared" si="0"/>
        <v>2</v>
      </c>
      <c r="D22" s="20">
        <f t="shared" si="1"/>
        <v>2</v>
      </c>
      <c r="E22" s="42" t="s">
        <v>156</v>
      </c>
      <c r="F22" s="20" t="str">
        <f t="shared" si="2"/>
        <v>Дорожная карта по контейнерам и КП в разработке</v>
      </c>
      <c r="G22" s="20"/>
      <c r="H22" s="21"/>
      <c r="I22" s="21"/>
      <c r="J22" s="21"/>
      <c r="K22" s="21"/>
      <c r="L22" s="21"/>
      <c r="M22" s="21"/>
      <c r="N22" s="22"/>
      <c r="O22" s="22"/>
      <c r="P22" s="22"/>
      <c r="Q22" s="22"/>
      <c r="R22" s="23"/>
      <c r="S22" s="23"/>
      <c r="T22" s="9"/>
      <c r="V22" s="25"/>
    </row>
    <row r="23" spans="2:22" ht="30">
      <c r="B23" s="12" t="s">
        <v>14</v>
      </c>
      <c r="C23" s="20">
        <f t="shared" si="0"/>
        <v>2</v>
      </c>
      <c r="D23" s="20">
        <f t="shared" si="1"/>
        <v>2</v>
      </c>
      <c r="E23" s="42" t="s">
        <v>156</v>
      </c>
      <c r="F23" s="20" t="str">
        <f t="shared" si="2"/>
        <v>Дорожная карта по контейнерам и КП в разработке</v>
      </c>
      <c r="G23" s="20"/>
      <c r="H23" s="21"/>
      <c r="I23" s="21"/>
      <c r="J23" s="21"/>
      <c r="K23" s="21"/>
      <c r="L23" s="21"/>
      <c r="M23" s="21"/>
      <c r="N23" s="22"/>
      <c r="O23" s="22"/>
      <c r="P23" s="22"/>
      <c r="Q23" s="22"/>
      <c r="R23" s="23"/>
      <c r="S23" s="23"/>
      <c r="T23" s="9"/>
      <c r="V23" s="25"/>
    </row>
    <row r="24" spans="2:22" ht="30">
      <c r="B24" s="12" t="s">
        <v>15</v>
      </c>
      <c r="C24" s="20">
        <f t="shared" si="0"/>
        <v>2</v>
      </c>
      <c r="D24" s="20">
        <f t="shared" si="1"/>
        <v>2</v>
      </c>
      <c r="E24" s="42" t="s">
        <v>156</v>
      </c>
      <c r="F24" s="20" t="str">
        <f t="shared" si="2"/>
        <v>Дорожная карта по контейнерам и КП в разработке</v>
      </c>
      <c r="G24" s="20"/>
      <c r="H24" s="21"/>
      <c r="I24" s="21"/>
      <c r="J24" s="21"/>
      <c r="K24" s="21"/>
      <c r="L24" s="21"/>
      <c r="M24" s="21"/>
      <c r="N24" s="22"/>
      <c r="O24" s="22"/>
      <c r="P24" s="22"/>
      <c r="Q24" s="22"/>
      <c r="R24" s="23"/>
      <c r="S24" s="23"/>
      <c r="T24" s="9"/>
      <c r="V24" s="25"/>
    </row>
    <row r="25" spans="2:22" ht="30">
      <c r="B25" s="12" t="s">
        <v>16</v>
      </c>
      <c r="C25" s="20">
        <f t="shared" si="0"/>
        <v>2</v>
      </c>
      <c r="D25" s="20">
        <f t="shared" si="1"/>
        <v>2</v>
      </c>
      <c r="E25" s="42" t="s">
        <v>156</v>
      </c>
      <c r="F25" s="20" t="str">
        <f t="shared" si="2"/>
        <v>Дорожная карта по контейнерам и КП в разработке</v>
      </c>
      <c r="G25" s="20"/>
      <c r="H25" s="21"/>
      <c r="I25" s="21"/>
      <c r="J25" s="21"/>
      <c r="K25" s="21"/>
      <c r="L25" s="21"/>
      <c r="M25" s="21"/>
      <c r="N25" s="22"/>
      <c r="O25" s="22"/>
      <c r="P25" s="22"/>
      <c r="Q25" s="22"/>
      <c r="R25" s="23"/>
      <c r="S25" s="23"/>
      <c r="T25" s="9"/>
      <c r="V25" s="25"/>
    </row>
    <row r="26" spans="2:22" ht="30">
      <c r="B26" s="12" t="s">
        <v>17</v>
      </c>
      <c r="C26" s="20">
        <f t="shared" si="0"/>
        <v>2</v>
      </c>
      <c r="D26" s="20">
        <f t="shared" si="1"/>
        <v>2</v>
      </c>
      <c r="E26" s="42" t="s">
        <v>156</v>
      </c>
      <c r="F26" s="20" t="str">
        <f t="shared" si="2"/>
        <v>Дорожная карта по контейнерам и КП в разработке</v>
      </c>
      <c r="G26" s="20"/>
      <c r="H26" s="21"/>
      <c r="I26" s="21"/>
      <c r="J26" s="21"/>
      <c r="K26" s="21"/>
      <c r="L26" s="21"/>
      <c r="M26" s="21"/>
      <c r="N26" s="22"/>
      <c r="O26" s="22"/>
      <c r="P26" s="22"/>
      <c r="Q26" s="22"/>
      <c r="R26" s="23"/>
      <c r="S26" s="23"/>
      <c r="T26" s="9"/>
      <c r="V26" s="25"/>
    </row>
    <row r="27" spans="2:22" ht="30">
      <c r="B27" s="12" t="s">
        <v>18</v>
      </c>
      <c r="C27" s="20">
        <f t="shared" si="0"/>
        <v>2</v>
      </c>
      <c r="D27" s="20">
        <f t="shared" si="1"/>
        <v>2</v>
      </c>
      <c r="E27" s="42" t="s">
        <v>156</v>
      </c>
      <c r="F27" s="20" t="str">
        <f t="shared" si="2"/>
        <v>Дорожная карта по контейнерам и КП в разработке</v>
      </c>
      <c r="G27" s="20"/>
      <c r="H27" s="21"/>
      <c r="I27" s="21"/>
      <c r="J27" s="21"/>
      <c r="K27" s="21"/>
      <c r="L27" s="21"/>
      <c r="M27" s="21"/>
      <c r="N27" s="22"/>
      <c r="O27" s="22"/>
      <c r="P27" s="22"/>
      <c r="Q27" s="22"/>
      <c r="R27" s="23"/>
      <c r="S27" s="23"/>
      <c r="T27" s="9"/>
      <c r="V27" s="25"/>
    </row>
    <row r="28" spans="2:22" ht="30">
      <c r="B28" s="12" t="s">
        <v>19</v>
      </c>
      <c r="C28" s="20">
        <f t="shared" si="0"/>
        <v>2</v>
      </c>
      <c r="D28" s="20">
        <f t="shared" si="1"/>
        <v>2</v>
      </c>
      <c r="E28" s="42" t="s">
        <v>156</v>
      </c>
      <c r="F28" s="20" t="str">
        <f t="shared" si="2"/>
        <v>Дорожная карта по контейнерам и КП в разработке</v>
      </c>
      <c r="G28" s="20"/>
      <c r="H28" s="21"/>
      <c r="I28" s="21"/>
      <c r="J28" s="21"/>
      <c r="K28" s="21"/>
      <c r="L28" s="21"/>
      <c r="M28" s="21"/>
      <c r="N28" s="22"/>
      <c r="O28" s="22"/>
      <c r="P28" s="22"/>
      <c r="Q28" s="22"/>
      <c r="R28" s="23"/>
      <c r="S28" s="23"/>
      <c r="T28" s="9"/>
      <c r="V28" s="25"/>
    </row>
    <row r="29" spans="2:22" ht="30">
      <c r="B29" s="12" t="s">
        <v>580</v>
      </c>
      <c r="C29" s="20">
        <f t="shared" si="0"/>
        <v>2</v>
      </c>
      <c r="D29" s="20">
        <f t="shared" si="1"/>
        <v>2</v>
      </c>
      <c r="E29" s="42" t="s">
        <v>156</v>
      </c>
      <c r="F29" s="20" t="str">
        <f t="shared" si="2"/>
        <v>Дорожная карта по контейнерам и КП в разработке</v>
      </c>
      <c r="G29" s="20"/>
      <c r="H29" s="21"/>
      <c r="I29" s="21"/>
      <c r="J29" s="21"/>
      <c r="K29" s="21"/>
      <c r="L29" s="21"/>
      <c r="M29" s="21"/>
      <c r="N29" s="22"/>
      <c r="O29" s="22"/>
      <c r="P29" s="22"/>
      <c r="Q29" s="22"/>
      <c r="R29" s="23"/>
      <c r="S29" s="23"/>
      <c r="T29" s="9"/>
      <c r="V29" s="25"/>
    </row>
    <row r="30" spans="2:22" ht="30">
      <c r="B30" s="12" t="s">
        <v>20</v>
      </c>
      <c r="C30" s="20">
        <f t="shared" si="0"/>
        <v>2</v>
      </c>
      <c r="D30" s="20">
        <f t="shared" si="1"/>
        <v>2</v>
      </c>
      <c r="E30" s="42" t="s">
        <v>156</v>
      </c>
      <c r="F30" s="20" t="str">
        <f t="shared" si="2"/>
        <v>Дорожная карта по контейнерам и КП в разработке</v>
      </c>
      <c r="G30" s="20"/>
      <c r="H30" s="21"/>
      <c r="I30" s="21"/>
      <c r="J30" s="21"/>
      <c r="K30" s="21"/>
      <c r="L30" s="21"/>
      <c r="M30" s="21"/>
      <c r="N30" s="22"/>
      <c r="O30" s="22"/>
      <c r="P30" s="22"/>
      <c r="Q30" s="22"/>
      <c r="R30" s="23"/>
      <c r="S30" s="23"/>
      <c r="T30" s="9"/>
      <c r="V30" s="25"/>
    </row>
    <row r="31" spans="2:22" ht="30">
      <c r="B31" s="12" t="s">
        <v>21</v>
      </c>
      <c r="C31" s="20">
        <f t="shared" si="0"/>
        <v>2</v>
      </c>
      <c r="D31" s="20">
        <f t="shared" si="1"/>
        <v>2</v>
      </c>
      <c r="E31" s="42" t="s">
        <v>156</v>
      </c>
      <c r="F31" s="20" t="str">
        <f t="shared" si="2"/>
        <v>Дорожная карта по контейнерам и КП в разработке</v>
      </c>
      <c r="G31" s="20"/>
      <c r="H31" s="21"/>
      <c r="I31" s="21"/>
      <c r="J31" s="21"/>
      <c r="K31" s="21"/>
      <c r="L31" s="21"/>
      <c r="M31" s="21"/>
      <c r="N31" s="22"/>
      <c r="O31" s="22"/>
      <c r="P31" s="22"/>
      <c r="Q31" s="22"/>
      <c r="R31" s="23"/>
      <c r="S31" s="23"/>
      <c r="T31" s="9"/>
      <c r="V31" s="25"/>
    </row>
    <row r="32" spans="2:22" ht="30">
      <c r="B32" s="12" t="s">
        <v>163</v>
      </c>
      <c r="C32" s="20">
        <f t="shared" si="0"/>
        <v>2</v>
      </c>
      <c r="D32" s="20">
        <f t="shared" si="1"/>
        <v>2</v>
      </c>
      <c r="E32" s="42" t="s">
        <v>156</v>
      </c>
      <c r="F32" s="20" t="str">
        <f t="shared" si="2"/>
        <v>Дорожная карта по контейнерам и КП в разработке</v>
      </c>
      <c r="G32" s="20"/>
      <c r="H32" s="21"/>
      <c r="I32" s="21"/>
      <c r="J32" s="21"/>
      <c r="K32" s="21"/>
      <c r="L32" s="21"/>
      <c r="M32" s="21"/>
      <c r="N32" s="22"/>
      <c r="O32" s="22"/>
      <c r="P32" s="22"/>
      <c r="Q32" s="22"/>
      <c r="R32" s="23"/>
      <c r="S32" s="23"/>
      <c r="T32" s="9"/>
      <c r="V32" s="25"/>
    </row>
    <row r="33" spans="2:22" ht="30">
      <c r="B33" s="12" t="s">
        <v>22</v>
      </c>
      <c r="C33" s="20">
        <f t="shared" si="0"/>
        <v>2</v>
      </c>
      <c r="D33" s="20">
        <f t="shared" si="1"/>
        <v>2</v>
      </c>
      <c r="E33" s="42" t="s">
        <v>156</v>
      </c>
      <c r="F33" s="20" t="str">
        <f t="shared" si="2"/>
        <v>Дорожная карта по контейнерам и КП в разработке</v>
      </c>
      <c r="G33" s="20"/>
      <c r="H33" s="21"/>
      <c r="I33" s="21"/>
      <c r="J33" s="21"/>
      <c r="K33" s="21"/>
      <c r="L33" s="21"/>
      <c r="M33" s="21"/>
      <c r="N33" s="22"/>
      <c r="O33" s="22"/>
      <c r="P33" s="22"/>
      <c r="Q33" s="22"/>
      <c r="R33" s="23"/>
      <c r="S33" s="23"/>
      <c r="T33" s="9"/>
      <c r="V33" s="25"/>
    </row>
    <row r="34" spans="2:22" ht="30">
      <c r="B34" s="12" t="s">
        <v>23</v>
      </c>
      <c r="C34" s="20">
        <f t="shared" si="0"/>
        <v>2</v>
      </c>
      <c r="D34" s="20">
        <f t="shared" si="1"/>
        <v>2</v>
      </c>
      <c r="E34" s="42" t="s">
        <v>156</v>
      </c>
      <c r="F34" s="20" t="str">
        <f t="shared" si="2"/>
        <v>Дорожная карта по контейнерам и КП в разработке</v>
      </c>
      <c r="G34" s="20"/>
      <c r="H34" s="21"/>
      <c r="I34" s="21"/>
      <c r="J34" s="21"/>
      <c r="K34" s="21"/>
      <c r="L34" s="21"/>
      <c r="M34" s="21"/>
      <c r="N34" s="22"/>
      <c r="O34" s="22"/>
      <c r="P34" s="22"/>
      <c r="Q34" s="22"/>
      <c r="R34" s="23"/>
      <c r="S34" s="23"/>
      <c r="T34" s="9"/>
      <c r="V34" s="25"/>
    </row>
    <row r="35" spans="2:22" ht="30">
      <c r="B35" s="12" t="s">
        <v>24</v>
      </c>
      <c r="C35" s="20">
        <f t="shared" si="0"/>
        <v>2</v>
      </c>
      <c r="D35" s="20">
        <f t="shared" si="1"/>
        <v>2</v>
      </c>
      <c r="E35" s="42" t="s">
        <v>156</v>
      </c>
      <c r="F35" s="20" t="str">
        <f t="shared" si="2"/>
        <v>Дорожная карта по контейнерам и КП в разработке</v>
      </c>
      <c r="G35" s="20"/>
      <c r="H35" s="21"/>
      <c r="I35" s="21"/>
      <c r="J35" s="21"/>
      <c r="K35" s="21"/>
      <c r="L35" s="21"/>
      <c r="M35" s="21"/>
      <c r="N35" s="22"/>
      <c r="O35" s="22"/>
      <c r="P35" s="22"/>
      <c r="Q35" s="22"/>
      <c r="R35" s="23"/>
      <c r="S35" s="23"/>
      <c r="T35" s="9"/>
      <c r="V35" s="25"/>
    </row>
    <row r="36" spans="2:22" ht="30">
      <c r="B36" s="12" t="s">
        <v>25</v>
      </c>
      <c r="C36" s="20">
        <f t="shared" si="0"/>
        <v>2</v>
      </c>
      <c r="D36" s="20">
        <f t="shared" si="1"/>
        <v>2</v>
      </c>
      <c r="E36" s="42" t="s">
        <v>156</v>
      </c>
      <c r="F36" s="20" t="str">
        <f t="shared" si="2"/>
        <v>Дорожная карта по контейнерам и КП в разработке</v>
      </c>
      <c r="G36" s="20"/>
      <c r="H36" s="21"/>
      <c r="I36" s="21"/>
      <c r="J36" s="21"/>
      <c r="K36" s="21"/>
      <c r="L36" s="21"/>
      <c r="M36" s="21"/>
      <c r="N36" s="22"/>
      <c r="O36" s="22"/>
      <c r="P36" s="22"/>
      <c r="Q36" s="22"/>
      <c r="R36" s="23"/>
      <c r="S36" s="23"/>
      <c r="T36" s="9"/>
      <c r="V36" s="25"/>
    </row>
    <row r="37" spans="2:22" ht="30">
      <c r="B37" s="12" t="s">
        <v>26</v>
      </c>
      <c r="C37" s="20">
        <f t="shared" si="0"/>
        <v>2</v>
      </c>
      <c r="D37" s="20">
        <f t="shared" si="1"/>
        <v>2</v>
      </c>
      <c r="E37" s="42" t="s">
        <v>156</v>
      </c>
      <c r="F37" s="20" t="str">
        <f t="shared" si="2"/>
        <v>Дорожная карта по контейнерам и КП в разработке</v>
      </c>
      <c r="G37" s="20"/>
      <c r="H37" s="21"/>
      <c r="I37" s="21"/>
      <c r="J37" s="21"/>
      <c r="K37" s="21"/>
      <c r="L37" s="21"/>
      <c r="M37" s="21"/>
      <c r="N37" s="22"/>
      <c r="O37" s="22"/>
      <c r="P37" s="22"/>
      <c r="Q37" s="22"/>
      <c r="R37" s="23"/>
      <c r="S37" s="23"/>
      <c r="T37" s="9"/>
      <c r="V37" s="25"/>
    </row>
    <row r="38" spans="2:22" ht="30">
      <c r="B38" s="12" t="s">
        <v>27</v>
      </c>
      <c r="C38" s="20">
        <f t="shared" si="0"/>
        <v>2</v>
      </c>
      <c r="D38" s="20">
        <f t="shared" si="1"/>
        <v>2</v>
      </c>
      <c r="E38" s="42" t="s">
        <v>156</v>
      </c>
      <c r="F38" s="20" t="str">
        <f t="shared" si="2"/>
        <v>Дорожная карта по контейнерам и КП в разработке</v>
      </c>
      <c r="G38" s="20"/>
      <c r="H38" s="21"/>
      <c r="I38" s="21"/>
      <c r="J38" s="21"/>
      <c r="K38" s="21"/>
      <c r="L38" s="21"/>
      <c r="M38" s="21"/>
      <c r="N38" s="22"/>
      <c r="O38" s="22"/>
      <c r="P38" s="22"/>
      <c r="Q38" s="22"/>
      <c r="R38" s="23"/>
      <c r="S38" s="23"/>
      <c r="T38" s="9"/>
      <c r="V38" s="25"/>
    </row>
    <row r="39" spans="2:22" ht="30">
      <c r="B39" s="12" t="s">
        <v>28</v>
      </c>
      <c r="C39" s="20">
        <f t="shared" si="0"/>
        <v>2</v>
      </c>
      <c r="D39" s="20">
        <f t="shared" si="1"/>
        <v>2</v>
      </c>
      <c r="E39" s="42" t="s">
        <v>156</v>
      </c>
      <c r="F39" s="20" t="str">
        <f t="shared" si="2"/>
        <v>Дорожная карта по контейнерам и КП в разработке</v>
      </c>
      <c r="G39" s="20"/>
      <c r="H39" s="21"/>
      <c r="I39" s="21"/>
      <c r="J39" s="21"/>
      <c r="K39" s="21"/>
      <c r="L39" s="21"/>
      <c r="M39" s="21"/>
      <c r="N39" s="22"/>
      <c r="O39" s="22"/>
      <c r="P39" s="22"/>
      <c r="Q39" s="22"/>
      <c r="R39" s="23"/>
      <c r="S39" s="23"/>
      <c r="T39" s="9"/>
      <c r="V39" s="25"/>
    </row>
    <row r="40" spans="2:22" ht="30">
      <c r="B40" s="12" t="s">
        <v>29</v>
      </c>
      <c r="C40" s="20">
        <f t="shared" si="0"/>
        <v>2</v>
      </c>
      <c r="D40" s="20">
        <f t="shared" si="1"/>
        <v>2</v>
      </c>
      <c r="E40" s="42" t="s">
        <v>156</v>
      </c>
      <c r="F40" s="20" t="str">
        <f t="shared" si="2"/>
        <v>Дорожная карта по контейнерам и КП в разработке</v>
      </c>
      <c r="G40" s="20"/>
      <c r="H40" s="21"/>
      <c r="I40" s="21"/>
      <c r="J40" s="21"/>
      <c r="K40" s="21"/>
      <c r="L40" s="21"/>
      <c r="M40" s="21"/>
      <c r="N40" s="22"/>
      <c r="O40" s="22"/>
      <c r="P40" s="22"/>
      <c r="Q40" s="22"/>
      <c r="R40" s="23"/>
      <c r="S40" s="23"/>
      <c r="T40" s="9"/>
      <c r="V40" s="25"/>
    </row>
    <row r="41" spans="2:22" ht="30">
      <c r="B41" s="12" t="s">
        <v>30</v>
      </c>
      <c r="C41" s="20">
        <f t="shared" si="0"/>
        <v>2</v>
      </c>
      <c r="D41" s="20">
        <f t="shared" si="1"/>
        <v>2</v>
      </c>
      <c r="E41" s="42" t="s">
        <v>156</v>
      </c>
      <c r="F41" s="20" t="str">
        <f t="shared" si="2"/>
        <v>Дорожная карта по контейнерам и КП в разработке</v>
      </c>
      <c r="G41" s="20"/>
      <c r="H41" s="21"/>
      <c r="I41" s="21"/>
      <c r="J41" s="21"/>
      <c r="K41" s="21"/>
      <c r="L41" s="21"/>
      <c r="M41" s="21"/>
      <c r="N41" s="22"/>
      <c r="O41" s="22"/>
      <c r="P41" s="22"/>
      <c r="Q41" s="22"/>
      <c r="R41" s="23"/>
      <c r="S41" s="23"/>
      <c r="T41" s="9"/>
      <c r="V41" s="25"/>
    </row>
    <row r="42" spans="2:22" ht="30">
      <c r="B42" s="12" t="s">
        <v>31</v>
      </c>
      <c r="C42" s="20">
        <f t="shared" si="0"/>
        <v>2</v>
      </c>
      <c r="D42" s="20">
        <f t="shared" si="1"/>
        <v>2</v>
      </c>
      <c r="E42" s="42" t="s">
        <v>156</v>
      </c>
      <c r="F42" s="20" t="str">
        <f t="shared" si="2"/>
        <v>Дорожная карта по контейнерам и КП в разработке</v>
      </c>
      <c r="G42" s="20"/>
      <c r="H42" s="21"/>
      <c r="I42" s="21"/>
      <c r="J42" s="21"/>
      <c r="K42" s="21"/>
      <c r="L42" s="21"/>
      <c r="M42" s="21"/>
      <c r="N42" s="22"/>
      <c r="O42" s="22"/>
      <c r="P42" s="22"/>
      <c r="Q42" s="22"/>
      <c r="R42" s="23"/>
      <c r="S42" s="23"/>
      <c r="T42" s="9"/>
      <c r="V42" s="25"/>
    </row>
    <row r="43" spans="2:22" ht="30">
      <c r="B43" s="12" t="s">
        <v>32</v>
      </c>
      <c r="C43" s="20">
        <f t="shared" si="0"/>
        <v>2</v>
      </c>
      <c r="D43" s="20">
        <f t="shared" si="1"/>
        <v>2</v>
      </c>
      <c r="E43" s="42" t="s">
        <v>156</v>
      </c>
      <c r="F43" s="20" t="str">
        <f t="shared" si="2"/>
        <v>Дорожная карта по контейнерам и КП в разработке</v>
      </c>
      <c r="G43" s="20"/>
      <c r="H43" s="21"/>
      <c r="I43" s="21"/>
      <c r="J43" s="21"/>
      <c r="K43" s="21"/>
      <c r="L43" s="21"/>
      <c r="M43" s="21"/>
      <c r="N43" s="22"/>
      <c r="O43" s="22"/>
      <c r="P43" s="22"/>
      <c r="Q43" s="22"/>
      <c r="R43" s="23"/>
      <c r="S43" s="23"/>
      <c r="T43" s="9"/>
      <c r="V43" s="25"/>
    </row>
    <row r="44" spans="2:22" ht="30">
      <c r="B44" s="12" t="s">
        <v>33</v>
      </c>
      <c r="C44" s="20">
        <f t="shared" si="0"/>
        <v>2</v>
      </c>
      <c r="D44" s="20">
        <f t="shared" si="1"/>
        <v>2</v>
      </c>
      <c r="E44" s="42" t="s">
        <v>156</v>
      </c>
      <c r="F44" s="20" t="str">
        <f t="shared" si="2"/>
        <v>Дорожная карта по контейнерам и КП в разработке</v>
      </c>
      <c r="G44" s="20"/>
      <c r="H44" s="21"/>
      <c r="I44" s="21"/>
      <c r="J44" s="21"/>
      <c r="K44" s="21"/>
      <c r="L44" s="21"/>
      <c r="M44" s="21"/>
      <c r="N44" s="22"/>
      <c r="O44" s="22"/>
      <c r="P44" s="22"/>
      <c r="Q44" s="22"/>
      <c r="R44" s="23"/>
      <c r="S44" s="23"/>
      <c r="T44" s="9"/>
      <c r="V44" s="25"/>
    </row>
    <row r="45" spans="2:22" ht="30">
      <c r="B45" s="12" t="s">
        <v>34</v>
      </c>
      <c r="C45" s="20">
        <f t="shared" si="0"/>
        <v>2</v>
      </c>
      <c r="D45" s="20">
        <f t="shared" si="1"/>
        <v>2</v>
      </c>
      <c r="E45" s="42" t="s">
        <v>156</v>
      </c>
      <c r="F45" s="20" t="str">
        <f t="shared" si="2"/>
        <v>Дорожная карта по контейнерам и КП в разработке</v>
      </c>
      <c r="G45" s="20"/>
      <c r="H45" s="21"/>
      <c r="I45" s="21"/>
      <c r="J45" s="21"/>
      <c r="K45" s="21"/>
      <c r="L45" s="21"/>
      <c r="M45" s="21"/>
      <c r="N45" s="22"/>
      <c r="O45" s="22"/>
      <c r="P45" s="22"/>
      <c r="Q45" s="22"/>
      <c r="R45" s="23"/>
      <c r="S45" s="23"/>
      <c r="T45" s="9"/>
      <c r="V45" s="25"/>
    </row>
    <row r="46" spans="2:22" ht="30">
      <c r="B46" s="12" t="s">
        <v>35</v>
      </c>
      <c r="C46" s="20">
        <f t="shared" si="0"/>
        <v>2</v>
      </c>
      <c r="D46" s="20">
        <f t="shared" si="1"/>
        <v>2</v>
      </c>
      <c r="E46" s="42" t="s">
        <v>156</v>
      </c>
      <c r="F46" s="20" t="str">
        <f t="shared" si="2"/>
        <v>Дорожная карта по контейнерам и КП в разработке</v>
      </c>
      <c r="G46" s="20"/>
      <c r="H46" s="21"/>
      <c r="I46" s="21"/>
      <c r="J46" s="21"/>
      <c r="K46" s="21"/>
      <c r="L46" s="21"/>
      <c r="M46" s="21"/>
      <c r="N46" s="22"/>
      <c r="O46" s="22"/>
      <c r="P46" s="22"/>
      <c r="Q46" s="22"/>
      <c r="R46" s="23"/>
      <c r="S46" s="23"/>
      <c r="T46" s="9"/>
      <c r="V46" s="25"/>
    </row>
    <row r="47" spans="2:22" ht="30">
      <c r="B47" s="12" t="s">
        <v>36</v>
      </c>
      <c r="C47" s="20">
        <f t="shared" si="0"/>
        <v>2</v>
      </c>
      <c r="D47" s="20">
        <f t="shared" si="1"/>
        <v>2</v>
      </c>
      <c r="E47" s="42" t="s">
        <v>156</v>
      </c>
      <c r="F47" s="20" t="str">
        <f t="shared" si="2"/>
        <v>Дорожная карта по контейнерам и КП в разработке</v>
      </c>
      <c r="G47" s="20"/>
      <c r="H47" s="21"/>
      <c r="I47" s="21"/>
      <c r="J47" s="21"/>
      <c r="K47" s="21"/>
      <c r="L47" s="21"/>
      <c r="M47" s="21"/>
      <c r="N47" s="22"/>
      <c r="O47" s="22"/>
      <c r="P47" s="22"/>
      <c r="Q47" s="22"/>
      <c r="R47" s="23"/>
      <c r="S47" s="23"/>
      <c r="T47" s="9"/>
      <c r="V47" s="25"/>
    </row>
    <row r="48" spans="2:22" ht="30">
      <c r="B48" s="12" t="s">
        <v>37</v>
      </c>
      <c r="C48" s="20">
        <f t="shared" si="0"/>
        <v>2</v>
      </c>
      <c r="D48" s="20">
        <f t="shared" si="1"/>
        <v>2</v>
      </c>
      <c r="E48" s="42" t="s">
        <v>156</v>
      </c>
      <c r="F48" s="20" t="str">
        <f t="shared" si="2"/>
        <v>Дорожная карта по контейнерам и КП в разработке</v>
      </c>
      <c r="G48" s="20"/>
      <c r="H48" s="21"/>
      <c r="I48" s="21"/>
      <c r="J48" s="21"/>
      <c r="K48" s="21"/>
      <c r="L48" s="21"/>
      <c r="M48" s="21"/>
      <c r="N48" s="22"/>
      <c r="O48" s="22"/>
      <c r="P48" s="22"/>
      <c r="Q48" s="22"/>
      <c r="R48" s="23"/>
      <c r="S48" s="23"/>
      <c r="T48" s="9"/>
      <c r="V48" s="25"/>
    </row>
    <row r="49" spans="2:22" ht="30">
      <c r="B49" s="12" t="s">
        <v>581</v>
      </c>
      <c r="C49" s="20">
        <f t="shared" si="0"/>
        <v>2</v>
      </c>
      <c r="D49" s="20">
        <f t="shared" si="1"/>
        <v>2</v>
      </c>
      <c r="E49" s="42" t="s">
        <v>156</v>
      </c>
      <c r="F49" s="20" t="str">
        <f t="shared" si="2"/>
        <v>Дорожная карта по контейнерам и КП в разработке</v>
      </c>
      <c r="G49" s="20"/>
      <c r="H49" s="21"/>
      <c r="I49" s="21"/>
      <c r="J49" s="21"/>
      <c r="K49" s="21"/>
      <c r="L49" s="21"/>
      <c r="M49" s="21"/>
      <c r="N49" s="22"/>
      <c r="O49" s="22"/>
      <c r="P49" s="22"/>
      <c r="Q49" s="22"/>
      <c r="R49" s="23"/>
      <c r="S49" s="23"/>
      <c r="T49" s="9"/>
      <c r="V49" s="25"/>
    </row>
    <row r="50" spans="2:22" ht="30">
      <c r="B50" s="12" t="s">
        <v>38</v>
      </c>
      <c r="C50" s="20">
        <f t="shared" si="0"/>
        <v>2</v>
      </c>
      <c r="D50" s="20">
        <f t="shared" si="1"/>
        <v>2</v>
      </c>
      <c r="E50" s="42" t="s">
        <v>156</v>
      </c>
      <c r="F50" s="20" t="str">
        <f t="shared" si="2"/>
        <v>Дорожная карта по контейнерам и КП в разработке</v>
      </c>
      <c r="G50" s="20"/>
      <c r="H50" s="21"/>
      <c r="I50" s="21"/>
      <c r="J50" s="21"/>
      <c r="K50" s="21"/>
      <c r="L50" s="21"/>
      <c r="M50" s="21"/>
      <c r="N50" s="22"/>
      <c r="O50" s="22"/>
      <c r="P50" s="22"/>
      <c r="Q50" s="22"/>
      <c r="R50" s="23"/>
      <c r="S50" s="23"/>
      <c r="T50" s="9"/>
      <c r="V50" s="25"/>
    </row>
    <row r="51" spans="2:22" ht="30">
      <c r="B51" s="12" t="s">
        <v>39</v>
      </c>
      <c r="C51" s="20">
        <f t="shared" si="0"/>
        <v>2</v>
      </c>
      <c r="D51" s="20">
        <f t="shared" si="1"/>
        <v>2</v>
      </c>
      <c r="E51" s="42" t="s">
        <v>156</v>
      </c>
      <c r="F51" s="20" t="str">
        <f t="shared" si="2"/>
        <v>Дорожная карта по контейнерам и КП в разработке</v>
      </c>
      <c r="G51" s="20"/>
      <c r="H51" s="21"/>
      <c r="I51" s="21"/>
      <c r="J51" s="21"/>
      <c r="K51" s="21"/>
      <c r="L51" s="21"/>
      <c r="M51" s="21"/>
      <c r="N51" s="22"/>
      <c r="O51" s="22"/>
      <c r="P51" s="22"/>
      <c r="Q51" s="22"/>
      <c r="R51" s="23"/>
      <c r="S51" s="23"/>
      <c r="T51" s="9"/>
      <c r="V51" s="25"/>
    </row>
    <row r="52" spans="2:22" ht="30">
      <c r="B52" s="12" t="s">
        <v>40</v>
      </c>
      <c r="C52" s="20">
        <f t="shared" si="0"/>
        <v>2</v>
      </c>
      <c r="D52" s="20">
        <f t="shared" si="1"/>
        <v>2</v>
      </c>
      <c r="E52" s="42" t="s">
        <v>156</v>
      </c>
      <c r="F52" s="20" t="str">
        <f t="shared" si="2"/>
        <v>Дорожная карта по контейнерам и КП в разработке</v>
      </c>
      <c r="G52" s="20"/>
      <c r="H52" s="21"/>
      <c r="I52" s="21"/>
      <c r="J52" s="21"/>
      <c r="K52" s="21"/>
      <c r="L52" s="21"/>
      <c r="M52" s="21"/>
      <c r="N52" s="22"/>
      <c r="O52" s="22"/>
      <c r="P52" s="22"/>
      <c r="Q52" s="22"/>
      <c r="R52" s="23"/>
      <c r="S52" s="23"/>
      <c r="T52" s="9"/>
      <c r="V52" s="25"/>
    </row>
    <row r="53" spans="2:22" ht="30">
      <c r="B53" s="12" t="s">
        <v>41</v>
      </c>
      <c r="C53" s="20">
        <f t="shared" si="0"/>
        <v>2</v>
      </c>
      <c r="D53" s="20">
        <f t="shared" si="1"/>
        <v>2</v>
      </c>
      <c r="E53" s="42" t="s">
        <v>156</v>
      </c>
      <c r="F53" s="20" t="str">
        <f t="shared" si="2"/>
        <v>Дорожная карта по контейнерам и КП в разработке</v>
      </c>
      <c r="G53" s="20"/>
      <c r="H53" s="21"/>
      <c r="I53" s="21"/>
      <c r="J53" s="21"/>
      <c r="K53" s="21"/>
      <c r="L53" s="21"/>
      <c r="M53" s="21"/>
      <c r="N53" s="22"/>
      <c r="O53" s="22"/>
      <c r="P53" s="22"/>
      <c r="Q53" s="22"/>
      <c r="R53" s="23"/>
      <c r="S53" s="23"/>
      <c r="T53" s="9"/>
      <c r="V53" s="25"/>
    </row>
    <row r="54" spans="2:22" ht="30">
      <c r="B54" s="12" t="s">
        <v>42</v>
      </c>
      <c r="C54" s="20">
        <f t="shared" si="0"/>
        <v>2</v>
      </c>
      <c r="D54" s="20">
        <f t="shared" si="1"/>
        <v>2</v>
      </c>
      <c r="E54" s="42" t="s">
        <v>156</v>
      </c>
      <c r="F54" s="20" t="str">
        <f t="shared" si="2"/>
        <v>Дорожная карта по контейнерам и КП в разработке</v>
      </c>
      <c r="G54" s="20"/>
      <c r="H54" s="21"/>
      <c r="I54" s="21"/>
      <c r="J54" s="21"/>
      <c r="K54" s="21"/>
      <c r="L54" s="21"/>
      <c r="M54" s="21"/>
      <c r="N54" s="22"/>
      <c r="O54" s="22"/>
      <c r="P54" s="22"/>
      <c r="Q54" s="22"/>
      <c r="R54" s="23"/>
      <c r="S54" s="23"/>
      <c r="T54" s="9"/>
      <c r="V54" s="25"/>
    </row>
    <row r="55" spans="2:22" ht="30">
      <c r="B55" s="12" t="s">
        <v>43</v>
      </c>
      <c r="C55" s="20">
        <f t="shared" si="0"/>
        <v>2</v>
      </c>
      <c r="D55" s="20">
        <f t="shared" si="1"/>
        <v>2</v>
      </c>
      <c r="E55" s="42" t="s">
        <v>156</v>
      </c>
      <c r="F55" s="20" t="str">
        <f t="shared" si="2"/>
        <v>Дорожная карта по контейнерам и КП в разработке</v>
      </c>
      <c r="G55" s="20"/>
      <c r="H55" s="21"/>
      <c r="I55" s="21"/>
      <c r="J55" s="21"/>
      <c r="K55" s="21"/>
      <c r="L55" s="21"/>
      <c r="M55" s="21"/>
      <c r="N55" s="22"/>
      <c r="O55" s="22"/>
      <c r="P55" s="22"/>
      <c r="Q55" s="22"/>
      <c r="R55" s="23"/>
      <c r="S55" s="23"/>
      <c r="T55" s="9"/>
      <c r="V55" s="25"/>
    </row>
    <row r="56" spans="2:22" ht="30">
      <c r="B56" s="12" t="s">
        <v>44</v>
      </c>
      <c r="C56" s="20">
        <f t="shared" si="0"/>
        <v>2</v>
      </c>
      <c r="D56" s="20">
        <f t="shared" si="1"/>
        <v>2</v>
      </c>
      <c r="E56" s="42" t="s">
        <v>156</v>
      </c>
      <c r="F56" s="20" t="str">
        <f t="shared" si="2"/>
        <v>Дорожная карта по контейнерам и КП в разработке</v>
      </c>
      <c r="G56" s="20"/>
      <c r="H56" s="21"/>
      <c r="I56" s="21"/>
      <c r="J56" s="21"/>
      <c r="K56" s="21"/>
      <c r="L56" s="21"/>
      <c r="M56" s="21"/>
      <c r="N56" s="22"/>
      <c r="O56" s="22"/>
      <c r="P56" s="22"/>
      <c r="Q56" s="22"/>
      <c r="R56" s="23"/>
      <c r="S56" s="23"/>
      <c r="T56" s="9"/>
      <c r="V56" s="25"/>
    </row>
    <row r="57" spans="2:22" ht="30">
      <c r="B57" s="12" t="s">
        <v>45</v>
      </c>
      <c r="C57" s="20">
        <f t="shared" si="0"/>
        <v>2</v>
      </c>
      <c r="D57" s="20">
        <f t="shared" si="1"/>
        <v>2</v>
      </c>
      <c r="E57" s="42" t="s">
        <v>156</v>
      </c>
      <c r="F57" s="20" t="str">
        <f t="shared" si="2"/>
        <v>Дорожная карта по контейнерам и КП в разработке</v>
      </c>
      <c r="G57" s="20"/>
      <c r="H57" s="21"/>
      <c r="I57" s="21"/>
      <c r="J57" s="21"/>
      <c r="K57" s="21"/>
      <c r="L57" s="21"/>
      <c r="M57" s="21"/>
      <c r="N57" s="22"/>
      <c r="O57" s="22"/>
      <c r="P57" s="22"/>
      <c r="Q57" s="22"/>
      <c r="R57" s="23"/>
      <c r="S57" s="23"/>
      <c r="T57" s="9"/>
      <c r="V57" s="25"/>
    </row>
    <row r="58" spans="2:22" ht="30">
      <c r="B58" s="12" t="s">
        <v>46</v>
      </c>
      <c r="C58" s="20">
        <f t="shared" si="0"/>
        <v>2</v>
      </c>
      <c r="D58" s="20">
        <f t="shared" si="1"/>
        <v>2</v>
      </c>
      <c r="E58" s="42" t="s">
        <v>156</v>
      </c>
      <c r="F58" s="20" t="str">
        <f t="shared" si="2"/>
        <v>Дорожная карта по контейнерам и КП в разработке</v>
      </c>
      <c r="G58" s="20"/>
      <c r="H58" s="21"/>
      <c r="I58" s="21"/>
      <c r="J58" s="21"/>
      <c r="K58" s="21"/>
      <c r="L58" s="21"/>
      <c r="M58" s="21"/>
      <c r="N58" s="22"/>
      <c r="O58" s="22"/>
      <c r="P58" s="22"/>
      <c r="Q58" s="22"/>
      <c r="R58" s="23"/>
      <c r="S58" s="23"/>
      <c r="T58" s="9"/>
      <c r="V58" s="25"/>
    </row>
    <row r="59" spans="2:22" ht="30">
      <c r="B59" s="12" t="s">
        <v>47</v>
      </c>
      <c r="C59" s="20">
        <f t="shared" si="0"/>
        <v>2</v>
      </c>
      <c r="D59" s="20">
        <f t="shared" si="1"/>
        <v>2</v>
      </c>
      <c r="E59" s="42" t="s">
        <v>156</v>
      </c>
      <c r="F59" s="20" t="str">
        <f t="shared" si="2"/>
        <v>Дорожная карта по контейнерам и КП в разработке</v>
      </c>
      <c r="G59" s="20"/>
      <c r="H59" s="21"/>
      <c r="I59" s="21"/>
      <c r="J59" s="21"/>
      <c r="K59" s="21"/>
      <c r="L59" s="21"/>
      <c r="M59" s="21"/>
      <c r="N59" s="22"/>
      <c r="O59" s="22"/>
      <c r="P59" s="22"/>
      <c r="Q59" s="22"/>
      <c r="R59" s="23"/>
      <c r="S59" s="23"/>
      <c r="T59" s="9"/>
      <c r="V59" s="25"/>
    </row>
    <row r="60" spans="2:22" ht="30">
      <c r="B60" s="12" t="s">
        <v>48</v>
      </c>
      <c r="C60" s="20">
        <f t="shared" si="0"/>
        <v>2</v>
      </c>
      <c r="D60" s="20">
        <f t="shared" si="1"/>
        <v>2</v>
      </c>
      <c r="E60" s="42" t="s">
        <v>156</v>
      </c>
      <c r="F60" s="20" t="str">
        <f t="shared" si="2"/>
        <v>Дорожная карта по контейнерам и КП в разработке</v>
      </c>
      <c r="G60" s="20"/>
      <c r="H60" s="21"/>
      <c r="I60" s="21"/>
      <c r="J60" s="21"/>
      <c r="K60" s="21"/>
      <c r="L60" s="21"/>
      <c r="M60" s="21"/>
      <c r="N60" s="22"/>
      <c r="O60" s="22"/>
      <c r="P60" s="22"/>
      <c r="Q60" s="22"/>
      <c r="R60" s="23"/>
      <c r="S60" s="23"/>
      <c r="T60" s="9"/>
      <c r="V60" s="25"/>
    </row>
    <row r="61" spans="2:22" ht="30">
      <c r="B61" s="12" t="s">
        <v>49</v>
      </c>
      <c r="C61" s="20">
        <f t="shared" si="0"/>
        <v>2</v>
      </c>
      <c r="D61" s="20">
        <f t="shared" si="1"/>
        <v>2</v>
      </c>
      <c r="E61" s="42" t="s">
        <v>156</v>
      </c>
      <c r="F61" s="20" t="str">
        <f t="shared" si="2"/>
        <v>Дорожная карта по контейнерам и КП в разработке</v>
      </c>
      <c r="G61" s="20"/>
      <c r="H61" s="21"/>
      <c r="I61" s="21"/>
      <c r="J61" s="21"/>
      <c r="K61" s="21"/>
      <c r="L61" s="21"/>
      <c r="M61" s="21"/>
      <c r="N61" s="22"/>
      <c r="O61" s="22"/>
      <c r="P61" s="22"/>
      <c r="Q61" s="22"/>
      <c r="R61" s="23"/>
      <c r="S61" s="23"/>
      <c r="T61" s="9"/>
      <c r="V61" s="25"/>
    </row>
    <row r="62" spans="2:22" ht="30">
      <c r="B62" s="12" t="s">
        <v>50</v>
      </c>
      <c r="C62" s="20">
        <f t="shared" si="0"/>
        <v>2</v>
      </c>
      <c r="D62" s="20">
        <f t="shared" si="1"/>
        <v>2</v>
      </c>
      <c r="E62" s="42" t="s">
        <v>156</v>
      </c>
      <c r="F62" s="20" t="str">
        <f t="shared" si="2"/>
        <v>Дорожная карта по контейнерам и КП в разработке</v>
      </c>
      <c r="G62" s="20"/>
      <c r="H62" s="21"/>
      <c r="I62" s="21"/>
      <c r="J62" s="21"/>
      <c r="K62" s="21"/>
      <c r="L62" s="21"/>
      <c r="M62" s="21"/>
      <c r="N62" s="22"/>
      <c r="O62" s="22"/>
      <c r="P62" s="22"/>
      <c r="Q62" s="22"/>
      <c r="R62" s="23"/>
      <c r="S62" s="23"/>
      <c r="T62" s="9"/>
      <c r="V62" s="25"/>
    </row>
    <row r="63" spans="2:22" ht="30">
      <c r="B63" s="12" t="s">
        <v>51</v>
      </c>
      <c r="C63" s="20">
        <f t="shared" si="0"/>
        <v>2</v>
      </c>
      <c r="D63" s="20">
        <f t="shared" si="1"/>
        <v>2</v>
      </c>
      <c r="E63" s="42" t="s">
        <v>156</v>
      </c>
      <c r="F63" s="20" t="str">
        <f t="shared" si="2"/>
        <v>Дорожная карта по контейнерам и КП в разработке</v>
      </c>
      <c r="G63" s="20"/>
      <c r="H63" s="21"/>
      <c r="I63" s="21"/>
      <c r="J63" s="21"/>
      <c r="K63" s="21"/>
      <c r="L63" s="21"/>
      <c r="M63" s="21"/>
      <c r="N63" s="22"/>
      <c r="O63" s="22"/>
      <c r="P63" s="22"/>
      <c r="Q63" s="22"/>
      <c r="R63" s="23"/>
      <c r="S63" s="23"/>
      <c r="T63" s="9"/>
      <c r="V63" s="25"/>
    </row>
    <row r="64" spans="2:22" ht="30">
      <c r="B64" s="12" t="s">
        <v>52</v>
      </c>
      <c r="C64" s="20">
        <f t="shared" si="0"/>
        <v>2</v>
      </c>
      <c r="D64" s="20">
        <f t="shared" si="1"/>
        <v>2</v>
      </c>
      <c r="E64" s="42" t="s">
        <v>156</v>
      </c>
      <c r="F64" s="20" t="str">
        <f t="shared" si="2"/>
        <v>Дорожная карта по контейнерам и КП в разработке</v>
      </c>
      <c r="G64" s="20"/>
      <c r="H64" s="21"/>
      <c r="I64" s="21"/>
      <c r="J64" s="21"/>
      <c r="K64" s="21"/>
      <c r="L64" s="21"/>
      <c r="M64" s="21"/>
      <c r="N64" s="22"/>
      <c r="O64" s="22"/>
      <c r="P64" s="22"/>
      <c r="Q64" s="22"/>
      <c r="R64" s="23"/>
      <c r="S64" s="23"/>
      <c r="T64" s="9"/>
      <c r="V64" s="25"/>
    </row>
    <row r="65" spans="2:22" ht="30">
      <c r="B65" s="12" t="s">
        <v>53</v>
      </c>
      <c r="C65" s="20">
        <f t="shared" si="0"/>
        <v>2</v>
      </c>
      <c r="D65" s="20">
        <f t="shared" si="1"/>
        <v>2</v>
      </c>
      <c r="E65" s="42" t="s">
        <v>156</v>
      </c>
      <c r="F65" s="20" t="str">
        <f t="shared" si="2"/>
        <v>Дорожная карта по контейнерам и КП в разработке</v>
      </c>
      <c r="G65" s="20"/>
      <c r="H65" s="21"/>
      <c r="I65" s="21"/>
      <c r="J65" s="21"/>
      <c r="K65" s="21"/>
      <c r="L65" s="21"/>
      <c r="M65" s="21"/>
      <c r="N65" s="22"/>
      <c r="O65" s="22"/>
      <c r="P65" s="22"/>
      <c r="Q65" s="22"/>
      <c r="R65" s="23"/>
      <c r="S65" s="23"/>
      <c r="T65" s="9"/>
      <c r="V65" s="25"/>
    </row>
    <row r="66" spans="2:22" ht="30">
      <c r="B66" s="12" t="s">
        <v>3</v>
      </c>
      <c r="C66" s="20">
        <f t="shared" si="0"/>
        <v>2</v>
      </c>
      <c r="D66" s="20">
        <f t="shared" si="1"/>
        <v>2</v>
      </c>
      <c r="E66" s="42" t="s">
        <v>156</v>
      </c>
      <c r="F66" s="20" t="str">
        <f t="shared" si="2"/>
        <v>Дорожная карта по контейнерам и КП в разработке</v>
      </c>
      <c r="G66" s="20"/>
      <c r="H66" s="21"/>
      <c r="I66" s="21"/>
      <c r="J66" s="21"/>
      <c r="K66" s="21"/>
      <c r="L66" s="21"/>
      <c r="M66" s="21"/>
      <c r="N66" s="22"/>
      <c r="O66" s="22"/>
      <c r="P66" s="22"/>
      <c r="Q66" s="22"/>
      <c r="R66" s="23"/>
      <c r="S66" s="23"/>
      <c r="T66" s="9"/>
      <c r="V66" s="25"/>
    </row>
    <row r="67" spans="2:22" ht="30">
      <c r="B67" s="12" t="s">
        <v>54</v>
      </c>
      <c r="C67" s="20">
        <f t="shared" si="0"/>
        <v>2</v>
      </c>
      <c r="D67" s="20">
        <f t="shared" si="1"/>
        <v>2</v>
      </c>
      <c r="E67" s="42" t="s">
        <v>156</v>
      </c>
      <c r="F67" s="20" t="str">
        <f t="shared" si="2"/>
        <v>Дорожная карта по контейнерам и КП в разработке</v>
      </c>
      <c r="G67" s="20"/>
      <c r="H67" s="21"/>
      <c r="I67" s="21"/>
      <c r="J67" s="21"/>
      <c r="K67" s="21"/>
      <c r="L67" s="21"/>
      <c r="M67" s="21"/>
      <c r="N67" s="22"/>
      <c r="O67" s="22"/>
      <c r="P67" s="22"/>
      <c r="Q67" s="22"/>
      <c r="R67" s="23"/>
      <c r="S67" s="23"/>
      <c r="T67" s="9"/>
      <c r="V67" s="25"/>
    </row>
    <row r="68" spans="2:22" ht="30">
      <c r="B68" s="12" t="s">
        <v>55</v>
      </c>
      <c r="C68" s="20">
        <f t="shared" si="0"/>
        <v>2</v>
      </c>
      <c r="D68" s="20">
        <f t="shared" si="1"/>
        <v>2</v>
      </c>
      <c r="E68" s="42" t="s">
        <v>156</v>
      </c>
      <c r="F68" s="20" t="str">
        <f t="shared" si="2"/>
        <v>Дорожная карта по контейнерам и КП в разработке</v>
      </c>
      <c r="G68" s="20"/>
      <c r="H68" s="21"/>
      <c r="I68" s="21"/>
      <c r="J68" s="21"/>
      <c r="K68" s="21"/>
      <c r="L68" s="21"/>
      <c r="M68" s="21"/>
      <c r="N68" s="22"/>
      <c r="O68" s="22"/>
      <c r="P68" s="22"/>
      <c r="Q68" s="22"/>
      <c r="R68" s="23"/>
      <c r="S68" s="23"/>
      <c r="T68" s="9"/>
      <c r="V68" s="25"/>
    </row>
    <row r="69" spans="2:22" ht="30">
      <c r="B69" s="12" t="s">
        <v>56</v>
      </c>
      <c r="C69" s="20">
        <f t="shared" si="0"/>
        <v>2</v>
      </c>
      <c r="D69" s="20">
        <f t="shared" si="1"/>
        <v>2</v>
      </c>
      <c r="E69" s="42" t="s">
        <v>156</v>
      </c>
      <c r="F69" s="20" t="str">
        <f t="shared" si="2"/>
        <v>Дорожная карта по контейнерам и КП в разработке</v>
      </c>
      <c r="G69" s="20"/>
      <c r="H69" s="21"/>
      <c r="I69" s="21"/>
      <c r="J69" s="21"/>
      <c r="K69" s="21"/>
      <c r="L69" s="21"/>
      <c r="M69" s="21"/>
      <c r="N69" s="22"/>
      <c r="O69" s="22"/>
      <c r="P69" s="22"/>
      <c r="Q69" s="22"/>
      <c r="R69" s="23"/>
      <c r="S69" s="23"/>
      <c r="T69" s="9"/>
      <c r="V69" s="25"/>
    </row>
    <row r="70" spans="2:22" ht="30">
      <c r="B70" s="12" t="s">
        <v>57</v>
      </c>
      <c r="C70" s="20">
        <f t="shared" si="0"/>
        <v>2</v>
      </c>
      <c r="D70" s="20">
        <f t="shared" si="1"/>
        <v>2</v>
      </c>
      <c r="E70" s="42" t="s">
        <v>156</v>
      </c>
      <c r="F70" s="20" t="str">
        <f t="shared" si="2"/>
        <v>Дорожная карта по контейнерам и КП в разработке</v>
      </c>
      <c r="G70" s="20"/>
      <c r="H70" s="21"/>
      <c r="I70" s="21"/>
      <c r="J70" s="21"/>
      <c r="K70" s="21"/>
      <c r="L70" s="21"/>
      <c r="M70" s="21"/>
      <c r="N70" s="22"/>
      <c r="O70" s="22"/>
      <c r="P70" s="22"/>
      <c r="Q70" s="22"/>
      <c r="R70" s="23"/>
      <c r="S70" s="23"/>
      <c r="T70" s="9"/>
      <c r="V70" s="25"/>
    </row>
    <row r="71" spans="2:22" ht="30">
      <c r="B71" s="12" t="s">
        <v>58</v>
      </c>
      <c r="C71" s="20">
        <f t="shared" si="0"/>
        <v>2</v>
      </c>
      <c r="D71" s="20">
        <f t="shared" si="1"/>
        <v>2</v>
      </c>
      <c r="E71" s="42" t="s">
        <v>156</v>
      </c>
      <c r="F71" s="20" t="str">
        <f t="shared" si="2"/>
        <v>Дорожная карта по контейнерам и КП в разработке</v>
      </c>
      <c r="G71" s="20"/>
      <c r="H71" s="21"/>
      <c r="I71" s="21"/>
      <c r="J71" s="21"/>
      <c r="K71" s="21"/>
      <c r="L71" s="21"/>
      <c r="M71" s="21"/>
      <c r="N71" s="22"/>
      <c r="O71" s="22"/>
      <c r="P71" s="22"/>
      <c r="Q71" s="22"/>
      <c r="R71" s="23"/>
      <c r="S71" s="23"/>
      <c r="T71" s="9"/>
      <c r="V71" s="25"/>
    </row>
    <row r="72" spans="2:22" ht="30">
      <c r="B72" s="12" t="s">
        <v>59</v>
      </c>
      <c r="C72" s="20">
        <f t="shared" si="0"/>
        <v>2</v>
      </c>
      <c r="D72" s="20">
        <f t="shared" si="1"/>
        <v>2</v>
      </c>
      <c r="E72" s="42" t="s">
        <v>156</v>
      </c>
      <c r="F72" s="20" t="str">
        <f t="shared" si="2"/>
        <v>Дорожная карта по контейнерам и КП в разработке</v>
      </c>
      <c r="G72" s="20"/>
      <c r="H72" s="21"/>
      <c r="I72" s="21"/>
      <c r="J72" s="21"/>
      <c r="K72" s="21"/>
      <c r="L72" s="21"/>
      <c r="M72" s="21"/>
      <c r="N72" s="22"/>
      <c r="O72" s="22"/>
      <c r="P72" s="22"/>
      <c r="Q72" s="22"/>
      <c r="R72" s="23"/>
      <c r="S72" s="23"/>
      <c r="T72" s="9"/>
      <c r="V72" s="25"/>
    </row>
    <row r="73" spans="2:22" ht="30">
      <c r="B73" s="12" t="s">
        <v>60</v>
      </c>
      <c r="C73" s="20">
        <f t="shared" si="0"/>
        <v>2</v>
      </c>
      <c r="D73" s="20">
        <f t="shared" si="1"/>
        <v>2</v>
      </c>
      <c r="E73" s="42" t="s">
        <v>156</v>
      </c>
      <c r="F73" s="20" t="str">
        <f t="shared" si="2"/>
        <v>Дорожная карта по контейнерам и КП в разработке</v>
      </c>
      <c r="G73" s="20"/>
      <c r="H73" s="21"/>
      <c r="I73" s="21"/>
      <c r="J73" s="21"/>
      <c r="K73" s="21"/>
      <c r="L73" s="21"/>
      <c r="M73" s="21"/>
      <c r="N73" s="22"/>
      <c r="O73" s="22"/>
      <c r="P73" s="22"/>
      <c r="Q73" s="22"/>
      <c r="R73" s="23"/>
      <c r="S73" s="23"/>
      <c r="T73" s="9"/>
      <c r="V73" s="25"/>
    </row>
    <row r="74" spans="2:22" ht="30">
      <c r="B74" s="12" t="s">
        <v>61</v>
      </c>
      <c r="C74" s="20">
        <f t="shared" si="0"/>
        <v>2</v>
      </c>
      <c r="D74" s="20">
        <f t="shared" si="1"/>
        <v>2</v>
      </c>
      <c r="E74" s="42" t="s">
        <v>156</v>
      </c>
      <c r="F74" s="20" t="str">
        <f t="shared" si="2"/>
        <v>Дорожная карта по контейнерам и КП в разработке</v>
      </c>
      <c r="G74" s="20"/>
      <c r="H74" s="21"/>
      <c r="I74" s="21"/>
      <c r="J74" s="21"/>
      <c r="K74" s="21"/>
      <c r="L74" s="21"/>
      <c r="M74" s="21"/>
      <c r="N74" s="22"/>
      <c r="O74" s="22"/>
      <c r="P74" s="22"/>
      <c r="Q74" s="22"/>
      <c r="R74" s="23"/>
      <c r="S74" s="23"/>
      <c r="T74" s="9"/>
      <c r="V74" s="25"/>
    </row>
    <row r="75" spans="2:22" ht="30">
      <c r="B75" s="12" t="s">
        <v>62</v>
      </c>
      <c r="C75" s="20">
        <f t="shared" si="0"/>
        <v>2</v>
      </c>
      <c r="D75" s="20">
        <f t="shared" si="1"/>
        <v>2</v>
      </c>
      <c r="E75" s="42" t="s">
        <v>156</v>
      </c>
      <c r="F75" s="20" t="str">
        <f t="shared" si="2"/>
        <v>Дорожная карта по контейнерам и КП в разработке</v>
      </c>
      <c r="G75" s="20"/>
      <c r="H75" s="21"/>
      <c r="I75" s="21"/>
      <c r="J75" s="21"/>
      <c r="K75" s="21"/>
      <c r="L75" s="21"/>
      <c r="M75" s="21"/>
      <c r="N75" s="22"/>
      <c r="O75" s="22"/>
      <c r="P75" s="22"/>
      <c r="Q75" s="22"/>
      <c r="R75" s="23"/>
      <c r="S75" s="23"/>
      <c r="T75" s="9"/>
      <c r="V75" s="25"/>
    </row>
    <row r="76" spans="2:22" ht="30">
      <c r="B76" s="12" t="s">
        <v>63</v>
      </c>
      <c r="C76" s="20">
        <f t="shared" si="0"/>
        <v>2</v>
      </c>
      <c r="D76" s="20">
        <f t="shared" si="1"/>
        <v>2</v>
      </c>
      <c r="E76" s="42" t="s">
        <v>156</v>
      </c>
      <c r="F76" s="20" t="str">
        <f t="shared" si="2"/>
        <v>Дорожная карта по контейнерам и КП в разработке</v>
      </c>
      <c r="G76" s="20"/>
      <c r="H76" s="21"/>
      <c r="I76" s="21"/>
      <c r="J76" s="21"/>
      <c r="K76" s="21"/>
      <c r="L76" s="21"/>
      <c r="M76" s="21"/>
      <c r="N76" s="22"/>
      <c r="O76" s="22"/>
      <c r="P76" s="22"/>
      <c r="Q76" s="22"/>
      <c r="R76" s="23"/>
      <c r="S76" s="23"/>
      <c r="T76" s="9"/>
      <c r="V76" s="25"/>
    </row>
    <row r="77" spans="2:22" ht="30">
      <c r="B77" s="12" t="s">
        <v>64</v>
      </c>
      <c r="C77" s="20">
        <f t="shared" si="0"/>
        <v>2</v>
      </c>
      <c r="D77" s="20">
        <f t="shared" si="1"/>
        <v>2</v>
      </c>
      <c r="E77" s="42" t="s">
        <v>156</v>
      </c>
      <c r="F77" s="20" t="str">
        <f t="shared" si="2"/>
        <v>Дорожная карта по контейнерам и КП в разработке</v>
      </c>
      <c r="G77" s="20"/>
      <c r="H77" s="21"/>
      <c r="I77" s="21"/>
      <c r="J77" s="21"/>
      <c r="K77" s="21"/>
      <c r="L77" s="21"/>
      <c r="M77" s="21"/>
      <c r="N77" s="22"/>
      <c r="O77" s="22"/>
      <c r="P77" s="22"/>
      <c r="Q77" s="22"/>
      <c r="R77" s="23"/>
      <c r="S77" s="23"/>
      <c r="T77" s="9"/>
      <c r="V77" s="25"/>
    </row>
    <row r="78" spans="2:22" ht="30">
      <c r="B78" s="12" t="s">
        <v>65</v>
      </c>
      <c r="C78" s="20">
        <f t="shared" si="0"/>
        <v>2</v>
      </c>
      <c r="D78" s="20">
        <f t="shared" si="1"/>
        <v>2</v>
      </c>
      <c r="E78" s="42" t="s">
        <v>156</v>
      </c>
      <c r="F78" s="20" t="str">
        <f t="shared" si="2"/>
        <v>Дорожная карта по контейнерам и КП в разработке</v>
      </c>
      <c r="G78" s="20"/>
      <c r="H78" s="21"/>
      <c r="I78" s="21"/>
      <c r="J78" s="21"/>
      <c r="K78" s="21"/>
      <c r="L78" s="21"/>
      <c r="M78" s="21"/>
      <c r="N78" s="22"/>
      <c r="O78" s="22"/>
      <c r="P78" s="22"/>
      <c r="Q78" s="22"/>
      <c r="R78" s="23"/>
      <c r="S78" s="23"/>
      <c r="T78" s="9"/>
      <c r="V78" s="25"/>
    </row>
    <row r="79" spans="2:22" ht="30">
      <c r="B79" s="12" t="s">
        <v>66</v>
      </c>
      <c r="C79" s="20">
        <f t="shared" si="0"/>
        <v>2</v>
      </c>
      <c r="D79" s="20">
        <f t="shared" si="1"/>
        <v>2</v>
      </c>
      <c r="E79" s="42" t="s">
        <v>156</v>
      </c>
      <c r="F79" s="20" t="str">
        <f t="shared" si="2"/>
        <v>Дорожная карта по контейнерам и КП в разработке</v>
      </c>
      <c r="G79" s="20"/>
      <c r="H79" s="21"/>
      <c r="I79" s="21"/>
      <c r="J79" s="21"/>
      <c r="K79" s="21"/>
      <c r="L79" s="21"/>
      <c r="M79" s="21"/>
      <c r="N79" s="22"/>
      <c r="O79" s="22"/>
      <c r="P79" s="22"/>
      <c r="Q79" s="22"/>
      <c r="R79" s="23"/>
      <c r="S79" s="23"/>
      <c r="T79" s="9"/>
      <c r="V79" s="25"/>
    </row>
    <row r="80" spans="2:22" ht="30">
      <c r="B80" s="12" t="s">
        <v>67</v>
      </c>
      <c r="C80" s="20">
        <f t="shared" si="0"/>
        <v>2</v>
      </c>
      <c r="D80" s="20">
        <f t="shared" si="1"/>
        <v>2</v>
      </c>
      <c r="E80" s="42" t="s">
        <v>156</v>
      </c>
      <c r="F80" s="20" t="str">
        <f t="shared" si="2"/>
        <v>Дорожная карта по контейнерам и КП в разработке</v>
      </c>
      <c r="G80" s="20"/>
      <c r="H80" s="21"/>
      <c r="I80" s="21"/>
      <c r="J80" s="21"/>
      <c r="K80" s="21"/>
      <c r="L80" s="21"/>
      <c r="M80" s="21"/>
      <c r="N80" s="22"/>
      <c r="O80" s="22"/>
      <c r="P80" s="22"/>
      <c r="Q80" s="22"/>
      <c r="R80" s="23"/>
      <c r="S80" s="23"/>
      <c r="T80" s="9"/>
      <c r="V80" s="25"/>
    </row>
    <row r="81" spans="2:22" ht="30">
      <c r="B81" s="12" t="s">
        <v>68</v>
      </c>
      <c r="C81" s="20">
        <f t="shared" ref="C81:C104" si="3">IF(OR(G81=2,D81&gt;$D$8),2,IF(OR(G81=1,D81&gt;$D$9),1,0))</f>
        <v>2</v>
      </c>
      <c r="D81" s="20">
        <f t="shared" ref="D81:D104" si="4">IF(E81="в разработке",2,IF(E81="утверждена",0,1))</f>
        <v>2</v>
      </c>
      <c r="E81" s="42" t="s">
        <v>156</v>
      </c>
      <c r="F81" s="20" t="str">
        <f t="shared" ref="F81:F104" si="5">_xlfn.TEXTJOIN(,0,"Дорожная карта по контейнерам и КП ",E81)</f>
        <v>Дорожная карта по контейнерам и КП в разработке</v>
      </c>
      <c r="G81" s="20"/>
      <c r="H81" s="21"/>
      <c r="I81" s="21"/>
      <c r="J81" s="21"/>
      <c r="K81" s="21"/>
      <c r="L81" s="21"/>
      <c r="M81" s="21"/>
      <c r="N81" s="22"/>
      <c r="O81" s="22"/>
      <c r="P81" s="22"/>
      <c r="Q81" s="22"/>
      <c r="R81" s="23"/>
      <c r="S81" s="23"/>
      <c r="T81" s="9"/>
      <c r="V81" s="25"/>
    </row>
    <row r="82" spans="2:22" ht="30">
      <c r="B82" s="12" t="s">
        <v>69</v>
      </c>
      <c r="C82" s="20">
        <f t="shared" si="3"/>
        <v>2</v>
      </c>
      <c r="D82" s="20">
        <f t="shared" si="4"/>
        <v>2</v>
      </c>
      <c r="E82" s="42" t="s">
        <v>156</v>
      </c>
      <c r="F82" s="20" t="str">
        <f t="shared" si="5"/>
        <v>Дорожная карта по контейнерам и КП в разработке</v>
      </c>
      <c r="G82" s="20"/>
      <c r="H82" s="21"/>
      <c r="I82" s="21"/>
      <c r="J82" s="21"/>
      <c r="K82" s="21"/>
      <c r="L82" s="21"/>
      <c r="M82" s="21"/>
      <c r="N82" s="22"/>
      <c r="O82" s="22"/>
      <c r="P82" s="22"/>
      <c r="Q82" s="22"/>
      <c r="R82" s="23"/>
      <c r="S82" s="23"/>
      <c r="T82" s="9"/>
      <c r="V82" s="25"/>
    </row>
    <row r="83" spans="2:22" ht="30">
      <c r="B83" s="12" t="s">
        <v>70</v>
      </c>
      <c r="C83" s="20">
        <f t="shared" si="3"/>
        <v>2</v>
      </c>
      <c r="D83" s="20">
        <f t="shared" si="4"/>
        <v>2</v>
      </c>
      <c r="E83" s="42" t="s">
        <v>156</v>
      </c>
      <c r="F83" s="20" t="str">
        <f t="shared" si="5"/>
        <v>Дорожная карта по контейнерам и КП в разработке</v>
      </c>
      <c r="G83" s="20"/>
      <c r="H83" s="21"/>
      <c r="I83" s="21"/>
      <c r="J83" s="21"/>
      <c r="K83" s="21"/>
      <c r="L83" s="21"/>
      <c r="M83" s="21"/>
      <c r="N83" s="22"/>
      <c r="O83" s="22"/>
      <c r="P83" s="22"/>
      <c r="Q83" s="22"/>
      <c r="R83" s="23"/>
      <c r="S83" s="23"/>
      <c r="T83" s="9"/>
      <c r="V83" s="25"/>
    </row>
    <row r="84" spans="2:22" ht="30">
      <c r="B84" s="12" t="s">
        <v>71</v>
      </c>
      <c r="C84" s="20">
        <f t="shared" si="3"/>
        <v>2</v>
      </c>
      <c r="D84" s="20">
        <f t="shared" si="4"/>
        <v>2</v>
      </c>
      <c r="E84" s="42" t="s">
        <v>156</v>
      </c>
      <c r="F84" s="20" t="str">
        <f t="shared" si="5"/>
        <v>Дорожная карта по контейнерам и КП в разработке</v>
      </c>
      <c r="G84" s="20"/>
      <c r="H84" s="21"/>
      <c r="I84" s="21"/>
      <c r="J84" s="21"/>
      <c r="K84" s="21"/>
      <c r="L84" s="21"/>
      <c r="M84" s="21"/>
      <c r="N84" s="22"/>
      <c r="O84" s="22"/>
      <c r="P84" s="22"/>
      <c r="Q84" s="22"/>
      <c r="R84" s="23"/>
      <c r="S84" s="23"/>
      <c r="T84" s="9"/>
      <c r="V84" s="25"/>
    </row>
    <row r="85" spans="2:22" ht="30">
      <c r="B85" s="12" t="s">
        <v>72</v>
      </c>
      <c r="C85" s="20">
        <f t="shared" si="3"/>
        <v>2</v>
      </c>
      <c r="D85" s="20">
        <f t="shared" si="4"/>
        <v>2</v>
      </c>
      <c r="E85" s="42" t="s">
        <v>156</v>
      </c>
      <c r="F85" s="20" t="str">
        <f t="shared" si="5"/>
        <v>Дорожная карта по контейнерам и КП в разработке</v>
      </c>
      <c r="G85" s="20"/>
      <c r="H85" s="21"/>
      <c r="I85" s="21"/>
      <c r="J85" s="21"/>
      <c r="K85" s="21"/>
      <c r="L85" s="21"/>
      <c r="M85" s="21"/>
      <c r="N85" s="22"/>
      <c r="O85" s="22"/>
      <c r="P85" s="22"/>
      <c r="Q85" s="22"/>
      <c r="R85" s="23"/>
      <c r="S85" s="23"/>
      <c r="T85" s="9"/>
      <c r="V85" s="25"/>
    </row>
    <row r="86" spans="2:22" ht="30">
      <c r="B86" s="12" t="s">
        <v>73</v>
      </c>
      <c r="C86" s="20">
        <f t="shared" si="3"/>
        <v>2</v>
      </c>
      <c r="D86" s="20">
        <f t="shared" si="4"/>
        <v>2</v>
      </c>
      <c r="E86" s="42" t="s">
        <v>156</v>
      </c>
      <c r="F86" s="20" t="str">
        <f t="shared" si="5"/>
        <v>Дорожная карта по контейнерам и КП в разработке</v>
      </c>
      <c r="G86" s="20"/>
      <c r="H86" s="21"/>
      <c r="I86" s="21"/>
      <c r="J86" s="21"/>
      <c r="K86" s="21"/>
      <c r="L86" s="21"/>
      <c r="M86" s="21"/>
      <c r="N86" s="22"/>
      <c r="O86" s="22"/>
      <c r="P86" s="22"/>
      <c r="Q86" s="22"/>
      <c r="R86" s="23"/>
      <c r="S86" s="23"/>
      <c r="T86" s="9"/>
      <c r="V86" s="25"/>
    </row>
    <row r="87" spans="2:22" ht="30">
      <c r="B87" s="12" t="s">
        <v>74</v>
      </c>
      <c r="C87" s="20">
        <f t="shared" si="3"/>
        <v>2</v>
      </c>
      <c r="D87" s="20">
        <f t="shared" si="4"/>
        <v>2</v>
      </c>
      <c r="E87" s="42" t="s">
        <v>156</v>
      </c>
      <c r="F87" s="20" t="str">
        <f t="shared" si="5"/>
        <v>Дорожная карта по контейнерам и КП в разработке</v>
      </c>
      <c r="G87" s="20"/>
      <c r="H87" s="21"/>
      <c r="I87" s="21"/>
      <c r="J87" s="21"/>
      <c r="K87" s="21"/>
      <c r="L87" s="21"/>
      <c r="M87" s="21"/>
      <c r="N87" s="22"/>
      <c r="O87" s="22"/>
      <c r="P87" s="22"/>
      <c r="Q87" s="22"/>
      <c r="R87" s="23"/>
      <c r="S87" s="23"/>
      <c r="T87" s="9"/>
      <c r="V87" s="25"/>
    </row>
    <row r="88" spans="2:22" ht="30">
      <c r="B88" s="12" t="s">
        <v>75</v>
      </c>
      <c r="C88" s="20">
        <f t="shared" si="3"/>
        <v>2</v>
      </c>
      <c r="D88" s="20">
        <f t="shared" si="4"/>
        <v>2</v>
      </c>
      <c r="E88" s="42" t="s">
        <v>156</v>
      </c>
      <c r="F88" s="20" t="str">
        <f t="shared" si="5"/>
        <v>Дорожная карта по контейнерам и КП в разработке</v>
      </c>
      <c r="G88" s="20"/>
      <c r="H88" s="21"/>
      <c r="I88" s="21"/>
      <c r="J88" s="21"/>
      <c r="K88" s="21"/>
      <c r="L88" s="21"/>
      <c r="M88" s="21"/>
      <c r="N88" s="22"/>
      <c r="O88" s="22"/>
      <c r="P88" s="22"/>
      <c r="Q88" s="22"/>
      <c r="R88" s="23"/>
      <c r="S88" s="23"/>
      <c r="T88" s="9"/>
      <c r="V88" s="25"/>
    </row>
    <row r="89" spans="2:22" ht="30">
      <c r="B89" s="12" t="s">
        <v>76</v>
      </c>
      <c r="C89" s="20">
        <f t="shared" si="3"/>
        <v>2</v>
      </c>
      <c r="D89" s="20">
        <f t="shared" si="4"/>
        <v>2</v>
      </c>
      <c r="E89" s="42" t="s">
        <v>156</v>
      </c>
      <c r="F89" s="20" t="str">
        <f t="shared" si="5"/>
        <v>Дорожная карта по контейнерам и КП в разработке</v>
      </c>
      <c r="G89" s="20"/>
      <c r="H89" s="21"/>
      <c r="I89" s="21"/>
      <c r="J89" s="21"/>
      <c r="K89" s="21"/>
      <c r="L89" s="21"/>
      <c r="M89" s="21"/>
      <c r="N89" s="22"/>
      <c r="O89" s="22"/>
      <c r="P89" s="22"/>
      <c r="Q89" s="22"/>
      <c r="R89" s="23"/>
      <c r="S89" s="23"/>
      <c r="T89" s="9"/>
      <c r="V89" s="25"/>
    </row>
    <row r="90" spans="2:22" ht="30">
      <c r="B90" s="12" t="s">
        <v>77</v>
      </c>
      <c r="C90" s="20">
        <f t="shared" si="3"/>
        <v>2</v>
      </c>
      <c r="D90" s="20">
        <f t="shared" si="4"/>
        <v>2</v>
      </c>
      <c r="E90" s="42" t="s">
        <v>156</v>
      </c>
      <c r="F90" s="20" t="str">
        <f t="shared" si="5"/>
        <v>Дорожная карта по контейнерам и КП в разработке</v>
      </c>
      <c r="G90" s="20"/>
      <c r="H90" s="21"/>
      <c r="I90" s="21"/>
      <c r="J90" s="21"/>
      <c r="K90" s="21"/>
      <c r="L90" s="21"/>
      <c r="M90" s="21"/>
      <c r="N90" s="22"/>
      <c r="O90" s="22"/>
      <c r="P90" s="22"/>
      <c r="Q90" s="22"/>
      <c r="R90" s="23"/>
      <c r="S90" s="23"/>
      <c r="T90" s="9"/>
      <c r="V90" s="25"/>
    </row>
    <row r="91" spans="2:22" ht="30">
      <c r="B91" s="12" t="s">
        <v>78</v>
      </c>
      <c r="C91" s="20">
        <f t="shared" si="3"/>
        <v>2</v>
      </c>
      <c r="D91" s="20">
        <f t="shared" si="4"/>
        <v>2</v>
      </c>
      <c r="E91" s="42" t="s">
        <v>156</v>
      </c>
      <c r="F91" s="20" t="str">
        <f t="shared" si="5"/>
        <v>Дорожная карта по контейнерам и КП в разработке</v>
      </c>
      <c r="G91" s="20"/>
      <c r="H91" s="21"/>
      <c r="I91" s="21"/>
      <c r="J91" s="21"/>
      <c r="K91" s="21"/>
      <c r="L91" s="21"/>
      <c r="M91" s="21"/>
      <c r="N91" s="22"/>
      <c r="O91" s="22"/>
      <c r="P91" s="22"/>
      <c r="Q91" s="22"/>
      <c r="R91" s="23"/>
      <c r="S91" s="23"/>
      <c r="T91" s="9"/>
      <c r="V91" s="25"/>
    </row>
    <row r="92" spans="2:22" ht="30">
      <c r="B92" s="12" t="s">
        <v>79</v>
      </c>
      <c r="C92" s="20">
        <f t="shared" si="3"/>
        <v>2</v>
      </c>
      <c r="D92" s="20">
        <f t="shared" si="4"/>
        <v>2</v>
      </c>
      <c r="E92" s="42" t="s">
        <v>156</v>
      </c>
      <c r="F92" s="20" t="str">
        <f t="shared" si="5"/>
        <v>Дорожная карта по контейнерам и КП в разработке</v>
      </c>
      <c r="G92" s="20"/>
      <c r="H92" s="21"/>
      <c r="I92" s="21"/>
      <c r="J92" s="21"/>
      <c r="K92" s="21"/>
      <c r="L92" s="21"/>
      <c r="M92" s="21"/>
      <c r="N92" s="22"/>
      <c r="O92" s="22"/>
      <c r="P92" s="22"/>
      <c r="Q92" s="22"/>
      <c r="R92" s="23"/>
      <c r="S92" s="23"/>
      <c r="T92" s="9"/>
      <c r="V92" s="25"/>
    </row>
    <row r="93" spans="2:22" ht="30">
      <c r="B93" s="12" t="s">
        <v>80</v>
      </c>
      <c r="C93" s="20">
        <f t="shared" si="3"/>
        <v>2</v>
      </c>
      <c r="D93" s="20">
        <f t="shared" si="4"/>
        <v>2</v>
      </c>
      <c r="E93" s="42" t="s">
        <v>156</v>
      </c>
      <c r="F93" s="20" t="str">
        <f t="shared" si="5"/>
        <v>Дорожная карта по контейнерам и КП в разработке</v>
      </c>
      <c r="G93" s="20"/>
      <c r="H93" s="21"/>
      <c r="I93" s="21"/>
      <c r="J93" s="21"/>
      <c r="K93" s="21"/>
      <c r="L93" s="21"/>
      <c r="M93" s="21"/>
      <c r="N93" s="22"/>
      <c r="O93" s="22"/>
      <c r="P93" s="22"/>
      <c r="Q93" s="22"/>
      <c r="R93" s="23"/>
      <c r="S93" s="23"/>
      <c r="T93" s="9"/>
      <c r="V93" s="25"/>
    </row>
    <row r="94" spans="2:22" ht="30">
      <c r="B94" s="12" t="s">
        <v>81</v>
      </c>
      <c r="C94" s="20">
        <f t="shared" si="3"/>
        <v>2</v>
      </c>
      <c r="D94" s="20">
        <f t="shared" si="4"/>
        <v>2</v>
      </c>
      <c r="E94" s="42" t="s">
        <v>156</v>
      </c>
      <c r="F94" s="20" t="str">
        <f t="shared" si="5"/>
        <v>Дорожная карта по контейнерам и КП в разработке</v>
      </c>
      <c r="G94" s="20"/>
      <c r="H94" s="21"/>
      <c r="I94" s="21"/>
      <c r="J94" s="21"/>
      <c r="K94" s="21"/>
      <c r="L94" s="21"/>
      <c r="M94" s="21"/>
      <c r="N94" s="22"/>
      <c r="O94" s="22"/>
      <c r="P94" s="22"/>
      <c r="Q94" s="22"/>
      <c r="R94" s="23"/>
      <c r="S94" s="23"/>
      <c r="T94" s="9"/>
      <c r="V94" s="25"/>
    </row>
    <row r="95" spans="2:22" ht="30">
      <c r="B95" s="12" t="s">
        <v>82</v>
      </c>
      <c r="C95" s="20">
        <f t="shared" si="3"/>
        <v>2</v>
      </c>
      <c r="D95" s="20">
        <f t="shared" si="4"/>
        <v>2</v>
      </c>
      <c r="E95" s="42" t="s">
        <v>156</v>
      </c>
      <c r="F95" s="20" t="str">
        <f t="shared" si="5"/>
        <v>Дорожная карта по контейнерам и КП в разработке</v>
      </c>
      <c r="G95" s="20"/>
      <c r="H95" s="21"/>
      <c r="I95" s="21"/>
      <c r="J95" s="21"/>
      <c r="K95" s="21"/>
      <c r="L95" s="21"/>
      <c r="M95" s="21"/>
      <c r="N95" s="22"/>
      <c r="O95" s="22"/>
      <c r="P95" s="22"/>
      <c r="Q95" s="22"/>
      <c r="R95" s="23"/>
      <c r="S95" s="23"/>
      <c r="T95" s="9"/>
      <c r="V95" s="25"/>
    </row>
    <row r="96" spans="2:22" ht="30">
      <c r="B96" s="12" t="s">
        <v>83</v>
      </c>
      <c r="C96" s="20">
        <f t="shared" si="3"/>
        <v>2</v>
      </c>
      <c r="D96" s="20">
        <f t="shared" si="4"/>
        <v>2</v>
      </c>
      <c r="E96" s="42" t="s">
        <v>156</v>
      </c>
      <c r="F96" s="20" t="str">
        <f t="shared" si="5"/>
        <v>Дорожная карта по контейнерам и КП в разработке</v>
      </c>
      <c r="G96" s="20"/>
      <c r="H96" s="21"/>
      <c r="I96" s="21"/>
      <c r="J96" s="21"/>
      <c r="K96" s="21"/>
      <c r="L96" s="21"/>
      <c r="M96" s="21"/>
      <c r="N96" s="22"/>
      <c r="O96" s="22"/>
      <c r="P96" s="22"/>
      <c r="Q96" s="22"/>
      <c r="R96" s="23"/>
      <c r="S96" s="23"/>
      <c r="T96" s="9"/>
      <c r="V96" s="25"/>
    </row>
    <row r="97" spans="2:22" ht="30">
      <c r="B97" s="12" t="s">
        <v>84</v>
      </c>
      <c r="C97" s="20">
        <f t="shared" si="3"/>
        <v>2</v>
      </c>
      <c r="D97" s="20">
        <f t="shared" si="4"/>
        <v>2</v>
      </c>
      <c r="E97" s="42" t="s">
        <v>156</v>
      </c>
      <c r="F97" s="20" t="str">
        <f t="shared" si="5"/>
        <v>Дорожная карта по контейнерам и КП в разработке</v>
      </c>
      <c r="G97" s="20"/>
      <c r="H97" s="21"/>
      <c r="I97" s="21"/>
      <c r="J97" s="21"/>
      <c r="K97" s="21"/>
      <c r="L97" s="21"/>
      <c r="M97" s="21"/>
      <c r="N97" s="22"/>
      <c r="O97" s="22"/>
      <c r="P97" s="22"/>
      <c r="Q97" s="22"/>
      <c r="R97" s="23"/>
      <c r="S97" s="23"/>
      <c r="T97" s="9"/>
      <c r="V97" s="25"/>
    </row>
    <row r="98" spans="2:22" ht="30">
      <c r="B98" s="12" t="s">
        <v>166</v>
      </c>
      <c r="C98" s="20">
        <f t="shared" si="3"/>
        <v>2</v>
      </c>
      <c r="D98" s="20">
        <f t="shared" si="4"/>
        <v>2</v>
      </c>
      <c r="E98" s="42" t="s">
        <v>156</v>
      </c>
      <c r="F98" s="20" t="str">
        <f t="shared" si="5"/>
        <v>Дорожная карта по контейнерам и КП в разработке</v>
      </c>
      <c r="G98" s="20"/>
      <c r="H98" s="21"/>
      <c r="I98" s="21"/>
      <c r="J98" s="21"/>
      <c r="K98" s="21"/>
      <c r="L98" s="21"/>
      <c r="M98" s="21"/>
      <c r="N98" s="22"/>
      <c r="O98" s="22"/>
      <c r="P98" s="22"/>
      <c r="Q98" s="22"/>
      <c r="R98" s="23"/>
      <c r="S98" s="23"/>
      <c r="T98" s="9"/>
      <c r="V98" s="25"/>
    </row>
    <row r="99" spans="2:22" ht="30">
      <c r="B99" s="12" t="s">
        <v>85</v>
      </c>
      <c r="C99" s="20">
        <f t="shared" si="3"/>
        <v>2</v>
      </c>
      <c r="D99" s="20">
        <f t="shared" si="4"/>
        <v>2</v>
      </c>
      <c r="E99" s="42" t="s">
        <v>156</v>
      </c>
      <c r="F99" s="20" t="str">
        <f t="shared" si="5"/>
        <v>Дорожная карта по контейнерам и КП в разработке</v>
      </c>
      <c r="G99" s="20"/>
      <c r="H99" s="21"/>
      <c r="I99" s="21"/>
      <c r="J99" s="21"/>
      <c r="K99" s="21"/>
      <c r="L99" s="21"/>
      <c r="M99" s="21"/>
      <c r="N99" s="22"/>
      <c r="O99" s="22"/>
      <c r="P99" s="22"/>
      <c r="Q99" s="22"/>
      <c r="R99" s="23"/>
      <c r="S99" s="23"/>
      <c r="T99" s="9"/>
      <c r="V99" s="25"/>
    </row>
    <row r="100" spans="2:22" ht="30">
      <c r="B100" s="12" t="s">
        <v>86</v>
      </c>
      <c r="C100" s="20">
        <f t="shared" si="3"/>
        <v>2</v>
      </c>
      <c r="D100" s="20">
        <f t="shared" si="4"/>
        <v>2</v>
      </c>
      <c r="E100" s="42" t="s">
        <v>156</v>
      </c>
      <c r="F100" s="20" t="str">
        <f t="shared" si="5"/>
        <v>Дорожная карта по контейнерам и КП в разработке</v>
      </c>
      <c r="G100" s="20"/>
      <c r="H100" s="21"/>
      <c r="I100" s="21"/>
      <c r="J100" s="21"/>
      <c r="K100" s="21"/>
      <c r="L100" s="21"/>
      <c r="M100" s="21"/>
      <c r="N100" s="22"/>
      <c r="O100" s="22"/>
      <c r="P100" s="22"/>
      <c r="Q100" s="22"/>
      <c r="R100" s="23"/>
      <c r="S100" s="23"/>
      <c r="T100" s="9"/>
      <c r="V100" s="25"/>
    </row>
    <row r="101" spans="2:22" ht="30">
      <c r="B101" s="12" t="s">
        <v>87</v>
      </c>
      <c r="C101" s="20">
        <f t="shared" si="3"/>
        <v>2</v>
      </c>
      <c r="D101" s="20">
        <f t="shared" si="4"/>
        <v>2</v>
      </c>
      <c r="E101" s="42" t="s">
        <v>156</v>
      </c>
      <c r="F101" s="20" t="str">
        <f t="shared" si="5"/>
        <v>Дорожная карта по контейнерам и КП в разработке</v>
      </c>
      <c r="G101" s="20"/>
      <c r="H101" s="21"/>
      <c r="I101" s="21"/>
      <c r="J101" s="21"/>
      <c r="K101" s="21"/>
      <c r="L101" s="21"/>
      <c r="M101" s="21"/>
      <c r="N101" s="22"/>
      <c r="O101" s="22"/>
      <c r="P101" s="22"/>
      <c r="Q101" s="22"/>
      <c r="R101" s="23"/>
      <c r="S101" s="23"/>
      <c r="T101" s="9"/>
      <c r="V101" s="25"/>
    </row>
    <row r="102" spans="2:22" ht="30">
      <c r="B102" s="12" t="s">
        <v>88</v>
      </c>
      <c r="C102" s="20">
        <f t="shared" si="3"/>
        <v>2</v>
      </c>
      <c r="D102" s="20">
        <f t="shared" si="4"/>
        <v>2</v>
      </c>
      <c r="E102" s="42" t="s">
        <v>156</v>
      </c>
      <c r="F102" s="20" t="str">
        <f t="shared" si="5"/>
        <v>Дорожная карта по контейнерам и КП в разработке</v>
      </c>
      <c r="G102" s="20"/>
      <c r="H102" s="21"/>
      <c r="I102" s="21"/>
      <c r="J102" s="21"/>
      <c r="K102" s="21"/>
      <c r="L102" s="21"/>
      <c r="M102" s="21"/>
      <c r="N102" s="22"/>
      <c r="O102" s="22"/>
      <c r="P102" s="22"/>
      <c r="Q102" s="22"/>
      <c r="R102" s="23"/>
      <c r="S102" s="23"/>
      <c r="T102" s="9"/>
      <c r="V102" s="25"/>
    </row>
    <row r="103" spans="2:22" ht="30">
      <c r="B103" s="12" t="s">
        <v>89</v>
      </c>
      <c r="C103" s="20">
        <f t="shared" si="3"/>
        <v>2</v>
      </c>
      <c r="D103" s="20">
        <f t="shared" si="4"/>
        <v>2</v>
      </c>
      <c r="E103" s="42" t="s">
        <v>156</v>
      </c>
      <c r="F103" s="20" t="str">
        <f t="shared" si="5"/>
        <v>Дорожная карта по контейнерам и КП в разработке</v>
      </c>
      <c r="G103" s="20"/>
      <c r="H103" s="21"/>
      <c r="I103" s="21"/>
      <c r="J103" s="21"/>
      <c r="K103" s="21"/>
      <c r="L103" s="21"/>
      <c r="M103" s="21"/>
      <c r="N103" s="22"/>
      <c r="O103" s="22"/>
      <c r="P103" s="22"/>
      <c r="Q103" s="22"/>
      <c r="R103" s="23"/>
      <c r="S103" s="23"/>
      <c r="T103" s="9"/>
      <c r="V103" s="25"/>
    </row>
    <row r="104" spans="2:22" ht="30">
      <c r="B104" s="12" t="s">
        <v>90</v>
      </c>
      <c r="C104" s="20">
        <f t="shared" si="3"/>
        <v>2</v>
      </c>
      <c r="D104" s="20">
        <f t="shared" si="4"/>
        <v>2</v>
      </c>
      <c r="E104" s="42" t="s">
        <v>156</v>
      </c>
      <c r="F104" s="20" t="str">
        <f t="shared" si="5"/>
        <v>Дорожная карта по контейнерам и КП в разработке</v>
      </c>
      <c r="G104" s="20"/>
      <c r="H104" s="21"/>
      <c r="I104" s="21"/>
      <c r="J104" s="21"/>
      <c r="K104" s="21"/>
      <c r="L104" s="21"/>
      <c r="M104" s="21"/>
      <c r="N104" s="22"/>
      <c r="O104" s="22"/>
      <c r="P104" s="22"/>
      <c r="Q104" s="22"/>
      <c r="R104" s="23"/>
      <c r="S104" s="23"/>
      <c r="T104" s="9"/>
      <c r="V104" s="25"/>
    </row>
    <row r="106" spans="2:22">
      <c r="E106" s="38" t="s">
        <v>156</v>
      </c>
    </row>
    <row r="107" spans="2:22">
      <c r="B107" s="12"/>
      <c r="E107" s="38" t="s">
        <v>549</v>
      </c>
      <c r="V107" s="12"/>
    </row>
    <row r="108" spans="2:22">
      <c r="E108" s="38" t="s">
        <v>158</v>
      </c>
      <c r="V108" s="12"/>
    </row>
    <row r="109" spans="2:22">
      <c r="E109" s="38" t="s">
        <v>157</v>
      </c>
      <c r="H109" s="17"/>
      <c r="V109" s="12"/>
    </row>
  </sheetData>
  <dataValidations count="1">
    <dataValidation type="list" allowBlank="1" showInputMessage="1" showErrorMessage="1" sqref="E16:E104">
      <formula1>$E$106:$E$109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2:U266"/>
  <sheetViews>
    <sheetView topLeftCell="A239" workbookViewId="0">
      <selection activeCell="B8" sqref="B8:K266"/>
    </sheetView>
  </sheetViews>
  <sheetFormatPr defaultColWidth="7.59765625" defaultRowHeight="14.4"/>
  <cols>
    <col min="1" max="1" width="7.59765625" style="31"/>
    <col min="2" max="2" width="4.5" style="31" bestFit="1" customWidth="1"/>
    <col min="3" max="3" width="17.3984375" style="31" customWidth="1"/>
    <col min="4" max="4" width="17.8984375" style="31" customWidth="1"/>
    <col min="5" max="5" width="22.09765625" style="31" customWidth="1"/>
    <col min="6" max="6" width="15.3984375" style="31" bestFit="1" customWidth="1"/>
    <col min="7" max="7" width="14.09765625" style="35" customWidth="1"/>
    <col min="8" max="8" width="12.09765625" style="31" customWidth="1"/>
    <col min="9" max="9" width="12.8984375" style="31" customWidth="1"/>
    <col min="10" max="10" width="7.59765625" style="31" customWidth="1"/>
    <col min="11" max="11" width="12.8984375" style="31" customWidth="1"/>
    <col min="12" max="16384" width="7.59765625" style="31"/>
  </cols>
  <sheetData>
    <row r="2" spans="2:21" s="2" customFormat="1" ht="15.6">
      <c r="C2" s="1" t="s">
        <v>541</v>
      </c>
      <c r="D2" s="4"/>
      <c r="E2" s="4"/>
      <c r="F2" s="4"/>
      <c r="G2" s="4"/>
      <c r="H2" s="4"/>
      <c r="I2" s="4"/>
      <c r="J2" s="4"/>
      <c r="K2" s="4"/>
      <c r="L2" s="4"/>
    </row>
    <row r="3" spans="2:21" s="2" customFormat="1" ht="15.6">
      <c r="D3" s="4"/>
      <c r="E3" s="4"/>
      <c r="F3" s="4"/>
      <c r="G3" s="4"/>
      <c r="H3" s="4"/>
      <c r="I3" s="4"/>
      <c r="J3" s="4"/>
      <c r="K3" s="4"/>
      <c r="L3" s="4"/>
    </row>
    <row r="4" spans="2:21" s="7" customFormat="1" ht="15.6">
      <c r="C4" s="61" t="s">
        <v>574</v>
      </c>
      <c r="D4" s="61" t="s">
        <v>573</v>
      </c>
      <c r="E4" s="51"/>
      <c r="F4" s="51"/>
      <c r="G4" s="50"/>
      <c r="H4" s="50"/>
      <c r="I4" s="52"/>
      <c r="J4" s="52"/>
      <c r="K4" s="52"/>
      <c r="L4" s="52"/>
      <c r="M4" s="52"/>
      <c r="N4" s="52"/>
      <c r="O4" s="53"/>
      <c r="P4" s="53"/>
      <c r="Q4" s="53"/>
      <c r="R4" s="53"/>
      <c r="S4" s="53"/>
      <c r="T4" s="53"/>
      <c r="U4" s="53"/>
    </row>
    <row r="5" spans="2:21" s="9" customFormat="1" ht="15">
      <c r="C5" s="62" t="s">
        <v>583</v>
      </c>
      <c r="D5" s="62">
        <v>47757</v>
      </c>
      <c r="E5" s="38"/>
      <c r="F5" s="38"/>
      <c r="G5" s="13"/>
      <c r="H5" s="13"/>
      <c r="I5" s="8"/>
      <c r="J5" s="8"/>
      <c r="K5" s="8"/>
      <c r="L5" s="8"/>
      <c r="M5" s="8"/>
      <c r="N5" s="8"/>
      <c r="O5" s="14"/>
      <c r="P5" s="14"/>
      <c r="Q5" s="14"/>
      <c r="R5" s="14"/>
      <c r="S5" s="14"/>
      <c r="T5" s="14"/>
      <c r="U5" s="14"/>
    </row>
    <row r="6" spans="2:21" s="2" customFormat="1" ht="15.6">
      <c r="C6" s="4"/>
      <c r="D6" s="4"/>
      <c r="E6" s="4"/>
      <c r="F6" s="4"/>
      <c r="G6" s="4"/>
      <c r="H6" s="4"/>
      <c r="I6" s="4"/>
      <c r="J6" s="4"/>
      <c r="K6" s="4"/>
      <c r="L6" s="4"/>
    </row>
    <row r="7" spans="2:21" ht="29.25" customHeight="1">
      <c r="B7" s="28" t="s">
        <v>167</v>
      </c>
      <c r="C7" s="29" t="s">
        <v>168</v>
      </c>
      <c r="D7" s="29" t="s">
        <v>169</v>
      </c>
      <c r="E7" s="29" t="s">
        <v>170</v>
      </c>
      <c r="F7" s="29" t="s">
        <v>171</v>
      </c>
      <c r="G7" s="30" t="s">
        <v>172</v>
      </c>
      <c r="H7" s="30" t="s">
        <v>539</v>
      </c>
      <c r="I7" s="30" t="s">
        <v>540</v>
      </c>
      <c r="K7" s="30" t="s">
        <v>547</v>
      </c>
    </row>
    <row r="8" spans="2:21" s="34" customFormat="1" ht="14.25" customHeight="1">
      <c r="B8" s="32">
        <v>1</v>
      </c>
      <c r="C8" s="33" t="s">
        <v>182</v>
      </c>
      <c r="D8" s="33" t="s">
        <v>163</v>
      </c>
      <c r="E8" s="33" t="s">
        <v>529</v>
      </c>
      <c r="F8" s="33" t="s">
        <v>530</v>
      </c>
      <c r="G8" s="297">
        <v>1</v>
      </c>
      <c r="H8" s="34">
        <f t="shared" ref="H8:H71" si="0">IF(G8=1,1,"")</f>
        <v>1</v>
      </c>
      <c r="I8" s="34" t="str">
        <f>IF(G8=2,2,"")</f>
        <v/>
      </c>
      <c r="J8" s="34">
        <v>1</v>
      </c>
      <c r="K8" s="37">
        <v>0</v>
      </c>
    </row>
    <row r="9" spans="2:21" s="34" customFormat="1" ht="14.25" customHeight="1">
      <c r="B9" s="32">
        <v>2</v>
      </c>
      <c r="C9" s="33" t="s">
        <v>178</v>
      </c>
      <c r="D9" s="33" t="s">
        <v>88</v>
      </c>
      <c r="E9" s="33" t="s">
        <v>384</v>
      </c>
      <c r="F9" s="33" t="s">
        <v>385</v>
      </c>
      <c r="G9" s="36">
        <v>0</v>
      </c>
      <c r="H9" s="34" t="str">
        <f t="shared" si="0"/>
        <v/>
      </c>
      <c r="J9" s="34">
        <v>1</v>
      </c>
      <c r="K9" s="37">
        <v>0</v>
      </c>
    </row>
    <row r="10" spans="2:21" s="34" customFormat="1" ht="14.25" customHeight="1">
      <c r="B10" s="32">
        <v>144</v>
      </c>
      <c r="C10" s="33" t="s">
        <v>219</v>
      </c>
      <c r="D10" s="33" t="s">
        <v>48</v>
      </c>
      <c r="E10" s="33" t="s">
        <v>296</v>
      </c>
      <c r="F10" s="33" t="s">
        <v>300</v>
      </c>
      <c r="G10" s="36">
        <v>0</v>
      </c>
      <c r="H10" s="34" t="str">
        <f t="shared" si="0"/>
        <v/>
      </c>
      <c r="J10" s="34">
        <v>1</v>
      </c>
      <c r="K10" s="37">
        <v>0</v>
      </c>
    </row>
    <row r="11" spans="2:21" s="34" customFormat="1" ht="14.25" customHeight="1">
      <c r="B11" s="32">
        <v>145</v>
      </c>
      <c r="C11" s="33" t="s">
        <v>187</v>
      </c>
      <c r="D11" s="33" t="s">
        <v>12</v>
      </c>
      <c r="E11" s="33" t="s">
        <v>190</v>
      </c>
      <c r="F11" s="33" t="s">
        <v>191</v>
      </c>
      <c r="G11" s="36">
        <v>0</v>
      </c>
      <c r="H11" s="34" t="str">
        <f t="shared" si="0"/>
        <v/>
      </c>
      <c r="I11" s="34" t="str">
        <f t="shared" ref="I11:I74" si="1">IF(G11=2,2,"")</f>
        <v/>
      </c>
      <c r="J11" s="34">
        <v>2</v>
      </c>
      <c r="K11" s="37">
        <v>0</v>
      </c>
    </row>
    <row r="12" spans="2:21" s="34" customFormat="1" ht="14.25" customHeight="1">
      <c r="B12" s="32">
        <v>146</v>
      </c>
      <c r="C12" s="33" t="s">
        <v>187</v>
      </c>
      <c r="D12" s="33" t="s">
        <v>16</v>
      </c>
      <c r="E12" s="33" t="s">
        <v>196</v>
      </c>
      <c r="F12" s="33" t="s">
        <v>198</v>
      </c>
      <c r="G12" s="36">
        <v>0</v>
      </c>
      <c r="H12" s="34" t="str">
        <f t="shared" si="0"/>
        <v/>
      </c>
      <c r="I12" s="34" t="str">
        <f t="shared" si="1"/>
        <v/>
      </c>
      <c r="J12" s="34">
        <v>1</v>
      </c>
      <c r="K12" s="37">
        <v>0</v>
      </c>
    </row>
    <row r="13" spans="2:21" s="34" customFormat="1" ht="14.25" customHeight="1">
      <c r="B13" s="32">
        <v>147</v>
      </c>
      <c r="C13" s="33" t="s">
        <v>173</v>
      </c>
      <c r="D13" s="33" t="s">
        <v>33</v>
      </c>
      <c r="E13" s="33" t="s">
        <v>238</v>
      </c>
      <c r="F13" s="33" t="s">
        <v>239</v>
      </c>
      <c r="G13" s="36">
        <v>0</v>
      </c>
      <c r="H13" s="34" t="str">
        <f t="shared" si="0"/>
        <v/>
      </c>
      <c r="I13" s="34" t="str">
        <f t="shared" si="1"/>
        <v/>
      </c>
      <c r="J13" s="34">
        <v>1</v>
      </c>
      <c r="K13" s="37">
        <v>0</v>
      </c>
    </row>
    <row r="14" spans="2:21" s="34" customFormat="1" ht="14.25" customHeight="1">
      <c r="B14" s="32">
        <v>148</v>
      </c>
      <c r="C14" s="33" t="s">
        <v>173</v>
      </c>
      <c r="D14" s="33" t="s">
        <v>33</v>
      </c>
      <c r="E14" s="33" t="s">
        <v>244</v>
      </c>
      <c r="F14" s="33" t="s">
        <v>247</v>
      </c>
      <c r="G14" s="36">
        <v>0</v>
      </c>
      <c r="H14" s="34" t="str">
        <f t="shared" si="0"/>
        <v/>
      </c>
      <c r="I14" s="34" t="str">
        <f t="shared" si="1"/>
        <v/>
      </c>
      <c r="J14" s="34">
        <v>1</v>
      </c>
      <c r="K14" s="37">
        <v>0</v>
      </c>
    </row>
    <row r="15" spans="2:21" s="34" customFormat="1" ht="14.25" customHeight="1">
      <c r="B15" s="32">
        <v>3</v>
      </c>
      <c r="C15" s="33" t="s">
        <v>173</v>
      </c>
      <c r="D15" s="33" t="s">
        <v>33</v>
      </c>
      <c r="E15" s="33" t="s">
        <v>238</v>
      </c>
      <c r="F15" s="33" t="s">
        <v>248</v>
      </c>
      <c r="G15" s="36">
        <v>0</v>
      </c>
      <c r="H15" s="34" t="str">
        <f t="shared" si="0"/>
        <v/>
      </c>
      <c r="I15" s="34" t="str">
        <f t="shared" si="1"/>
        <v/>
      </c>
      <c r="J15" s="34">
        <v>1</v>
      </c>
      <c r="K15" s="37">
        <v>0</v>
      </c>
    </row>
    <row r="16" spans="2:21" s="34" customFormat="1" ht="14.25" customHeight="1">
      <c r="B16" s="32">
        <v>4</v>
      </c>
      <c r="C16" s="33" t="s">
        <v>219</v>
      </c>
      <c r="D16" s="33" t="s">
        <v>48</v>
      </c>
      <c r="E16" s="33" t="s">
        <v>298</v>
      </c>
      <c r="F16" s="33" t="s">
        <v>242</v>
      </c>
      <c r="G16" s="36">
        <v>0</v>
      </c>
      <c r="H16" s="34" t="str">
        <f t="shared" si="0"/>
        <v/>
      </c>
      <c r="I16" s="34" t="str">
        <f t="shared" si="1"/>
        <v/>
      </c>
      <c r="J16" s="34">
        <v>1</v>
      </c>
      <c r="K16" s="37">
        <v>0</v>
      </c>
    </row>
    <row r="17" spans="2:11" s="34" customFormat="1" ht="14.25" customHeight="1">
      <c r="B17" s="32">
        <v>149</v>
      </c>
      <c r="C17" s="33" t="s">
        <v>219</v>
      </c>
      <c r="D17" s="33" t="s">
        <v>48</v>
      </c>
      <c r="E17" s="33" t="s">
        <v>296</v>
      </c>
      <c r="F17" s="33" t="s">
        <v>297</v>
      </c>
      <c r="G17" s="36">
        <v>0</v>
      </c>
      <c r="H17" s="34" t="str">
        <f t="shared" si="0"/>
        <v/>
      </c>
      <c r="I17" s="34" t="str">
        <f t="shared" si="1"/>
        <v/>
      </c>
      <c r="J17" s="34">
        <v>1</v>
      </c>
      <c r="K17" s="37">
        <v>0</v>
      </c>
    </row>
    <row r="18" spans="2:11" s="34" customFormat="1" ht="14.25" customHeight="1">
      <c r="B18" s="32">
        <v>150</v>
      </c>
      <c r="C18" s="33" t="s">
        <v>219</v>
      </c>
      <c r="D18" s="33" t="s">
        <v>3</v>
      </c>
      <c r="E18" s="33" t="s">
        <v>307</v>
      </c>
      <c r="F18" s="33" t="s">
        <v>224</v>
      </c>
      <c r="G18" s="36">
        <v>0</v>
      </c>
      <c r="H18" s="34" t="str">
        <f t="shared" si="0"/>
        <v/>
      </c>
      <c r="I18" s="34" t="str">
        <f t="shared" si="1"/>
        <v/>
      </c>
      <c r="J18" s="34">
        <v>1</v>
      </c>
      <c r="K18" s="37">
        <v>0</v>
      </c>
    </row>
    <row r="19" spans="2:11" s="34" customFormat="1" ht="14.25" customHeight="1">
      <c r="B19" s="32">
        <v>151</v>
      </c>
      <c r="C19" s="33" t="s">
        <v>182</v>
      </c>
      <c r="D19" s="33" t="s">
        <v>60</v>
      </c>
      <c r="E19" s="33" t="s">
        <v>311</v>
      </c>
      <c r="F19" s="33" t="s">
        <v>312</v>
      </c>
      <c r="G19" s="36">
        <v>0</v>
      </c>
      <c r="H19" s="34" t="str">
        <f t="shared" si="0"/>
        <v/>
      </c>
      <c r="I19" s="34" t="str">
        <f t="shared" si="1"/>
        <v/>
      </c>
      <c r="J19" s="34">
        <v>1</v>
      </c>
      <c r="K19" s="37">
        <v>0</v>
      </c>
    </row>
    <row r="20" spans="2:11" s="34" customFormat="1" ht="14.25" customHeight="1">
      <c r="B20" s="32">
        <v>152</v>
      </c>
      <c r="C20" s="33" t="s">
        <v>219</v>
      </c>
      <c r="D20" s="33" t="s">
        <v>65</v>
      </c>
      <c r="E20" s="33" t="s">
        <v>325</v>
      </c>
      <c r="F20" s="33" t="s">
        <v>326</v>
      </c>
      <c r="G20" s="36">
        <v>0</v>
      </c>
      <c r="H20" s="34" t="str">
        <f t="shared" si="0"/>
        <v/>
      </c>
      <c r="I20" s="34" t="str">
        <f t="shared" si="1"/>
        <v/>
      </c>
      <c r="J20" s="34">
        <v>1</v>
      </c>
      <c r="K20" s="37">
        <v>0</v>
      </c>
    </row>
    <row r="21" spans="2:11" s="34" customFormat="1" ht="14.25" customHeight="1">
      <c r="B21" s="32">
        <v>5</v>
      </c>
      <c r="C21" s="33" t="s">
        <v>219</v>
      </c>
      <c r="D21" s="33" t="s">
        <v>82</v>
      </c>
      <c r="E21" s="33" t="s">
        <v>364</v>
      </c>
      <c r="F21" s="33" t="s">
        <v>184</v>
      </c>
      <c r="G21" s="36">
        <v>0</v>
      </c>
      <c r="H21" s="34" t="str">
        <f t="shared" si="0"/>
        <v/>
      </c>
      <c r="I21" s="34" t="str">
        <f t="shared" si="1"/>
        <v/>
      </c>
      <c r="J21" s="34">
        <v>1</v>
      </c>
      <c r="K21" s="37">
        <v>0</v>
      </c>
    </row>
    <row r="22" spans="2:11" s="34" customFormat="1" ht="14.25" customHeight="1">
      <c r="B22" s="32">
        <v>6</v>
      </c>
      <c r="C22" s="33" t="s">
        <v>339</v>
      </c>
      <c r="D22" s="33" t="s">
        <v>85</v>
      </c>
      <c r="E22" s="33" t="s">
        <v>375</v>
      </c>
      <c r="F22" s="33" t="s">
        <v>376</v>
      </c>
      <c r="G22" s="36">
        <v>0</v>
      </c>
      <c r="H22" s="34" t="str">
        <f t="shared" si="0"/>
        <v/>
      </c>
      <c r="I22" s="34" t="str">
        <f t="shared" si="1"/>
        <v/>
      </c>
      <c r="J22" s="34">
        <v>1</v>
      </c>
      <c r="K22" s="37">
        <v>0</v>
      </c>
    </row>
    <row r="23" spans="2:11" s="34" customFormat="1" ht="14.25" customHeight="1">
      <c r="B23" s="32">
        <v>7</v>
      </c>
      <c r="C23" s="33" t="s">
        <v>178</v>
      </c>
      <c r="D23" s="33" t="s">
        <v>9</v>
      </c>
      <c r="E23" s="33" t="s">
        <v>213</v>
      </c>
      <c r="F23" s="33" t="s">
        <v>179</v>
      </c>
      <c r="G23" s="36">
        <v>0</v>
      </c>
      <c r="H23" s="34" t="str">
        <f t="shared" si="0"/>
        <v/>
      </c>
      <c r="I23" s="34" t="str">
        <f t="shared" si="1"/>
        <v/>
      </c>
      <c r="J23" s="34">
        <v>1</v>
      </c>
      <c r="K23" s="37">
        <v>0</v>
      </c>
    </row>
    <row r="24" spans="2:11" s="34" customFormat="1" ht="14.25" customHeight="1">
      <c r="B24" s="32">
        <v>8</v>
      </c>
      <c r="C24" s="33" t="s">
        <v>178</v>
      </c>
      <c r="D24" s="33" t="s">
        <v>9</v>
      </c>
      <c r="E24" s="33" t="s">
        <v>180</v>
      </c>
      <c r="F24" s="33" t="s">
        <v>181</v>
      </c>
      <c r="G24" s="36">
        <v>0</v>
      </c>
      <c r="H24" s="34" t="str">
        <f t="shared" si="0"/>
        <v/>
      </c>
      <c r="I24" s="34" t="str">
        <f t="shared" si="1"/>
        <v/>
      </c>
      <c r="J24" s="34">
        <v>1</v>
      </c>
      <c r="K24" s="37">
        <v>0</v>
      </c>
    </row>
    <row r="25" spans="2:11" s="34" customFormat="1" ht="14.25" customHeight="1">
      <c r="B25" s="32">
        <v>9</v>
      </c>
      <c r="C25" s="33" t="s">
        <v>187</v>
      </c>
      <c r="D25" s="33" t="s">
        <v>16</v>
      </c>
      <c r="E25" s="33" t="s">
        <v>199</v>
      </c>
      <c r="F25" s="33" t="s">
        <v>200</v>
      </c>
      <c r="G25" s="36">
        <v>0</v>
      </c>
      <c r="H25" s="34" t="str">
        <f t="shared" si="0"/>
        <v/>
      </c>
      <c r="I25" s="34" t="str">
        <f t="shared" si="1"/>
        <v/>
      </c>
      <c r="J25" s="34">
        <v>1</v>
      </c>
      <c r="K25" s="37">
        <v>0</v>
      </c>
    </row>
    <row r="26" spans="2:11" s="34" customFormat="1" ht="14.25" customHeight="1">
      <c r="B26" s="32">
        <v>10</v>
      </c>
      <c r="C26" s="33" t="s">
        <v>173</v>
      </c>
      <c r="D26" s="33" t="s">
        <v>33</v>
      </c>
      <c r="E26" s="33" t="s">
        <v>244</v>
      </c>
      <c r="F26" s="33" t="s">
        <v>245</v>
      </c>
      <c r="G26" s="36">
        <v>0</v>
      </c>
      <c r="H26" s="34" t="str">
        <f t="shared" si="0"/>
        <v/>
      </c>
      <c r="I26" s="34" t="str">
        <f t="shared" si="1"/>
        <v/>
      </c>
      <c r="J26" s="34">
        <v>1</v>
      </c>
      <c r="K26" s="37">
        <v>0</v>
      </c>
    </row>
    <row r="27" spans="2:11" s="34" customFormat="1" ht="14.25" customHeight="1">
      <c r="B27" s="32">
        <v>153</v>
      </c>
      <c r="C27" s="33" t="s">
        <v>205</v>
      </c>
      <c r="D27" s="33" t="s">
        <v>41</v>
      </c>
      <c r="E27" s="33" t="s">
        <v>278</v>
      </c>
      <c r="F27" s="33" t="s">
        <v>279</v>
      </c>
      <c r="G27" s="36">
        <v>0</v>
      </c>
      <c r="H27" s="34" t="str">
        <f t="shared" si="0"/>
        <v/>
      </c>
      <c r="I27" s="34" t="str">
        <f t="shared" si="1"/>
        <v/>
      </c>
      <c r="J27" s="34">
        <v>1</v>
      </c>
      <c r="K27" s="37">
        <v>0</v>
      </c>
    </row>
    <row r="28" spans="2:11" s="34" customFormat="1" ht="14.25" customHeight="1">
      <c r="B28" s="32">
        <v>11</v>
      </c>
      <c r="C28" s="33" t="s">
        <v>173</v>
      </c>
      <c r="D28" s="33" t="s">
        <v>44</v>
      </c>
      <c r="E28" s="33" t="s">
        <v>293</v>
      </c>
      <c r="F28" s="33" t="s">
        <v>44</v>
      </c>
      <c r="G28" s="36">
        <v>0</v>
      </c>
      <c r="H28" s="34" t="str">
        <f t="shared" si="0"/>
        <v/>
      </c>
      <c r="I28" s="34" t="str">
        <f t="shared" si="1"/>
        <v/>
      </c>
      <c r="J28" s="34">
        <v>1</v>
      </c>
      <c r="K28" s="37">
        <v>0</v>
      </c>
    </row>
    <row r="29" spans="2:11" s="34" customFormat="1" ht="14.25" customHeight="1">
      <c r="B29" s="32">
        <v>154</v>
      </c>
      <c r="C29" s="33" t="s">
        <v>219</v>
      </c>
      <c r="D29" s="33" t="s">
        <v>82</v>
      </c>
      <c r="E29" s="33" t="s">
        <v>362</v>
      </c>
      <c r="F29" s="33" t="s">
        <v>186</v>
      </c>
      <c r="G29" s="36">
        <v>0</v>
      </c>
      <c r="H29" s="34" t="str">
        <f t="shared" si="0"/>
        <v/>
      </c>
      <c r="I29" s="34" t="str">
        <f t="shared" si="1"/>
        <v/>
      </c>
      <c r="J29" s="34">
        <v>1</v>
      </c>
      <c r="K29" s="37">
        <v>0</v>
      </c>
    </row>
    <row r="30" spans="2:11" s="34" customFormat="1" ht="14.25" customHeight="1">
      <c r="B30" s="32">
        <v>155</v>
      </c>
      <c r="C30" s="33" t="s">
        <v>219</v>
      </c>
      <c r="D30" s="33" t="s">
        <v>46</v>
      </c>
      <c r="E30" s="33" t="s">
        <v>294</v>
      </c>
      <c r="F30" s="33" t="s">
        <v>189</v>
      </c>
      <c r="G30" s="36">
        <v>0</v>
      </c>
      <c r="H30" s="34" t="str">
        <f t="shared" si="0"/>
        <v/>
      </c>
      <c r="I30" s="34" t="str">
        <f t="shared" si="1"/>
        <v/>
      </c>
      <c r="J30" s="34">
        <v>1</v>
      </c>
      <c r="K30" s="37">
        <v>0</v>
      </c>
    </row>
    <row r="31" spans="2:11" s="34" customFormat="1" ht="14.25" customHeight="1">
      <c r="B31" s="32">
        <v>12</v>
      </c>
      <c r="C31" s="33" t="s">
        <v>182</v>
      </c>
      <c r="D31" s="33" t="s">
        <v>68</v>
      </c>
      <c r="E31" s="33" t="s">
        <v>185</v>
      </c>
      <c r="F31" s="33" t="s">
        <v>486</v>
      </c>
      <c r="G31" s="36">
        <v>0</v>
      </c>
      <c r="H31" s="34" t="str">
        <f t="shared" si="0"/>
        <v/>
      </c>
      <c r="I31" s="34" t="str">
        <f t="shared" si="1"/>
        <v/>
      </c>
      <c r="J31" s="34">
        <v>1</v>
      </c>
      <c r="K31" s="37">
        <v>0</v>
      </c>
    </row>
    <row r="32" spans="2:11" s="34" customFormat="1" ht="14.25" customHeight="1">
      <c r="B32" s="32">
        <v>13</v>
      </c>
      <c r="C32" s="33" t="s">
        <v>187</v>
      </c>
      <c r="D32" s="33" t="s">
        <v>37</v>
      </c>
      <c r="E32" s="33" t="s">
        <v>258</v>
      </c>
      <c r="F32" s="33" t="s">
        <v>259</v>
      </c>
      <c r="G32" s="36">
        <v>0</v>
      </c>
      <c r="H32" s="34" t="str">
        <f t="shared" si="0"/>
        <v/>
      </c>
      <c r="I32" s="34" t="str">
        <f t="shared" si="1"/>
        <v/>
      </c>
      <c r="J32" s="34">
        <v>1</v>
      </c>
      <c r="K32" s="37">
        <v>0</v>
      </c>
    </row>
    <row r="33" spans="2:11" s="34" customFormat="1" ht="14.25" customHeight="1">
      <c r="B33" s="32">
        <v>14</v>
      </c>
      <c r="C33" s="33" t="s">
        <v>173</v>
      </c>
      <c r="D33" s="33" t="s">
        <v>33</v>
      </c>
      <c r="E33" s="33" t="s">
        <v>234</v>
      </c>
      <c r="F33" s="33" t="s">
        <v>237</v>
      </c>
      <c r="G33" s="36">
        <v>0</v>
      </c>
      <c r="H33" s="34" t="str">
        <f t="shared" si="0"/>
        <v/>
      </c>
      <c r="I33" s="34" t="str">
        <f t="shared" si="1"/>
        <v/>
      </c>
      <c r="J33" s="34">
        <v>1</v>
      </c>
      <c r="K33" s="37">
        <v>0</v>
      </c>
    </row>
    <row r="34" spans="2:11" s="34" customFormat="1" ht="14.25" customHeight="1">
      <c r="B34" s="32">
        <v>15</v>
      </c>
      <c r="C34" s="33" t="s">
        <v>219</v>
      </c>
      <c r="D34" s="33" t="s">
        <v>48</v>
      </c>
      <c r="E34" s="33" t="s">
        <v>296</v>
      </c>
      <c r="F34" s="33" t="s">
        <v>299</v>
      </c>
      <c r="G34" s="36">
        <v>0</v>
      </c>
      <c r="H34" s="34" t="str">
        <f t="shared" si="0"/>
        <v/>
      </c>
      <c r="I34" s="34" t="str">
        <f t="shared" si="1"/>
        <v/>
      </c>
      <c r="J34" s="34">
        <v>1</v>
      </c>
      <c r="K34" s="37">
        <v>0</v>
      </c>
    </row>
    <row r="35" spans="2:11" s="34" customFormat="1" ht="14.25" customHeight="1">
      <c r="B35" s="32">
        <v>16</v>
      </c>
      <c r="C35" s="33" t="s">
        <v>178</v>
      </c>
      <c r="D35" s="33" t="s">
        <v>165</v>
      </c>
      <c r="E35" s="33" t="s">
        <v>498</v>
      </c>
      <c r="F35" s="33" t="s">
        <v>499</v>
      </c>
      <c r="G35" s="36">
        <v>0</v>
      </c>
      <c r="H35" s="34" t="str">
        <f t="shared" si="0"/>
        <v/>
      </c>
      <c r="I35" s="34" t="str">
        <f t="shared" si="1"/>
        <v/>
      </c>
      <c r="J35" s="34">
        <v>1</v>
      </c>
      <c r="K35" s="37">
        <v>0</v>
      </c>
    </row>
    <row r="36" spans="2:11" s="34" customFormat="1" ht="14.25" customHeight="1">
      <c r="B36" s="32">
        <v>17</v>
      </c>
      <c r="C36" s="33" t="s">
        <v>173</v>
      </c>
      <c r="D36" s="33" t="s">
        <v>1</v>
      </c>
      <c r="E36" s="33" t="s">
        <v>390</v>
      </c>
      <c r="F36" s="33" t="s">
        <v>391</v>
      </c>
      <c r="G36" s="36">
        <v>0</v>
      </c>
      <c r="H36" s="34" t="str">
        <f t="shared" si="0"/>
        <v/>
      </c>
      <c r="I36" s="34" t="str">
        <f t="shared" si="1"/>
        <v/>
      </c>
      <c r="J36" s="34">
        <v>1</v>
      </c>
      <c r="K36" s="37">
        <v>0</v>
      </c>
    </row>
    <row r="37" spans="2:11" s="34" customFormat="1" ht="14.25" customHeight="1">
      <c r="B37" s="32">
        <v>156</v>
      </c>
      <c r="C37" s="33" t="s">
        <v>187</v>
      </c>
      <c r="D37" s="33" t="s">
        <v>16</v>
      </c>
      <c r="E37" s="33" t="s">
        <v>196</v>
      </c>
      <c r="F37" s="33" t="s">
        <v>201</v>
      </c>
      <c r="G37" s="36">
        <v>0</v>
      </c>
      <c r="H37" s="34" t="str">
        <f t="shared" si="0"/>
        <v/>
      </c>
      <c r="I37" s="34" t="str">
        <f t="shared" si="1"/>
        <v/>
      </c>
      <c r="J37" s="34">
        <v>1</v>
      </c>
      <c r="K37" s="37">
        <v>0</v>
      </c>
    </row>
    <row r="38" spans="2:11" s="34" customFormat="1" ht="14.25" customHeight="1">
      <c r="B38" s="32">
        <v>157</v>
      </c>
      <c r="C38" s="33" t="s">
        <v>187</v>
      </c>
      <c r="D38" s="33" t="s">
        <v>16</v>
      </c>
      <c r="E38" s="33" t="s">
        <v>196</v>
      </c>
      <c r="F38" s="33" t="s">
        <v>197</v>
      </c>
      <c r="G38" s="36">
        <v>0</v>
      </c>
      <c r="H38" s="34" t="str">
        <f t="shared" si="0"/>
        <v/>
      </c>
      <c r="I38" s="34" t="str">
        <f t="shared" si="1"/>
        <v/>
      </c>
      <c r="J38" s="34">
        <v>1</v>
      </c>
      <c r="K38" s="37">
        <v>0</v>
      </c>
    </row>
    <row r="39" spans="2:11" s="34" customFormat="1" ht="14.25" customHeight="1">
      <c r="B39" s="32">
        <v>18</v>
      </c>
      <c r="C39" s="33" t="s">
        <v>182</v>
      </c>
      <c r="D39" s="33" t="s">
        <v>19</v>
      </c>
      <c r="E39" s="33" t="s">
        <v>207</v>
      </c>
      <c r="F39" s="33" t="s">
        <v>189</v>
      </c>
      <c r="G39" s="36">
        <v>0</v>
      </c>
      <c r="H39" s="34" t="str">
        <f t="shared" si="0"/>
        <v/>
      </c>
      <c r="I39" s="34" t="str">
        <f t="shared" si="1"/>
        <v/>
      </c>
      <c r="J39" s="34">
        <v>1</v>
      </c>
      <c r="K39" s="37">
        <v>0</v>
      </c>
    </row>
    <row r="40" spans="2:11" s="34" customFormat="1" ht="14.25" customHeight="1">
      <c r="B40" s="32">
        <v>19</v>
      </c>
      <c r="C40" s="33" t="s">
        <v>182</v>
      </c>
      <c r="D40" s="33" t="s">
        <v>32</v>
      </c>
      <c r="E40" s="33" t="s">
        <v>229</v>
      </c>
      <c r="F40" s="33" t="s">
        <v>232</v>
      </c>
      <c r="G40" s="36">
        <v>0</v>
      </c>
      <c r="H40" s="34" t="str">
        <f t="shared" si="0"/>
        <v/>
      </c>
      <c r="I40" s="34" t="str">
        <f t="shared" si="1"/>
        <v/>
      </c>
      <c r="J40" s="34">
        <v>1</v>
      </c>
      <c r="K40" s="37">
        <v>0</v>
      </c>
    </row>
    <row r="41" spans="2:11" s="34" customFormat="1" ht="14.25" customHeight="1">
      <c r="B41" s="32">
        <v>20</v>
      </c>
      <c r="C41" s="33" t="s">
        <v>173</v>
      </c>
      <c r="D41" s="33" t="s">
        <v>33</v>
      </c>
      <c r="E41" s="33" t="s">
        <v>234</v>
      </c>
      <c r="F41" s="33" t="s">
        <v>235</v>
      </c>
      <c r="G41" s="36">
        <v>0</v>
      </c>
      <c r="H41" s="34" t="str">
        <f t="shared" si="0"/>
        <v/>
      </c>
      <c r="I41" s="34" t="str">
        <f t="shared" si="1"/>
        <v/>
      </c>
      <c r="J41" s="34">
        <v>1</v>
      </c>
      <c r="K41" s="37">
        <v>0</v>
      </c>
    </row>
    <row r="42" spans="2:11" s="34" customFormat="1" ht="14.25" customHeight="1">
      <c r="B42" s="32">
        <v>158</v>
      </c>
      <c r="C42" s="33" t="s">
        <v>187</v>
      </c>
      <c r="D42" s="33" t="s">
        <v>37</v>
      </c>
      <c r="E42" s="33" t="s">
        <v>262</v>
      </c>
      <c r="F42" s="33" t="s">
        <v>263</v>
      </c>
      <c r="G42" s="36">
        <v>0</v>
      </c>
      <c r="H42" s="34" t="str">
        <f t="shared" si="0"/>
        <v/>
      </c>
      <c r="I42" s="34" t="str">
        <f t="shared" si="1"/>
        <v/>
      </c>
      <c r="J42" s="34">
        <v>1</v>
      </c>
      <c r="K42" s="37">
        <v>0</v>
      </c>
    </row>
    <row r="43" spans="2:11" s="34" customFormat="1" ht="14.25" customHeight="1">
      <c r="B43" s="32">
        <v>159</v>
      </c>
      <c r="C43" s="33" t="s">
        <v>182</v>
      </c>
      <c r="D43" s="33" t="s">
        <v>52</v>
      </c>
      <c r="E43" s="33" t="s">
        <v>185</v>
      </c>
      <c r="F43" s="33" t="s">
        <v>189</v>
      </c>
      <c r="G43" s="36">
        <v>0</v>
      </c>
      <c r="H43" s="34" t="str">
        <f t="shared" si="0"/>
        <v/>
      </c>
      <c r="I43" s="34" t="str">
        <f t="shared" si="1"/>
        <v/>
      </c>
      <c r="J43" s="34">
        <v>1</v>
      </c>
      <c r="K43" s="37">
        <v>0</v>
      </c>
    </row>
    <row r="44" spans="2:11" s="34" customFormat="1" ht="14.25" customHeight="1">
      <c r="B44" s="32">
        <v>160</v>
      </c>
      <c r="C44" s="33" t="s">
        <v>187</v>
      </c>
      <c r="D44" s="33" t="s">
        <v>79</v>
      </c>
      <c r="E44" s="33" t="s">
        <v>194</v>
      </c>
      <c r="F44" s="33" t="s">
        <v>186</v>
      </c>
      <c r="G44" s="36">
        <v>0</v>
      </c>
      <c r="H44" s="34" t="str">
        <f t="shared" si="0"/>
        <v/>
      </c>
      <c r="I44" s="34" t="str">
        <f t="shared" si="1"/>
        <v/>
      </c>
      <c r="J44" s="34">
        <v>1</v>
      </c>
      <c r="K44" s="37">
        <v>0</v>
      </c>
    </row>
    <row r="45" spans="2:11" s="34" customFormat="1" ht="14.25" customHeight="1">
      <c r="B45" s="32">
        <v>252</v>
      </c>
      <c r="C45" s="33" t="s">
        <v>173</v>
      </c>
      <c r="D45" s="33" t="s">
        <v>1</v>
      </c>
      <c r="E45" s="33" t="s">
        <v>176</v>
      </c>
      <c r="F45" s="33" t="s">
        <v>177</v>
      </c>
      <c r="G45" s="36">
        <v>0</v>
      </c>
      <c r="H45" s="34" t="str">
        <f t="shared" si="0"/>
        <v/>
      </c>
      <c r="I45" s="34" t="str">
        <f t="shared" si="1"/>
        <v/>
      </c>
      <c r="J45" s="34">
        <v>1</v>
      </c>
      <c r="K45" s="37">
        <v>0</v>
      </c>
    </row>
    <row r="46" spans="2:11" s="34" customFormat="1" ht="14.25" customHeight="1">
      <c r="B46" s="32">
        <v>21</v>
      </c>
      <c r="C46" s="33" t="s">
        <v>205</v>
      </c>
      <c r="D46" s="33" t="s">
        <v>18</v>
      </c>
      <c r="E46" s="33" t="s">
        <v>206</v>
      </c>
      <c r="F46" s="33" t="s">
        <v>189</v>
      </c>
      <c r="G46" s="36">
        <v>0</v>
      </c>
      <c r="H46" s="34" t="str">
        <f t="shared" si="0"/>
        <v/>
      </c>
      <c r="I46" s="34" t="str">
        <f t="shared" si="1"/>
        <v/>
      </c>
      <c r="J46" s="34">
        <v>1</v>
      </c>
      <c r="K46" s="37">
        <v>0</v>
      </c>
    </row>
    <row r="47" spans="2:11" s="34" customFormat="1" ht="14.25" customHeight="1">
      <c r="B47" s="32">
        <v>22</v>
      </c>
      <c r="C47" s="33" t="s">
        <v>187</v>
      </c>
      <c r="D47" s="33" t="s">
        <v>31</v>
      </c>
      <c r="E47" s="33" t="s">
        <v>221</v>
      </c>
      <c r="F47" s="33" t="s">
        <v>186</v>
      </c>
      <c r="G47" s="36">
        <v>0</v>
      </c>
      <c r="H47" s="34" t="str">
        <f t="shared" si="0"/>
        <v/>
      </c>
      <c r="I47" s="34" t="str">
        <f t="shared" si="1"/>
        <v/>
      </c>
      <c r="J47" s="34">
        <v>1</v>
      </c>
      <c r="K47" s="37">
        <v>0</v>
      </c>
    </row>
    <row r="48" spans="2:11" s="34" customFormat="1" ht="14.25" customHeight="1">
      <c r="B48" s="32">
        <v>161</v>
      </c>
      <c r="C48" s="33" t="s">
        <v>187</v>
      </c>
      <c r="D48" s="33" t="s">
        <v>35</v>
      </c>
      <c r="E48" s="33" t="s">
        <v>251</v>
      </c>
      <c r="F48" s="33" t="s">
        <v>252</v>
      </c>
      <c r="G48" s="36">
        <v>0</v>
      </c>
      <c r="H48" s="34" t="str">
        <f t="shared" si="0"/>
        <v/>
      </c>
      <c r="I48" s="34" t="str">
        <f t="shared" si="1"/>
        <v/>
      </c>
      <c r="J48" s="34">
        <v>1</v>
      </c>
      <c r="K48" s="37">
        <v>0</v>
      </c>
    </row>
    <row r="49" spans="2:11" s="34" customFormat="1" ht="14.25" customHeight="1">
      <c r="B49" s="32">
        <v>162</v>
      </c>
      <c r="C49" s="33" t="s">
        <v>187</v>
      </c>
      <c r="D49" s="33" t="s">
        <v>37</v>
      </c>
      <c r="E49" s="33" t="s">
        <v>256</v>
      </c>
      <c r="F49" s="33" t="s">
        <v>257</v>
      </c>
      <c r="G49" s="36">
        <v>0</v>
      </c>
      <c r="H49" s="34" t="str">
        <f t="shared" si="0"/>
        <v/>
      </c>
      <c r="I49" s="34" t="str">
        <f t="shared" si="1"/>
        <v/>
      </c>
      <c r="J49" s="34">
        <v>1</v>
      </c>
      <c r="K49" s="37">
        <v>0</v>
      </c>
    </row>
    <row r="50" spans="2:11" s="34" customFormat="1" ht="14.25" customHeight="1">
      <c r="B50" s="32">
        <v>163</v>
      </c>
      <c r="C50" s="33" t="s">
        <v>205</v>
      </c>
      <c r="D50" s="33" t="s">
        <v>40</v>
      </c>
      <c r="E50" s="33" t="s">
        <v>277</v>
      </c>
      <c r="F50" s="33" t="s">
        <v>189</v>
      </c>
      <c r="G50" s="36">
        <v>0</v>
      </c>
      <c r="H50" s="34" t="str">
        <f t="shared" si="0"/>
        <v/>
      </c>
      <c r="I50" s="34" t="str">
        <f t="shared" si="1"/>
        <v/>
      </c>
      <c r="J50" s="34">
        <v>1</v>
      </c>
      <c r="K50" s="37">
        <v>0</v>
      </c>
    </row>
    <row r="51" spans="2:11" s="34" customFormat="1" ht="14.25" customHeight="1">
      <c r="B51" s="32">
        <v>164</v>
      </c>
      <c r="C51" s="33" t="s">
        <v>219</v>
      </c>
      <c r="D51" s="33" t="s">
        <v>3</v>
      </c>
      <c r="E51" s="33" t="s">
        <v>305</v>
      </c>
      <c r="F51" s="33" t="s">
        <v>306</v>
      </c>
      <c r="G51" s="36">
        <v>0</v>
      </c>
      <c r="H51" s="34" t="str">
        <f t="shared" si="0"/>
        <v/>
      </c>
      <c r="I51" s="34" t="str">
        <f t="shared" si="1"/>
        <v/>
      </c>
      <c r="J51" s="34">
        <v>1</v>
      </c>
      <c r="K51" s="37">
        <v>0</v>
      </c>
    </row>
    <row r="52" spans="2:11" s="34" customFormat="1" ht="14.25" customHeight="1">
      <c r="B52" s="32">
        <v>23</v>
      </c>
      <c r="C52" s="33" t="s">
        <v>182</v>
      </c>
      <c r="D52" s="33" t="s">
        <v>68</v>
      </c>
      <c r="E52" s="33" t="s">
        <v>331</v>
      </c>
      <c r="F52" s="33" t="s">
        <v>332</v>
      </c>
      <c r="G52" s="36">
        <v>0</v>
      </c>
      <c r="H52" s="34" t="str">
        <f t="shared" si="0"/>
        <v/>
      </c>
      <c r="I52" s="34" t="str">
        <f t="shared" si="1"/>
        <v/>
      </c>
      <c r="J52" s="34">
        <v>1</v>
      </c>
      <c r="K52" s="37">
        <v>0</v>
      </c>
    </row>
    <row r="53" spans="2:11" s="34" customFormat="1" ht="14.25" customHeight="1">
      <c r="B53" s="32">
        <v>24</v>
      </c>
      <c r="C53" s="33" t="s">
        <v>173</v>
      </c>
      <c r="D53" s="33" t="s">
        <v>78</v>
      </c>
      <c r="E53" s="33" t="s">
        <v>355</v>
      </c>
      <c r="F53" s="33" t="s">
        <v>356</v>
      </c>
      <c r="G53" s="36">
        <v>0</v>
      </c>
      <c r="H53" s="34" t="str">
        <f t="shared" si="0"/>
        <v/>
      </c>
      <c r="I53" s="34" t="str">
        <f t="shared" si="1"/>
        <v/>
      </c>
      <c r="J53" s="34">
        <v>1</v>
      </c>
      <c r="K53" s="37">
        <v>0</v>
      </c>
    </row>
    <row r="54" spans="2:11" s="34" customFormat="1" ht="14.25" customHeight="1">
      <c r="B54" s="32">
        <v>25</v>
      </c>
      <c r="C54" s="33" t="s">
        <v>339</v>
      </c>
      <c r="D54" s="33" t="s">
        <v>89</v>
      </c>
      <c r="E54" s="33" t="s">
        <v>386</v>
      </c>
      <c r="F54" s="33" t="s">
        <v>189</v>
      </c>
      <c r="G54" s="36">
        <v>0</v>
      </c>
      <c r="H54" s="34" t="str">
        <f t="shared" si="0"/>
        <v/>
      </c>
      <c r="I54" s="34" t="str">
        <f t="shared" si="1"/>
        <v/>
      </c>
      <c r="J54" s="34">
        <v>1</v>
      </c>
      <c r="K54" s="37">
        <v>0</v>
      </c>
    </row>
    <row r="55" spans="2:11" s="34" customFormat="1" ht="14.25" customHeight="1">
      <c r="B55" s="32">
        <v>26</v>
      </c>
      <c r="C55" s="33" t="s">
        <v>187</v>
      </c>
      <c r="D55" s="33" t="s">
        <v>35</v>
      </c>
      <c r="E55" s="33" t="s">
        <v>253</v>
      </c>
      <c r="F55" s="33" t="s">
        <v>254</v>
      </c>
      <c r="G55" s="36">
        <v>0</v>
      </c>
      <c r="H55" s="34" t="str">
        <f t="shared" si="0"/>
        <v/>
      </c>
      <c r="I55" s="34" t="str">
        <f t="shared" si="1"/>
        <v/>
      </c>
      <c r="J55" s="34">
        <v>1</v>
      </c>
      <c r="K55" s="37">
        <v>0</v>
      </c>
    </row>
    <row r="56" spans="2:11" s="34" customFormat="1" ht="14.25" customHeight="1">
      <c r="B56" s="32">
        <v>165</v>
      </c>
      <c r="C56" s="33" t="s">
        <v>182</v>
      </c>
      <c r="D56" s="33" t="s">
        <v>60</v>
      </c>
      <c r="E56" s="33" t="s">
        <v>676</v>
      </c>
      <c r="F56" s="33" t="s">
        <v>313</v>
      </c>
      <c r="G56" s="36">
        <v>0</v>
      </c>
      <c r="H56" s="34" t="str">
        <f t="shared" si="0"/>
        <v/>
      </c>
      <c r="I56" s="34" t="str">
        <f t="shared" si="1"/>
        <v/>
      </c>
      <c r="J56" s="34">
        <v>1</v>
      </c>
      <c r="K56" s="37">
        <v>0</v>
      </c>
    </row>
    <row r="57" spans="2:11" s="34" customFormat="1" ht="14.25" customHeight="1">
      <c r="B57" s="32">
        <v>27</v>
      </c>
      <c r="C57" s="33" t="s">
        <v>182</v>
      </c>
      <c r="D57" s="33" t="s">
        <v>2</v>
      </c>
      <c r="E57" s="33" t="s">
        <v>183</v>
      </c>
      <c r="F57" s="33" t="s">
        <v>184</v>
      </c>
      <c r="G57" s="36">
        <v>0</v>
      </c>
      <c r="H57" s="34" t="str">
        <f t="shared" si="0"/>
        <v/>
      </c>
      <c r="I57" s="34" t="str">
        <f t="shared" si="1"/>
        <v/>
      </c>
      <c r="J57" s="34">
        <v>1</v>
      </c>
      <c r="K57" s="37">
        <v>0</v>
      </c>
    </row>
    <row r="58" spans="2:11" s="34" customFormat="1" ht="14.25" customHeight="1">
      <c r="B58" s="32">
        <v>166</v>
      </c>
      <c r="C58" s="33" t="s">
        <v>182</v>
      </c>
      <c r="D58" s="33" t="s">
        <v>2</v>
      </c>
      <c r="E58" s="33" t="s">
        <v>185</v>
      </c>
      <c r="F58" s="33" t="s">
        <v>186</v>
      </c>
      <c r="G58" s="36">
        <v>0</v>
      </c>
      <c r="H58" s="34" t="str">
        <f t="shared" si="0"/>
        <v/>
      </c>
      <c r="I58" s="34" t="str">
        <f t="shared" si="1"/>
        <v/>
      </c>
      <c r="J58" s="34">
        <v>1</v>
      </c>
      <c r="K58" s="37">
        <v>0</v>
      </c>
    </row>
    <row r="59" spans="2:11" s="34" customFormat="1" ht="14.25" customHeight="1">
      <c r="B59" s="32">
        <v>28</v>
      </c>
      <c r="C59" s="33" t="s">
        <v>187</v>
      </c>
      <c r="D59" s="33" t="s">
        <v>13</v>
      </c>
      <c r="E59" s="33" t="s">
        <v>192</v>
      </c>
      <c r="F59" s="33" t="s">
        <v>193</v>
      </c>
      <c r="G59" s="36">
        <v>0</v>
      </c>
      <c r="H59" s="34" t="str">
        <f t="shared" si="0"/>
        <v/>
      </c>
      <c r="I59" s="34" t="str">
        <f t="shared" si="1"/>
        <v/>
      </c>
      <c r="J59" s="34">
        <v>1</v>
      </c>
      <c r="K59" s="37">
        <v>0</v>
      </c>
    </row>
    <row r="60" spans="2:11" s="34" customFormat="1" ht="14.25" customHeight="1">
      <c r="B60" s="32">
        <v>29</v>
      </c>
      <c r="C60" s="33" t="s">
        <v>182</v>
      </c>
      <c r="D60" s="33" t="s">
        <v>32</v>
      </c>
      <c r="E60" s="33" t="s">
        <v>227</v>
      </c>
      <c r="F60" s="33" t="s">
        <v>228</v>
      </c>
      <c r="G60" s="36">
        <v>0</v>
      </c>
      <c r="H60" s="34" t="str">
        <f t="shared" si="0"/>
        <v/>
      </c>
      <c r="I60" s="34" t="str">
        <f t="shared" si="1"/>
        <v/>
      </c>
      <c r="J60" s="34">
        <v>1</v>
      </c>
      <c r="K60" s="37">
        <v>0</v>
      </c>
    </row>
    <row r="61" spans="2:11" s="34" customFormat="1" ht="14.25" customHeight="1">
      <c r="B61" s="32">
        <v>30</v>
      </c>
      <c r="C61" s="33" t="s">
        <v>187</v>
      </c>
      <c r="D61" s="33" t="s">
        <v>39</v>
      </c>
      <c r="E61" s="33" t="s">
        <v>268</v>
      </c>
      <c r="F61" s="33" t="s">
        <v>269</v>
      </c>
      <c r="G61" s="36">
        <v>0</v>
      </c>
      <c r="H61" s="34" t="str">
        <f t="shared" si="0"/>
        <v/>
      </c>
      <c r="I61" s="34" t="str">
        <f t="shared" si="1"/>
        <v/>
      </c>
      <c r="J61" s="34">
        <v>1</v>
      </c>
      <c r="K61" s="37">
        <v>0</v>
      </c>
    </row>
    <row r="62" spans="2:11" s="34" customFormat="1" ht="14.25" customHeight="1">
      <c r="B62" s="32">
        <v>31</v>
      </c>
      <c r="C62" s="33" t="s">
        <v>219</v>
      </c>
      <c r="D62" s="33" t="s">
        <v>42</v>
      </c>
      <c r="E62" s="33" t="s">
        <v>285</v>
      </c>
      <c r="F62" s="33" t="s">
        <v>286</v>
      </c>
      <c r="G62" s="36">
        <v>0</v>
      </c>
      <c r="H62" s="34" t="str">
        <f t="shared" si="0"/>
        <v/>
      </c>
      <c r="I62" s="34" t="str">
        <f t="shared" si="1"/>
        <v/>
      </c>
      <c r="J62" s="34">
        <v>1</v>
      </c>
      <c r="K62" s="37">
        <v>0</v>
      </c>
    </row>
    <row r="63" spans="2:11" s="34" customFormat="1" ht="14.25" customHeight="1">
      <c r="B63" s="32">
        <v>32</v>
      </c>
      <c r="C63" s="33" t="s">
        <v>219</v>
      </c>
      <c r="D63" s="33" t="s">
        <v>42</v>
      </c>
      <c r="E63" s="33" t="s">
        <v>285</v>
      </c>
      <c r="F63" s="33" t="s">
        <v>289</v>
      </c>
      <c r="G63" s="36">
        <v>0</v>
      </c>
      <c r="H63" s="34" t="str">
        <f t="shared" si="0"/>
        <v/>
      </c>
      <c r="I63" s="34" t="str">
        <f t="shared" si="1"/>
        <v/>
      </c>
      <c r="J63" s="34">
        <v>1</v>
      </c>
      <c r="K63" s="37">
        <v>0</v>
      </c>
    </row>
    <row r="64" spans="2:11" s="34" customFormat="1" ht="14.25" customHeight="1">
      <c r="B64" s="32">
        <v>33</v>
      </c>
      <c r="C64" s="33" t="s">
        <v>182</v>
      </c>
      <c r="D64" s="33" t="s">
        <v>68</v>
      </c>
      <c r="E64" s="33" t="s">
        <v>185</v>
      </c>
      <c r="F64" s="33" t="s">
        <v>334</v>
      </c>
      <c r="G64" s="36">
        <v>0</v>
      </c>
      <c r="H64" s="34" t="str">
        <f t="shared" si="0"/>
        <v/>
      </c>
      <c r="I64" s="34" t="str">
        <f t="shared" si="1"/>
        <v/>
      </c>
      <c r="J64" s="34">
        <v>1</v>
      </c>
      <c r="K64" s="37">
        <v>0</v>
      </c>
    </row>
    <row r="65" spans="2:11" s="34" customFormat="1" ht="14.25" customHeight="1">
      <c r="B65" s="32">
        <v>34</v>
      </c>
      <c r="C65" s="33" t="s">
        <v>182</v>
      </c>
      <c r="D65" s="33" t="s">
        <v>68</v>
      </c>
      <c r="E65" s="33" t="s">
        <v>185</v>
      </c>
      <c r="F65" s="33" t="s">
        <v>333</v>
      </c>
      <c r="G65" s="36">
        <v>0</v>
      </c>
      <c r="H65" s="34" t="str">
        <f t="shared" si="0"/>
        <v/>
      </c>
      <c r="I65" s="34" t="str">
        <f t="shared" si="1"/>
        <v/>
      </c>
      <c r="J65" s="34">
        <v>1</v>
      </c>
      <c r="K65" s="37">
        <v>0</v>
      </c>
    </row>
    <row r="66" spans="2:11" s="34" customFormat="1" ht="14.25" customHeight="1">
      <c r="B66" s="32">
        <v>35</v>
      </c>
      <c r="C66" s="33" t="s">
        <v>182</v>
      </c>
      <c r="D66" s="33" t="s">
        <v>68</v>
      </c>
      <c r="E66" s="33" t="s">
        <v>335</v>
      </c>
      <c r="F66" s="33" t="s">
        <v>336</v>
      </c>
      <c r="G66" s="36">
        <v>0</v>
      </c>
      <c r="H66" s="34" t="str">
        <f t="shared" si="0"/>
        <v/>
      </c>
      <c r="I66" s="34" t="str">
        <f t="shared" si="1"/>
        <v/>
      </c>
      <c r="J66" s="34">
        <v>1</v>
      </c>
      <c r="K66" s="37">
        <v>0</v>
      </c>
    </row>
    <row r="67" spans="2:11" s="34" customFormat="1" ht="14.25" customHeight="1">
      <c r="B67" s="32">
        <v>36</v>
      </c>
      <c r="C67" s="33" t="s">
        <v>178</v>
      </c>
      <c r="D67" s="33" t="s">
        <v>72</v>
      </c>
      <c r="E67" s="33" t="s">
        <v>337</v>
      </c>
      <c r="F67" s="33" t="s">
        <v>338</v>
      </c>
      <c r="G67" s="36">
        <v>0</v>
      </c>
      <c r="H67" s="34" t="str">
        <f t="shared" si="0"/>
        <v/>
      </c>
      <c r="I67" s="34" t="str">
        <f t="shared" si="1"/>
        <v/>
      </c>
      <c r="J67" s="34">
        <v>1</v>
      </c>
      <c r="K67" s="37">
        <v>0</v>
      </c>
    </row>
    <row r="68" spans="2:11" s="34" customFormat="1" ht="14.25" customHeight="1">
      <c r="B68" s="32">
        <v>37</v>
      </c>
      <c r="C68" s="33" t="s">
        <v>339</v>
      </c>
      <c r="D68" s="33" t="s">
        <v>85</v>
      </c>
      <c r="E68" s="33" t="s">
        <v>370</v>
      </c>
      <c r="F68" s="33" t="s">
        <v>372</v>
      </c>
      <c r="G68" s="36">
        <v>0</v>
      </c>
      <c r="H68" s="34" t="str">
        <f t="shared" si="0"/>
        <v/>
      </c>
      <c r="I68" s="34" t="str">
        <f t="shared" si="1"/>
        <v/>
      </c>
      <c r="J68" s="34">
        <v>1</v>
      </c>
      <c r="K68" s="37">
        <v>0</v>
      </c>
    </row>
    <row r="69" spans="2:11" s="34" customFormat="1" ht="14.25" customHeight="1">
      <c r="B69" s="32">
        <v>167</v>
      </c>
      <c r="C69" s="33" t="s">
        <v>178</v>
      </c>
      <c r="D69" s="33" t="s">
        <v>88</v>
      </c>
      <c r="E69" s="33" t="s">
        <v>380</v>
      </c>
      <c r="F69" s="33" t="s">
        <v>381</v>
      </c>
      <c r="G69" s="36">
        <v>0</v>
      </c>
      <c r="H69" s="34" t="str">
        <f t="shared" si="0"/>
        <v/>
      </c>
      <c r="I69" s="34" t="str">
        <f t="shared" si="1"/>
        <v/>
      </c>
      <c r="J69" s="34">
        <v>1</v>
      </c>
      <c r="K69" s="37">
        <v>0</v>
      </c>
    </row>
    <row r="70" spans="2:11" s="34" customFormat="1" ht="14.25" customHeight="1">
      <c r="B70" s="32">
        <v>168</v>
      </c>
      <c r="C70" s="33" t="s">
        <v>178</v>
      </c>
      <c r="D70" s="33" t="s">
        <v>88</v>
      </c>
      <c r="E70" s="33" t="s">
        <v>382</v>
      </c>
      <c r="F70" s="33" t="s">
        <v>383</v>
      </c>
      <c r="G70" s="36">
        <v>0</v>
      </c>
      <c r="H70" s="34" t="str">
        <f t="shared" si="0"/>
        <v/>
      </c>
      <c r="I70" s="34" t="str">
        <f t="shared" si="1"/>
        <v/>
      </c>
      <c r="J70" s="34">
        <v>1</v>
      </c>
      <c r="K70" s="37">
        <v>0</v>
      </c>
    </row>
    <row r="71" spans="2:11" s="34" customFormat="1" ht="14.25" customHeight="1">
      <c r="B71" s="32">
        <v>169</v>
      </c>
      <c r="C71" s="33" t="s">
        <v>178</v>
      </c>
      <c r="D71" s="33" t="s">
        <v>27</v>
      </c>
      <c r="E71" s="33" t="s">
        <v>213</v>
      </c>
      <c r="F71" s="33" t="s">
        <v>214</v>
      </c>
      <c r="G71" s="36">
        <v>0</v>
      </c>
      <c r="H71" s="34" t="str">
        <f t="shared" si="0"/>
        <v/>
      </c>
      <c r="I71" s="34" t="str">
        <f t="shared" si="1"/>
        <v/>
      </c>
      <c r="J71" s="34">
        <v>1</v>
      </c>
      <c r="K71" s="37">
        <v>0</v>
      </c>
    </row>
    <row r="72" spans="2:11" s="34" customFormat="1" ht="14.25" customHeight="1">
      <c r="B72" s="32">
        <v>170</v>
      </c>
      <c r="C72" s="33" t="s">
        <v>187</v>
      </c>
      <c r="D72" s="33" t="s">
        <v>37</v>
      </c>
      <c r="E72" s="33" t="s">
        <v>260</v>
      </c>
      <c r="F72" s="33" t="s">
        <v>261</v>
      </c>
      <c r="G72" s="36">
        <v>0</v>
      </c>
      <c r="H72" s="34" t="str">
        <f t="shared" ref="H72:H135" si="2">IF(G72=1,1,"")</f>
        <v/>
      </c>
      <c r="I72" s="34" t="str">
        <f t="shared" si="1"/>
        <v/>
      </c>
      <c r="J72" s="34">
        <v>1</v>
      </c>
      <c r="K72" s="37">
        <v>0</v>
      </c>
    </row>
    <row r="73" spans="2:11" s="34" customFormat="1" ht="14.25" customHeight="1">
      <c r="B73" s="32">
        <v>171</v>
      </c>
      <c r="C73" s="33" t="s">
        <v>205</v>
      </c>
      <c r="D73" s="33" t="s">
        <v>43</v>
      </c>
      <c r="E73" s="33" t="s">
        <v>292</v>
      </c>
      <c r="F73" s="33" t="s">
        <v>186</v>
      </c>
      <c r="G73" s="36">
        <v>0</v>
      </c>
      <c r="H73" s="34" t="str">
        <f t="shared" si="2"/>
        <v/>
      </c>
      <c r="I73" s="34" t="str">
        <f t="shared" si="1"/>
        <v/>
      </c>
      <c r="J73" s="34">
        <v>1</v>
      </c>
      <c r="K73" s="37">
        <v>0</v>
      </c>
    </row>
    <row r="74" spans="2:11" s="34" customFormat="1" ht="14.25" customHeight="1">
      <c r="B74" s="32">
        <v>253</v>
      </c>
      <c r="C74" s="33" t="s">
        <v>339</v>
      </c>
      <c r="D74" s="33" t="s">
        <v>73</v>
      </c>
      <c r="E74" s="33" t="s">
        <v>340</v>
      </c>
      <c r="F74" s="33" t="s">
        <v>341</v>
      </c>
      <c r="G74" s="36">
        <v>0</v>
      </c>
      <c r="H74" s="34" t="str">
        <f t="shared" si="2"/>
        <v/>
      </c>
      <c r="I74" s="34" t="str">
        <f t="shared" si="1"/>
        <v/>
      </c>
      <c r="J74" s="34">
        <v>1</v>
      </c>
      <c r="K74" s="37">
        <v>0</v>
      </c>
    </row>
    <row r="75" spans="2:11" s="34" customFormat="1" ht="14.25" customHeight="1">
      <c r="B75" s="32">
        <v>38</v>
      </c>
      <c r="C75" s="33" t="s">
        <v>173</v>
      </c>
      <c r="D75" s="33" t="s">
        <v>78</v>
      </c>
      <c r="E75" s="33" t="s">
        <v>492</v>
      </c>
      <c r="F75" s="33" t="s">
        <v>493</v>
      </c>
      <c r="G75" s="36">
        <v>0</v>
      </c>
      <c r="H75" s="34" t="str">
        <f t="shared" si="2"/>
        <v/>
      </c>
      <c r="I75" s="34" t="str">
        <f t="shared" ref="I75:I138" si="3">IF(G75=2,2,"")</f>
        <v/>
      </c>
      <c r="J75" s="34">
        <v>1</v>
      </c>
      <c r="K75" s="37">
        <v>0</v>
      </c>
    </row>
    <row r="76" spans="2:11" s="34" customFormat="1" ht="14.25" customHeight="1">
      <c r="B76" s="32">
        <v>39</v>
      </c>
      <c r="C76" s="33" t="s">
        <v>339</v>
      </c>
      <c r="D76" s="33" t="s">
        <v>85</v>
      </c>
      <c r="E76" s="33" t="s">
        <v>370</v>
      </c>
      <c r="F76" s="33" t="s">
        <v>371</v>
      </c>
      <c r="G76" s="36">
        <v>0</v>
      </c>
      <c r="H76" s="34" t="str">
        <f t="shared" si="2"/>
        <v/>
      </c>
      <c r="I76" s="34" t="str">
        <f t="shared" si="3"/>
        <v/>
      </c>
      <c r="J76" s="34">
        <v>1</v>
      </c>
      <c r="K76" s="37">
        <v>0</v>
      </c>
    </row>
    <row r="77" spans="2:11" s="34" customFormat="1" ht="14.25" customHeight="1">
      <c r="B77" s="32">
        <v>40</v>
      </c>
      <c r="C77" s="33" t="s">
        <v>182</v>
      </c>
      <c r="D77" s="33" t="s">
        <v>32</v>
      </c>
      <c r="E77" s="33" t="s">
        <v>185</v>
      </c>
      <c r="F77" s="33" t="s">
        <v>233</v>
      </c>
      <c r="G77" s="36">
        <v>0</v>
      </c>
      <c r="H77" s="34" t="str">
        <f t="shared" si="2"/>
        <v/>
      </c>
      <c r="I77" s="34" t="str">
        <f t="shared" si="3"/>
        <v/>
      </c>
      <c r="J77" s="34">
        <v>1</v>
      </c>
      <c r="K77" s="37">
        <v>0</v>
      </c>
    </row>
    <row r="78" spans="2:11" s="34" customFormat="1" ht="14.25" customHeight="1">
      <c r="B78" s="32">
        <v>41</v>
      </c>
      <c r="C78" s="33" t="s">
        <v>187</v>
      </c>
      <c r="D78" s="33" t="s">
        <v>16</v>
      </c>
      <c r="E78" s="33" t="s">
        <v>196</v>
      </c>
      <c r="F78" s="33" t="s">
        <v>203</v>
      </c>
      <c r="G78" s="36">
        <v>0</v>
      </c>
      <c r="H78" s="34" t="str">
        <f t="shared" si="2"/>
        <v/>
      </c>
      <c r="I78" s="34" t="str">
        <f t="shared" si="3"/>
        <v/>
      </c>
      <c r="J78" s="34">
        <v>1</v>
      </c>
      <c r="K78" s="37">
        <v>0</v>
      </c>
    </row>
    <row r="79" spans="2:11" s="34" customFormat="1" ht="14.25" customHeight="1">
      <c r="B79" s="32">
        <v>42</v>
      </c>
      <c r="C79" s="33" t="s">
        <v>187</v>
      </c>
      <c r="D79" s="33" t="s">
        <v>39</v>
      </c>
      <c r="E79" s="33" t="s">
        <v>264</v>
      </c>
      <c r="F79" s="33" t="s">
        <v>265</v>
      </c>
      <c r="G79" s="36">
        <v>0</v>
      </c>
      <c r="H79" s="34" t="str">
        <f t="shared" si="2"/>
        <v/>
      </c>
      <c r="I79" s="34" t="str">
        <f t="shared" si="3"/>
        <v/>
      </c>
      <c r="J79" s="34">
        <v>1</v>
      </c>
      <c r="K79" s="37">
        <v>0</v>
      </c>
    </row>
    <row r="80" spans="2:11" s="34" customFormat="1" ht="14.25" customHeight="1">
      <c r="B80" s="32">
        <v>43</v>
      </c>
      <c r="C80" s="33" t="s">
        <v>187</v>
      </c>
      <c r="D80" s="33" t="s">
        <v>13</v>
      </c>
      <c r="E80" s="33" t="s">
        <v>194</v>
      </c>
      <c r="F80" s="33" t="s">
        <v>195</v>
      </c>
      <c r="G80" s="36">
        <v>0</v>
      </c>
      <c r="H80" s="34" t="str">
        <f t="shared" si="2"/>
        <v/>
      </c>
      <c r="I80" s="34" t="str">
        <f t="shared" si="3"/>
        <v/>
      </c>
      <c r="J80" s="34">
        <v>1</v>
      </c>
      <c r="K80" s="37">
        <v>0</v>
      </c>
    </row>
    <row r="81" spans="2:11" s="34" customFormat="1" ht="14.25" customHeight="1">
      <c r="B81" s="32">
        <v>44</v>
      </c>
      <c r="C81" s="33" t="s">
        <v>215</v>
      </c>
      <c r="D81" s="33" t="s">
        <v>28</v>
      </c>
      <c r="E81" s="33" t="s">
        <v>216</v>
      </c>
      <c r="F81" s="33" t="s">
        <v>186</v>
      </c>
      <c r="G81" s="36">
        <v>0</v>
      </c>
      <c r="H81" s="34" t="str">
        <f t="shared" si="2"/>
        <v/>
      </c>
      <c r="I81" s="34" t="str">
        <f t="shared" si="3"/>
        <v/>
      </c>
      <c r="J81" s="34">
        <v>1</v>
      </c>
      <c r="K81" s="37">
        <v>0</v>
      </c>
    </row>
    <row r="82" spans="2:11" s="34" customFormat="1" ht="14.25" customHeight="1">
      <c r="B82" s="32">
        <v>45</v>
      </c>
      <c r="C82" s="33" t="s">
        <v>187</v>
      </c>
      <c r="D82" s="33" t="s">
        <v>31</v>
      </c>
      <c r="E82" s="33" t="s">
        <v>222</v>
      </c>
      <c r="F82" s="33" t="s">
        <v>184</v>
      </c>
      <c r="G82" s="36">
        <v>0</v>
      </c>
      <c r="H82" s="34" t="str">
        <f t="shared" si="2"/>
        <v/>
      </c>
      <c r="I82" s="34" t="str">
        <f t="shared" si="3"/>
        <v/>
      </c>
      <c r="J82" s="34">
        <v>1</v>
      </c>
      <c r="K82" s="37">
        <v>0</v>
      </c>
    </row>
    <row r="83" spans="2:11" s="34" customFormat="1" ht="14.25" customHeight="1">
      <c r="B83" s="32">
        <v>46</v>
      </c>
      <c r="C83" s="33" t="s">
        <v>219</v>
      </c>
      <c r="D83" s="33" t="s">
        <v>3</v>
      </c>
      <c r="E83" s="33" t="s">
        <v>303</v>
      </c>
      <c r="F83" s="33" t="s">
        <v>304</v>
      </c>
      <c r="G83" s="36">
        <v>0</v>
      </c>
      <c r="H83" s="34" t="str">
        <f t="shared" si="2"/>
        <v/>
      </c>
      <c r="I83" s="34" t="str">
        <f t="shared" si="3"/>
        <v/>
      </c>
      <c r="J83" s="34">
        <v>1</v>
      </c>
      <c r="K83" s="37">
        <v>0</v>
      </c>
    </row>
    <row r="84" spans="2:11" s="34" customFormat="1" ht="14.25" customHeight="1">
      <c r="B84" s="32">
        <v>47</v>
      </c>
      <c r="C84" s="33" t="s">
        <v>173</v>
      </c>
      <c r="D84" s="33" t="s">
        <v>78</v>
      </c>
      <c r="E84" s="33" t="s">
        <v>496</v>
      </c>
      <c r="F84" s="33" t="s">
        <v>497</v>
      </c>
      <c r="G84" s="36">
        <v>0</v>
      </c>
      <c r="H84" s="34" t="str">
        <f t="shared" si="2"/>
        <v/>
      </c>
      <c r="I84" s="34" t="str">
        <f t="shared" si="3"/>
        <v/>
      </c>
      <c r="J84" s="34">
        <v>1</v>
      </c>
      <c r="K84" s="37">
        <v>0</v>
      </c>
    </row>
    <row r="85" spans="2:11" s="34" customFormat="1" ht="14.25" customHeight="1">
      <c r="B85" s="32">
        <v>48</v>
      </c>
      <c r="C85" s="33" t="s">
        <v>173</v>
      </c>
      <c r="D85" s="33" t="s">
        <v>78</v>
      </c>
      <c r="E85" s="33" t="s">
        <v>494</v>
      </c>
      <c r="F85" s="33" t="s">
        <v>495</v>
      </c>
      <c r="G85" s="36">
        <v>0</v>
      </c>
      <c r="H85" s="34" t="str">
        <f t="shared" si="2"/>
        <v/>
      </c>
      <c r="I85" s="34" t="str">
        <f t="shared" si="3"/>
        <v/>
      </c>
      <c r="J85" s="34">
        <v>1</v>
      </c>
      <c r="K85" s="37">
        <v>0</v>
      </c>
    </row>
    <row r="86" spans="2:11" s="34" customFormat="1" ht="14.25" customHeight="1">
      <c r="B86" s="32">
        <v>49</v>
      </c>
      <c r="C86" s="33" t="s">
        <v>187</v>
      </c>
      <c r="D86" s="33" t="s">
        <v>79</v>
      </c>
      <c r="E86" s="33" t="s">
        <v>264</v>
      </c>
      <c r="F86" s="33" t="s">
        <v>358</v>
      </c>
      <c r="G86" s="36">
        <v>0</v>
      </c>
      <c r="H86" s="34" t="str">
        <f t="shared" si="2"/>
        <v/>
      </c>
      <c r="I86" s="34" t="str">
        <f t="shared" si="3"/>
        <v/>
      </c>
      <c r="J86" s="34">
        <v>1</v>
      </c>
      <c r="K86" s="37">
        <v>0</v>
      </c>
    </row>
    <row r="87" spans="2:11" s="34" customFormat="1" ht="14.25" customHeight="1">
      <c r="B87" s="32">
        <v>172</v>
      </c>
      <c r="C87" s="33" t="s">
        <v>339</v>
      </c>
      <c r="D87" s="33" t="s">
        <v>84</v>
      </c>
      <c r="E87" s="33" t="s">
        <v>369</v>
      </c>
      <c r="F87" s="33" t="s">
        <v>300</v>
      </c>
      <c r="G87" s="36">
        <v>0</v>
      </c>
      <c r="H87" s="34" t="str">
        <f t="shared" si="2"/>
        <v/>
      </c>
      <c r="I87" s="34" t="str">
        <f t="shared" si="3"/>
        <v/>
      </c>
      <c r="J87" s="34">
        <v>1</v>
      </c>
      <c r="K87" s="37">
        <v>0</v>
      </c>
    </row>
    <row r="88" spans="2:11" s="34" customFormat="1" ht="14.25" customHeight="1">
      <c r="B88" s="32">
        <v>173</v>
      </c>
      <c r="C88" s="33" t="s">
        <v>205</v>
      </c>
      <c r="D88" s="33" t="s">
        <v>36</v>
      </c>
      <c r="E88" s="33" t="s">
        <v>255</v>
      </c>
      <c r="F88" s="33" t="s">
        <v>189</v>
      </c>
      <c r="G88" s="36">
        <v>0</v>
      </c>
      <c r="H88" s="34" t="str">
        <f t="shared" si="2"/>
        <v/>
      </c>
      <c r="I88" s="34" t="str">
        <f t="shared" si="3"/>
        <v/>
      </c>
      <c r="J88" s="34">
        <v>1</v>
      </c>
      <c r="K88" s="37">
        <v>0</v>
      </c>
    </row>
    <row r="89" spans="2:11" s="34" customFormat="1" ht="14.25" customHeight="1">
      <c r="B89" s="32">
        <v>247</v>
      </c>
      <c r="C89" s="33" t="s">
        <v>187</v>
      </c>
      <c r="D89" s="33" t="s">
        <v>39</v>
      </c>
      <c r="E89" s="33" t="s">
        <v>274</v>
      </c>
      <c r="F89" s="33" t="s">
        <v>275</v>
      </c>
      <c r="G89" s="36">
        <v>0</v>
      </c>
      <c r="H89" s="34" t="str">
        <f t="shared" si="2"/>
        <v/>
      </c>
      <c r="I89" s="34" t="str">
        <f t="shared" si="3"/>
        <v/>
      </c>
      <c r="J89" s="34">
        <v>1</v>
      </c>
      <c r="K89" s="37">
        <v>0</v>
      </c>
    </row>
    <row r="90" spans="2:11" s="34" customFormat="1" ht="14.25" customHeight="1">
      <c r="B90" s="32">
        <v>50</v>
      </c>
      <c r="C90" s="33" t="s">
        <v>187</v>
      </c>
      <c r="D90" s="33" t="s">
        <v>39</v>
      </c>
      <c r="E90" s="33" t="s">
        <v>194</v>
      </c>
      <c r="F90" s="33" t="s">
        <v>276</v>
      </c>
      <c r="G90" s="36">
        <v>0</v>
      </c>
      <c r="H90" s="34" t="str">
        <f t="shared" si="2"/>
        <v/>
      </c>
      <c r="I90" s="34" t="str">
        <f t="shared" si="3"/>
        <v/>
      </c>
      <c r="J90" s="34">
        <v>1</v>
      </c>
      <c r="K90" s="37">
        <v>0</v>
      </c>
    </row>
    <row r="91" spans="2:11" s="34" customFormat="1" ht="14.25" customHeight="1">
      <c r="B91" s="32">
        <v>51</v>
      </c>
      <c r="C91" s="33" t="s">
        <v>178</v>
      </c>
      <c r="D91" s="33" t="s">
        <v>63</v>
      </c>
      <c r="E91" s="33" t="s">
        <v>319</v>
      </c>
      <c r="F91" s="33" t="s">
        <v>320</v>
      </c>
      <c r="G91" s="36">
        <v>0</v>
      </c>
      <c r="H91" s="34" t="str">
        <f t="shared" si="2"/>
        <v/>
      </c>
      <c r="I91" s="34" t="str">
        <f t="shared" si="3"/>
        <v/>
      </c>
      <c r="J91" s="34">
        <v>1</v>
      </c>
      <c r="K91" s="37">
        <v>0</v>
      </c>
    </row>
    <row r="92" spans="2:11" s="34" customFormat="1" ht="14.25" customHeight="1">
      <c r="B92" s="32">
        <v>52</v>
      </c>
      <c r="C92" s="33" t="s">
        <v>219</v>
      </c>
      <c r="D92" s="33" t="s">
        <v>70</v>
      </c>
      <c r="E92" s="33" t="s">
        <v>488</v>
      </c>
      <c r="F92" s="33" t="s">
        <v>189</v>
      </c>
      <c r="G92" s="36">
        <v>0</v>
      </c>
      <c r="H92" s="34" t="str">
        <f t="shared" si="2"/>
        <v/>
      </c>
      <c r="I92" s="34" t="str">
        <f t="shared" si="3"/>
        <v/>
      </c>
      <c r="J92" s="34">
        <v>1</v>
      </c>
      <c r="K92" s="37">
        <v>0</v>
      </c>
    </row>
    <row r="93" spans="2:11" s="34" customFormat="1" ht="14.25" customHeight="1">
      <c r="B93" s="32">
        <v>53</v>
      </c>
      <c r="C93" s="33" t="s">
        <v>173</v>
      </c>
      <c r="D93" s="33" t="s">
        <v>78</v>
      </c>
      <c r="E93" s="33" t="s">
        <v>353</v>
      </c>
      <c r="F93" s="33" t="s">
        <v>354</v>
      </c>
      <c r="G93" s="36">
        <v>0</v>
      </c>
      <c r="H93" s="34" t="str">
        <f t="shared" si="2"/>
        <v/>
      </c>
      <c r="I93" s="34" t="str">
        <f t="shared" si="3"/>
        <v/>
      </c>
      <c r="J93" s="34">
        <v>1</v>
      </c>
      <c r="K93" s="37">
        <v>0</v>
      </c>
    </row>
    <row r="94" spans="2:11" s="34" customFormat="1" ht="14.25" customHeight="1">
      <c r="B94" s="32">
        <v>54</v>
      </c>
      <c r="C94" s="33" t="s">
        <v>173</v>
      </c>
      <c r="D94" s="33" t="s">
        <v>78</v>
      </c>
      <c r="E94" s="33" t="s">
        <v>353</v>
      </c>
      <c r="F94" s="33" t="s">
        <v>328</v>
      </c>
      <c r="G94" s="36">
        <v>0</v>
      </c>
      <c r="H94" s="34" t="str">
        <f t="shared" si="2"/>
        <v/>
      </c>
      <c r="I94" s="34" t="str">
        <f t="shared" si="3"/>
        <v/>
      </c>
      <c r="J94" s="34">
        <v>1</v>
      </c>
      <c r="K94" s="37">
        <v>0</v>
      </c>
    </row>
    <row r="95" spans="2:11" s="34" customFormat="1" ht="14.25" customHeight="1">
      <c r="B95" s="32">
        <v>55</v>
      </c>
      <c r="C95" s="33" t="s">
        <v>219</v>
      </c>
      <c r="D95" s="33" t="s">
        <v>82</v>
      </c>
      <c r="E95" s="33" t="s">
        <v>361</v>
      </c>
      <c r="F95" s="33" t="s">
        <v>224</v>
      </c>
      <c r="G95" s="36">
        <v>0</v>
      </c>
      <c r="H95" s="34" t="str">
        <f t="shared" si="2"/>
        <v/>
      </c>
      <c r="I95" s="34" t="str">
        <f t="shared" si="3"/>
        <v/>
      </c>
      <c r="J95" s="34">
        <v>1</v>
      </c>
      <c r="K95" s="37">
        <v>0</v>
      </c>
    </row>
    <row r="96" spans="2:11" s="34" customFormat="1" ht="14.25" customHeight="1">
      <c r="B96" s="32">
        <v>56</v>
      </c>
      <c r="C96" s="33" t="s">
        <v>173</v>
      </c>
      <c r="D96" s="33" t="s">
        <v>1</v>
      </c>
      <c r="E96" s="33" t="s">
        <v>174</v>
      </c>
      <c r="F96" s="33" t="s">
        <v>175</v>
      </c>
      <c r="G96" s="36">
        <v>0</v>
      </c>
      <c r="H96" s="34" t="str">
        <f t="shared" si="2"/>
        <v/>
      </c>
      <c r="I96" s="34" t="str">
        <f t="shared" si="3"/>
        <v/>
      </c>
      <c r="J96" s="34">
        <v>1</v>
      </c>
      <c r="K96" s="37">
        <v>0</v>
      </c>
    </row>
    <row r="97" spans="2:11" s="34" customFormat="1" ht="14.25" customHeight="1">
      <c r="B97" s="32">
        <v>174</v>
      </c>
      <c r="C97" s="33" t="s">
        <v>173</v>
      </c>
      <c r="D97" s="33" t="s">
        <v>33</v>
      </c>
      <c r="E97" s="33" t="s">
        <v>238</v>
      </c>
      <c r="F97" s="33" t="s">
        <v>243</v>
      </c>
      <c r="G97" s="36">
        <v>0</v>
      </c>
      <c r="H97" s="34" t="str">
        <f t="shared" si="2"/>
        <v/>
      </c>
      <c r="I97" s="34" t="str">
        <f t="shared" si="3"/>
        <v/>
      </c>
      <c r="J97" s="34">
        <v>1</v>
      </c>
      <c r="K97" s="37">
        <v>0</v>
      </c>
    </row>
    <row r="98" spans="2:11" s="34" customFormat="1" ht="14.25" customHeight="1">
      <c r="B98" s="32">
        <v>175</v>
      </c>
      <c r="C98" s="33" t="s">
        <v>187</v>
      </c>
      <c r="D98" s="33" t="s">
        <v>47</v>
      </c>
      <c r="E98" s="33" t="s">
        <v>295</v>
      </c>
      <c r="F98" s="33" t="s">
        <v>189</v>
      </c>
      <c r="G98" s="36">
        <v>0</v>
      </c>
      <c r="H98" s="34" t="str">
        <f t="shared" si="2"/>
        <v/>
      </c>
      <c r="I98" s="34" t="str">
        <f t="shared" si="3"/>
        <v/>
      </c>
      <c r="J98" s="34">
        <v>1</v>
      </c>
      <c r="K98" s="37">
        <v>0</v>
      </c>
    </row>
    <row r="99" spans="2:11" s="34" customFormat="1" ht="14.25" customHeight="1">
      <c r="B99" s="32">
        <v>176</v>
      </c>
      <c r="C99" s="33" t="s">
        <v>182</v>
      </c>
      <c r="D99" s="33" t="s">
        <v>68</v>
      </c>
      <c r="E99" s="33" t="s">
        <v>329</v>
      </c>
      <c r="F99" s="33" t="s">
        <v>330</v>
      </c>
      <c r="G99" s="36">
        <v>0</v>
      </c>
      <c r="H99" s="34" t="str">
        <f t="shared" si="2"/>
        <v/>
      </c>
      <c r="I99" s="34" t="str">
        <f t="shared" si="3"/>
        <v/>
      </c>
      <c r="J99" s="34">
        <v>1</v>
      </c>
      <c r="K99" s="37">
        <v>0</v>
      </c>
    </row>
    <row r="100" spans="2:11" s="34" customFormat="1" ht="14.25" customHeight="1">
      <c r="B100" s="32">
        <v>177</v>
      </c>
      <c r="C100" s="33" t="s">
        <v>173</v>
      </c>
      <c r="D100" s="33" t="s">
        <v>78</v>
      </c>
      <c r="E100" s="33" t="s">
        <v>357</v>
      </c>
      <c r="F100" s="33" t="s">
        <v>186</v>
      </c>
      <c r="G100" s="36">
        <v>0</v>
      </c>
      <c r="H100" s="34" t="str">
        <f t="shared" si="2"/>
        <v/>
      </c>
      <c r="I100" s="34" t="str">
        <f t="shared" si="3"/>
        <v/>
      </c>
      <c r="J100" s="34">
        <v>1</v>
      </c>
      <c r="K100" s="37">
        <v>0</v>
      </c>
    </row>
    <row r="101" spans="2:11" s="34" customFormat="1" ht="14.25" customHeight="1">
      <c r="B101" s="32">
        <v>178</v>
      </c>
      <c r="C101" s="33" t="s">
        <v>187</v>
      </c>
      <c r="D101" s="33" t="s">
        <v>17</v>
      </c>
      <c r="E101" s="33" t="s">
        <v>204</v>
      </c>
      <c r="F101" s="33" t="s">
        <v>189</v>
      </c>
      <c r="G101" s="36">
        <v>0</v>
      </c>
      <c r="H101" s="34" t="str">
        <f t="shared" si="2"/>
        <v/>
      </c>
      <c r="I101" s="34" t="str">
        <f t="shared" si="3"/>
        <v/>
      </c>
      <c r="J101" s="34">
        <v>1</v>
      </c>
      <c r="K101" s="37">
        <v>0</v>
      </c>
    </row>
    <row r="102" spans="2:11" s="34" customFormat="1" ht="14.25" customHeight="1">
      <c r="B102" s="32">
        <v>179</v>
      </c>
      <c r="C102" s="33" t="s">
        <v>182</v>
      </c>
      <c r="D102" s="33" t="s">
        <v>32</v>
      </c>
      <c r="E102" s="33" t="s">
        <v>229</v>
      </c>
      <c r="F102" s="33" t="s">
        <v>230</v>
      </c>
      <c r="G102" s="36">
        <v>0</v>
      </c>
      <c r="H102" s="34" t="str">
        <f t="shared" si="2"/>
        <v/>
      </c>
      <c r="I102" s="34" t="str">
        <f t="shared" si="3"/>
        <v/>
      </c>
      <c r="J102" s="34">
        <v>1</v>
      </c>
      <c r="K102" s="37">
        <v>0</v>
      </c>
    </row>
    <row r="103" spans="2:11" s="34" customFormat="1" ht="14.25" customHeight="1">
      <c r="B103" s="32">
        <v>248</v>
      </c>
      <c r="C103" s="33" t="s">
        <v>173</v>
      </c>
      <c r="D103" s="33" t="s">
        <v>33</v>
      </c>
      <c r="E103" s="33" t="s">
        <v>238</v>
      </c>
      <c r="F103" s="33" t="s">
        <v>240</v>
      </c>
      <c r="G103" s="36">
        <v>0</v>
      </c>
      <c r="H103" s="34" t="str">
        <f t="shared" si="2"/>
        <v/>
      </c>
      <c r="I103" s="34" t="str">
        <f t="shared" si="3"/>
        <v/>
      </c>
      <c r="J103" s="34">
        <v>1</v>
      </c>
      <c r="K103" s="37">
        <v>0</v>
      </c>
    </row>
    <row r="104" spans="2:11" s="34" customFormat="1" ht="14.25" customHeight="1">
      <c r="B104" s="32">
        <v>249</v>
      </c>
      <c r="C104" s="33" t="s">
        <v>219</v>
      </c>
      <c r="D104" s="33" t="s">
        <v>62</v>
      </c>
      <c r="E104" s="33" t="s">
        <v>318</v>
      </c>
      <c r="F104" s="33" t="s">
        <v>189</v>
      </c>
      <c r="G104" s="36">
        <v>0</v>
      </c>
      <c r="H104" s="34" t="str">
        <f t="shared" si="2"/>
        <v/>
      </c>
      <c r="I104" s="34" t="str">
        <f t="shared" si="3"/>
        <v/>
      </c>
      <c r="J104" s="34">
        <v>1</v>
      </c>
      <c r="K104" s="37">
        <v>0</v>
      </c>
    </row>
    <row r="105" spans="2:11" s="34" customFormat="1" ht="14.25" customHeight="1">
      <c r="B105" s="32">
        <v>254</v>
      </c>
      <c r="C105" s="33" t="s">
        <v>215</v>
      </c>
      <c r="D105" s="33" t="s">
        <v>75</v>
      </c>
      <c r="E105" s="33" t="s">
        <v>348</v>
      </c>
      <c r="F105" s="33" t="s">
        <v>349</v>
      </c>
      <c r="G105" s="36">
        <v>0</v>
      </c>
      <c r="H105" s="34" t="str">
        <f t="shared" si="2"/>
        <v/>
      </c>
      <c r="I105" s="34" t="str">
        <f t="shared" si="3"/>
        <v/>
      </c>
      <c r="J105" s="34">
        <v>1</v>
      </c>
      <c r="K105" s="37">
        <v>0</v>
      </c>
    </row>
    <row r="106" spans="2:11" s="34" customFormat="1" ht="14.25" customHeight="1">
      <c r="B106" s="32">
        <v>57</v>
      </c>
      <c r="C106" s="33" t="s">
        <v>215</v>
      </c>
      <c r="D106" s="33" t="s">
        <v>75</v>
      </c>
      <c r="E106" s="33" t="s">
        <v>350</v>
      </c>
      <c r="F106" s="33" t="s">
        <v>351</v>
      </c>
      <c r="G106" s="36">
        <v>0</v>
      </c>
      <c r="H106" s="34" t="str">
        <f t="shared" si="2"/>
        <v/>
      </c>
      <c r="I106" s="34" t="str">
        <f t="shared" si="3"/>
        <v/>
      </c>
      <c r="J106" s="34">
        <v>1</v>
      </c>
      <c r="K106" s="37">
        <v>0</v>
      </c>
    </row>
    <row r="107" spans="2:11" s="34" customFormat="1" ht="14.25" customHeight="1">
      <c r="B107" s="32">
        <v>58</v>
      </c>
      <c r="C107" s="33" t="s">
        <v>178</v>
      </c>
      <c r="D107" s="33" t="s">
        <v>165</v>
      </c>
      <c r="E107" s="33" t="s">
        <v>365</v>
      </c>
      <c r="F107" s="33" t="s">
        <v>366</v>
      </c>
      <c r="G107" s="36">
        <v>0</v>
      </c>
      <c r="H107" s="34" t="str">
        <f t="shared" si="2"/>
        <v/>
      </c>
      <c r="I107" s="34" t="str">
        <f t="shared" si="3"/>
        <v/>
      </c>
      <c r="J107" s="34">
        <v>1</v>
      </c>
      <c r="K107" s="37">
        <v>0</v>
      </c>
    </row>
    <row r="108" spans="2:11" s="34" customFormat="1" ht="14.25" customHeight="1">
      <c r="B108" s="32">
        <v>59</v>
      </c>
      <c r="C108" s="33" t="s">
        <v>187</v>
      </c>
      <c r="D108" s="33" t="s">
        <v>16</v>
      </c>
      <c r="E108" s="33" t="s">
        <v>196</v>
      </c>
      <c r="F108" s="33" t="s">
        <v>202</v>
      </c>
      <c r="G108" s="36">
        <v>0</v>
      </c>
      <c r="H108" s="34" t="str">
        <f t="shared" si="2"/>
        <v/>
      </c>
      <c r="I108" s="34" t="str">
        <f t="shared" si="3"/>
        <v/>
      </c>
      <c r="J108" s="34">
        <v>1</v>
      </c>
      <c r="K108" s="37">
        <v>0</v>
      </c>
    </row>
    <row r="109" spans="2:11" s="34" customFormat="1" ht="14.25" customHeight="1">
      <c r="B109" s="32">
        <v>60</v>
      </c>
      <c r="C109" s="33" t="s">
        <v>182</v>
      </c>
      <c r="D109" s="33" t="s">
        <v>32</v>
      </c>
      <c r="E109" s="33" t="s">
        <v>229</v>
      </c>
      <c r="F109" s="33" t="s">
        <v>231</v>
      </c>
      <c r="G109" s="36">
        <v>0</v>
      </c>
      <c r="H109" s="34" t="str">
        <f t="shared" si="2"/>
        <v/>
      </c>
      <c r="I109" s="34" t="str">
        <f t="shared" si="3"/>
        <v/>
      </c>
      <c r="J109" s="34">
        <v>1</v>
      </c>
      <c r="K109" s="37">
        <v>0</v>
      </c>
    </row>
    <row r="110" spans="2:11" s="34" customFormat="1" ht="14.25" customHeight="1">
      <c r="B110" s="32">
        <v>61</v>
      </c>
      <c r="C110" s="33" t="s">
        <v>178</v>
      </c>
      <c r="D110" s="33" t="s">
        <v>38</v>
      </c>
      <c r="E110" s="33" t="s">
        <v>429</v>
      </c>
      <c r="F110" s="33" t="s">
        <v>430</v>
      </c>
      <c r="G110" s="36">
        <v>0</v>
      </c>
      <c r="H110" s="34" t="str">
        <f t="shared" si="2"/>
        <v/>
      </c>
      <c r="I110" s="34" t="str">
        <f t="shared" si="3"/>
        <v/>
      </c>
      <c r="J110" s="34">
        <v>1</v>
      </c>
      <c r="K110" s="37">
        <v>0</v>
      </c>
    </row>
    <row r="111" spans="2:11" s="34" customFormat="1" ht="14.25" customHeight="1">
      <c r="B111" s="32">
        <v>62</v>
      </c>
      <c r="C111" s="33" t="s">
        <v>187</v>
      </c>
      <c r="D111" s="33" t="s">
        <v>39</v>
      </c>
      <c r="E111" s="33" t="s">
        <v>270</v>
      </c>
      <c r="F111" s="33" t="s">
        <v>271</v>
      </c>
      <c r="G111" s="36">
        <v>0</v>
      </c>
      <c r="H111" s="34" t="str">
        <f t="shared" si="2"/>
        <v/>
      </c>
      <c r="I111" s="34" t="str">
        <f t="shared" si="3"/>
        <v/>
      </c>
      <c r="J111" s="34">
        <v>1</v>
      </c>
      <c r="K111" s="37">
        <v>0</v>
      </c>
    </row>
    <row r="112" spans="2:11" s="34" customFormat="1" ht="14.25" customHeight="1">
      <c r="B112" s="32">
        <v>63</v>
      </c>
      <c r="C112" s="33" t="s">
        <v>339</v>
      </c>
      <c r="D112" s="33" t="s">
        <v>73</v>
      </c>
      <c r="E112" s="33" t="s">
        <v>342</v>
      </c>
      <c r="F112" s="33" t="s">
        <v>343</v>
      </c>
      <c r="G112" s="36">
        <v>0</v>
      </c>
      <c r="H112" s="34" t="str">
        <f t="shared" si="2"/>
        <v/>
      </c>
      <c r="I112" s="34" t="str">
        <f t="shared" si="3"/>
        <v/>
      </c>
      <c r="J112" s="34">
        <v>1</v>
      </c>
      <c r="K112" s="37">
        <v>0</v>
      </c>
    </row>
    <row r="113" spans="2:11" s="34" customFormat="1" ht="14.25" customHeight="1">
      <c r="B113" s="32">
        <v>64</v>
      </c>
      <c r="C113" s="33" t="s">
        <v>182</v>
      </c>
      <c r="D113" s="33" t="s">
        <v>166</v>
      </c>
      <c r="E113" s="33" t="s">
        <v>500</v>
      </c>
      <c r="F113" s="33" t="s">
        <v>166</v>
      </c>
      <c r="G113" s="36">
        <v>1</v>
      </c>
      <c r="H113" s="34">
        <f t="shared" si="2"/>
        <v>1</v>
      </c>
      <c r="I113" s="34" t="str">
        <f t="shared" si="3"/>
        <v/>
      </c>
      <c r="J113" s="34">
        <v>1</v>
      </c>
      <c r="K113" s="37">
        <v>0</v>
      </c>
    </row>
    <row r="114" spans="2:11" s="34" customFormat="1" ht="14.25" customHeight="1">
      <c r="B114" s="32">
        <v>65</v>
      </c>
      <c r="C114" s="33" t="s">
        <v>187</v>
      </c>
      <c r="D114" s="33" t="s">
        <v>90</v>
      </c>
      <c r="E114" s="33" t="s">
        <v>194</v>
      </c>
      <c r="F114" s="33" t="s">
        <v>189</v>
      </c>
      <c r="G114" s="36">
        <v>0</v>
      </c>
      <c r="H114" s="34" t="str">
        <f t="shared" si="2"/>
        <v/>
      </c>
      <c r="I114" s="34" t="str">
        <f t="shared" si="3"/>
        <v/>
      </c>
      <c r="J114" s="34">
        <v>1</v>
      </c>
      <c r="K114" s="37">
        <v>0</v>
      </c>
    </row>
    <row r="115" spans="2:11" s="34" customFormat="1" ht="14.25" customHeight="1">
      <c r="B115" s="32">
        <v>66</v>
      </c>
      <c r="C115" s="33" t="s">
        <v>182</v>
      </c>
      <c r="D115" s="33" t="s">
        <v>14</v>
      </c>
      <c r="E115" s="33" t="s">
        <v>185</v>
      </c>
      <c r="F115" s="33" t="s">
        <v>189</v>
      </c>
      <c r="G115" s="36">
        <v>0</v>
      </c>
      <c r="H115" s="34" t="str">
        <f t="shared" si="2"/>
        <v/>
      </c>
      <c r="I115" s="34" t="str">
        <f t="shared" si="3"/>
        <v/>
      </c>
      <c r="J115" s="34">
        <v>1</v>
      </c>
      <c r="K115" s="37">
        <v>0</v>
      </c>
    </row>
    <row r="116" spans="2:11" s="34" customFormat="1" ht="14.25" customHeight="1">
      <c r="B116" s="32">
        <v>67</v>
      </c>
      <c r="C116" s="33" t="s">
        <v>173</v>
      </c>
      <c r="D116" s="33" t="s">
        <v>33</v>
      </c>
      <c r="E116" s="33" t="s">
        <v>234</v>
      </c>
      <c r="F116" s="33" t="s">
        <v>236</v>
      </c>
      <c r="G116" s="36">
        <v>0</v>
      </c>
      <c r="H116" s="34" t="str">
        <f t="shared" si="2"/>
        <v/>
      </c>
      <c r="I116" s="34" t="str">
        <f t="shared" si="3"/>
        <v/>
      </c>
      <c r="J116" s="34">
        <v>1</v>
      </c>
      <c r="K116" s="37">
        <v>0</v>
      </c>
    </row>
    <row r="117" spans="2:11" s="34" customFormat="1" ht="14.25" customHeight="1">
      <c r="B117" s="32">
        <v>68</v>
      </c>
      <c r="C117" s="33" t="s">
        <v>173</v>
      </c>
      <c r="D117" s="33" t="s">
        <v>33</v>
      </c>
      <c r="E117" s="33" t="s">
        <v>241</v>
      </c>
      <c r="F117" s="33" t="s">
        <v>242</v>
      </c>
      <c r="G117" s="36">
        <v>0</v>
      </c>
      <c r="H117" s="34" t="str">
        <f t="shared" si="2"/>
        <v/>
      </c>
      <c r="I117" s="34" t="str">
        <f t="shared" si="3"/>
        <v/>
      </c>
      <c r="J117" s="34">
        <v>1</v>
      </c>
      <c r="K117" s="37">
        <v>0</v>
      </c>
    </row>
    <row r="118" spans="2:11" s="34" customFormat="1" ht="14.25" customHeight="1">
      <c r="B118" s="32">
        <v>69</v>
      </c>
      <c r="C118" s="33" t="s">
        <v>178</v>
      </c>
      <c r="D118" s="33" t="s">
        <v>54</v>
      </c>
      <c r="E118" s="33" t="s">
        <v>308</v>
      </c>
      <c r="F118" s="33" t="s">
        <v>186</v>
      </c>
      <c r="G118" s="36">
        <v>0</v>
      </c>
      <c r="H118" s="34" t="str">
        <f t="shared" si="2"/>
        <v/>
      </c>
      <c r="I118" s="34" t="str">
        <f t="shared" si="3"/>
        <v/>
      </c>
      <c r="J118" s="34">
        <v>1</v>
      </c>
      <c r="K118" s="37">
        <v>0</v>
      </c>
    </row>
    <row r="119" spans="2:11" s="34" customFormat="1" ht="14.25" customHeight="1">
      <c r="B119" s="32">
        <v>70</v>
      </c>
      <c r="C119" s="33" t="s">
        <v>178</v>
      </c>
      <c r="D119" s="33" t="s">
        <v>63</v>
      </c>
      <c r="E119" s="33" t="s">
        <v>474</v>
      </c>
      <c r="F119" s="33" t="s">
        <v>475</v>
      </c>
      <c r="G119" s="36">
        <v>0</v>
      </c>
      <c r="H119" s="34" t="str">
        <f t="shared" si="2"/>
        <v/>
      </c>
      <c r="I119" s="34" t="str">
        <f t="shared" si="3"/>
        <v/>
      </c>
      <c r="J119" s="34">
        <v>1</v>
      </c>
      <c r="K119" s="37">
        <v>0</v>
      </c>
    </row>
    <row r="120" spans="2:11" s="34" customFormat="1" ht="14.25" customHeight="1">
      <c r="B120" s="32">
        <v>71</v>
      </c>
      <c r="C120" s="33" t="s">
        <v>215</v>
      </c>
      <c r="D120" s="33" t="s">
        <v>75</v>
      </c>
      <c r="E120" s="33" t="s">
        <v>346</v>
      </c>
      <c r="F120" s="33" t="s">
        <v>347</v>
      </c>
      <c r="G120" s="36">
        <v>0</v>
      </c>
      <c r="H120" s="34" t="str">
        <f t="shared" si="2"/>
        <v/>
      </c>
      <c r="I120" s="34" t="str">
        <f t="shared" si="3"/>
        <v/>
      </c>
      <c r="J120" s="34">
        <v>1</v>
      </c>
      <c r="K120" s="37">
        <v>0</v>
      </c>
    </row>
    <row r="121" spans="2:11" s="34" customFormat="1" ht="14.25" customHeight="1">
      <c r="B121" s="32">
        <v>72</v>
      </c>
      <c r="C121" s="33" t="s">
        <v>187</v>
      </c>
      <c r="D121" s="33" t="s">
        <v>31</v>
      </c>
      <c r="E121" s="33" t="s">
        <v>223</v>
      </c>
      <c r="F121" s="33" t="s">
        <v>224</v>
      </c>
      <c r="G121" s="36">
        <v>0</v>
      </c>
      <c r="H121" s="34" t="str">
        <f t="shared" si="2"/>
        <v/>
      </c>
      <c r="I121" s="34" t="str">
        <f t="shared" si="3"/>
        <v/>
      </c>
      <c r="J121" s="34">
        <v>1</v>
      </c>
      <c r="K121" s="37">
        <v>0</v>
      </c>
    </row>
    <row r="122" spans="2:11" s="34" customFormat="1" ht="14.25" customHeight="1">
      <c r="B122" s="32">
        <v>180</v>
      </c>
      <c r="C122" s="33" t="s">
        <v>173</v>
      </c>
      <c r="D122" s="33" t="s">
        <v>33</v>
      </c>
      <c r="E122" s="33" t="s">
        <v>238</v>
      </c>
      <c r="F122" s="33" t="s">
        <v>425</v>
      </c>
      <c r="G122" s="36">
        <v>0</v>
      </c>
      <c r="H122" s="34" t="str">
        <f t="shared" si="2"/>
        <v/>
      </c>
      <c r="I122" s="34" t="str">
        <f t="shared" si="3"/>
        <v/>
      </c>
      <c r="J122" s="34">
        <v>1</v>
      </c>
      <c r="K122" s="37">
        <v>0</v>
      </c>
    </row>
    <row r="123" spans="2:11" s="34" customFormat="1" ht="14.25" customHeight="1">
      <c r="B123" s="32">
        <v>181</v>
      </c>
      <c r="C123" s="33" t="s">
        <v>205</v>
      </c>
      <c r="D123" s="33" t="s">
        <v>41</v>
      </c>
      <c r="E123" s="33" t="s">
        <v>280</v>
      </c>
      <c r="F123" s="33" t="s">
        <v>281</v>
      </c>
      <c r="G123" s="36">
        <v>0</v>
      </c>
      <c r="H123" s="34" t="str">
        <f t="shared" si="2"/>
        <v/>
      </c>
      <c r="I123" s="34" t="str">
        <f t="shared" si="3"/>
        <v/>
      </c>
      <c r="J123" s="34">
        <v>1</v>
      </c>
      <c r="K123" s="37">
        <v>0</v>
      </c>
    </row>
    <row r="124" spans="2:11" s="34" customFormat="1" ht="14.25" customHeight="1">
      <c r="B124" s="32">
        <v>182</v>
      </c>
      <c r="C124" s="33" t="s">
        <v>219</v>
      </c>
      <c r="D124" s="33" t="s">
        <v>42</v>
      </c>
      <c r="E124" s="33" t="s">
        <v>264</v>
      </c>
      <c r="F124" s="33" t="s">
        <v>284</v>
      </c>
      <c r="G124" s="36">
        <v>0</v>
      </c>
      <c r="H124" s="34" t="str">
        <f t="shared" si="2"/>
        <v/>
      </c>
      <c r="I124" s="34" t="str">
        <f t="shared" si="3"/>
        <v/>
      </c>
      <c r="J124" s="34">
        <v>1</v>
      </c>
      <c r="K124" s="37">
        <v>0</v>
      </c>
    </row>
    <row r="125" spans="2:11" s="34" customFormat="1" ht="14.25" customHeight="1">
      <c r="B125" s="32">
        <v>73</v>
      </c>
      <c r="C125" s="33" t="s">
        <v>219</v>
      </c>
      <c r="D125" s="33" t="s">
        <v>42</v>
      </c>
      <c r="E125" s="33" t="s">
        <v>290</v>
      </c>
      <c r="F125" s="33" t="s">
        <v>291</v>
      </c>
      <c r="G125" s="36">
        <v>0</v>
      </c>
      <c r="H125" s="34" t="str">
        <f t="shared" si="2"/>
        <v/>
      </c>
      <c r="I125" s="34" t="str">
        <f t="shared" si="3"/>
        <v/>
      </c>
      <c r="J125" s="34">
        <v>1</v>
      </c>
      <c r="K125" s="37">
        <v>0</v>
      </c>
    </row>
    <row r="126" spans="2:11" s="34" customFormat="1" ht="14.25" customHeight="1">
      <c r="B126" s="32">
        <v>183</v>
      </c>
      <c r="C126" s="33" t="s">
        <v>219</v>
      </c>
      <c r="D126" s="33" t="s">
        <v>65</v>
      </c>
      <c r="E126" s="33" t="s">
        <v>323</v>
      </c>
      <c r="F126" s="33" t="s">
        <v>324</v>
      </c>
      <c r="G126" s="36">
        <v>0</v>
      </c>
      <c r="H126" s="34" t="str">
        <f t="shared" si="2"/>
        <v/>
      </c>
      <c r="I126" s="34" t="str">
        <f t="shared" si="3"/>
        <v/>
      </c>
      <c r="J126" s="34">
        <v>1</v>
      </c>
      <c r="K126" s="37">
        <v>0</v>
      </c>
    </row>
    <row r="127" spans="2:11" s="34" customFormat="1" ht="14.25" customHeight="1">
      <c r="B127" s="32">
        <v>184</v>
      </c>
      <c r="C127" s="33" t="s">
        <v>219</v>
      </c>
      <c r="D127" s="33" t="s">
        <v>71</v>
      </c>
      <c r="E127" s="33" t="s">
        <v>277</v>
      </c>
      <c r="F127" s="33" t="s">
        <v>186</v>
      </c>
      <c r="G127" s="36">
        <v>0</v>
      </c>
      <c r="H127" s="34" t="str">
        <f t="shared" si="2"/>
        <v/>
      </c>
      <c r="I127" s="34" t="str">
        <f t="shared" si="3"/>
        <v/>
      </c>
      <c r="J127" s="34">
        <v>1</v>
      </c>
      <c r="K127" s="37">
        <v>0</v>
      </c>
    </row>
    <row r="128" spans="2:11" s="34" customFormat="1" ht="14.25" customHeight="1">
      <c r="B128" s="32">
        <v>185</v>
      </c>
      <c r="C128" s="33" t="s">
        <v>219</v>
      </c>
      <c r="D128" s="33" t="s">
        <v>71</v>
      </c>
      <c r="E128" s="33" t="s">
        <v>277</v>
      </c>
      <c r="F128" s="33" t="s">
        <v>184</v>
      </c>
      <c r="G128" s="36">
        <v>0</v>
      </c>
      <c r="H128" s="34" t="str">
        <f t="shared" si="2"/>
        <v/>
      </c>
      <c r="I128" s="34" t="str">
        <f t="shared" si="3"/>
        <v/>
      </c>
      <c r="J128" s="34">
        <v>1</v>
      </c>
      <c r="K128" s="37">
        <v>0</v>
      </c>
    </row>
    <row r="129" spans="2:11" s="34" customFormat="1" ht="14.25" customHeight="1">
      <c r="B129" s="32">
        <v>74</v>
      </c>
      <c r="C129" s="33" t="s">
        <v>219</v>
      </c>
      <c r="D129" s="33" t="s">
        <v>81</v>
      </c>
      <c r="E129" s="33" t="s">
        <v>180</v>
      </c>
      <c r="F129" s="33" t="s">
        <v>189</v>
      </c>
      <c r="G129" s="36">
        <v>0</v>
      </c>
      <c r="H129" s="34" t="str">
        <f t="shared" si="2"/>
        <v/>
      </c>
      <c r="I129" s="34" t="str">
        <f t="shared" si="3"/>
        <v/>
      </c>
      <c r="J129" s="34">
        <v>1</v>
      </c>
      <c r="K129" s="37">
        <v>0</v>
      </c>
    </row>
    <row r="130" spans="2:11" s="34" customFormat="1" ht="14.25" customHeight="1">
      <c r="B130" s="32">
        <v>186</v>
      </c>
      <c r="C130" s="33" t="s">
        <v>219</v>
      </c>
      <c r="D130" s="33" t="s">
        <v>87</v>
      </c>
      <c r="E130" s="33" t="s">
        <v>378</v>
      </c>
      <c r="F130" s="33" t="s">
        <v>379</v>
      </c>
      <c r="G130" s="36">
        <v>0</v>
      </c>
      <c r="H130" s="34" t="str">
        <f t="shared" si="2"/>
        <v/>
      </c>
      <c r="I130" s="34" t="str">
        <f t="shared" si="3"/>
        <v/>
      </c>
      <c r="J130" s="34">
        <v>1</v>
      </c>
      <c r="K130" s="37">
        <v>0</v>
      </c>
    </row>
    <row r="131" spans="2:11" s="34" customFormat="1" ht="14.25" customHeight="1">
      <c r="B131" s="32">
        <v>75</v>
      </c>
      <c r="C131" s="33" t="s">
        <v>173</v>
      </c>
      <c r="D131" s="33" t="s">
        <v>33</v>
      </c>
      <c r="E131" s="33" t="s">
        <v>249</v>
      </c>
      <c r="F131" s="33" t="s">
        <v>250</v>
      </c>
      <c r="G131" s="36">
        <v>0</v>
      </c>
      <c r="H131" s="34" t="str">
        <f t="shared" si="2"/>
        <v/>
      </c>
      <c r="I131" s="34" t="str">
        <f t="shared" si="3"/>
        <v/>
      </c>
      <c r="J131" s="34">
        <v>1</v>
      </c>
      <c r="K131" s="37">
        <v>0</v>
      </c>
    </row>
    <row r="132" spans="2:11" s="34" customFormat="1" ht="14.25" customHeight="1">
      <c r="B132" s="32">
        <v>76</v>
      </c>
      <c r="C132" s="33" t="s">
        <v>205</v>
      </c>
      <c r="D132" s="33" t="s">
        <v>59</v>
      </c>
      <c r="E132" s="33" t="s">
        <v>310</v>
      </c>
      <c r="F132" s="33" t="s">
        <v>189</v>
      </c>
      <c r="G132" s="36">
        <v>0</v>
      </c>
      <c r="H132" s="34" t="str">
        <f t="shared" si="2"/>
        <v/>
      </c>
      <c r="I132" s="34" t="str">
        <f t="shared" si="3"/>
        <v/>
      </c>
      <c r="J132" s="34">
        <v>1</v>
      </c>
      <c r="K132" s="37">
        <v>0</v>
      </c>
    </row>
    <row r="133" spans="2:11" s="34" customFormat="1" ht="14.25" customHeight="1">
      <c r="B133" s="32">
        <v>77</v>
      </c>
      <c r="C133" s="33" t="s">
        <v>173</v>
      </c>
      <c r="D133" s="33" t="s">
        <v>67</v>
      </c>
      <c r="E133" s="33" t="s">
        <v>327</v>
      </c>
      <c r="F133" s="33" t="s">
        <v>328</v>
      </c>
      <c r="G133" s="36">
        <v>0</v>
      </c>
      <c r="H133" s="34" t="str">
        <f t="shared" si="2"/>
        <v/>
      </c>
      <c r="I133" s="34" t="str">
        <f t="shared" si="3"/>
        <v/>
      </c>
      <c r="J133" s="34">
        <v>1</v>
      </c>
      <c r="K133" s="37">
        <v>0</v>
      </c>
    </row>
    <row r="134" spans="2:11" s="34" customFormat="1" ht="14.25" customHeight="1">
      <c r="B134" s="32">
        <v>78</v>
      </c>
      <c r="C134" s="33" t="s">
        <v>182</v>
      </c>
      <c r="D134" s="33" t="s">
        <v>32</v>
      </c>
      <c r="E134" s="33" t="s">
        <v>225</v>
      </c>
      <c r="F134" s="33" t="s">
        <v>226</v>
      </c>
      <c r="G134" s="36">
        <v>0</v>
      </c>
      <c r="H134" s="34" t="str">
        <f t="shared" si="2"/>
        <v/>
      </c>
      <c r="I134" s="34" t="str">
        <f t="shared" si="3"/>
        <v/>
      </c>
      <c r="J134" s="34">
        <v>1</v>
      </c>
      <c r="K134" s="37">
        <v>0</v>
      </c>
    </row>
    <row r="135" spans="2:11" s="34" customFormat="1" ht="14.25" customHeight="1">
      <c r="B135" s="32">
        <v>79</v>
      </c>
      <c r="C135" s="33" t="s">
        <v>187</v>
      </c>
      <c r="D135" s="33" t="s">
        <v>16</v>
      </c>
      <c r="E135" s="33" t="s">
        <v>406</v>
      </c>
      <c r="F135" s="33" t="s">
        <v>408</v>
      </c>
      <c r="G135" s="36">
        <v>0</v>
      </c>
      <c r="H135" s="34" t="str">
        <f t="shared" si="2"/>
        <v/>
      </c>
      <c r="I135" s="34" t="str">
        <f t="shared" si="3"/>
        <v/>
      </c>
      <c r="J135" s="34">
        <v>1</v>
      </c>
      <c r="K135" s="37">
        <v>0</v>
      </c>
    </row>
    <row r="136" spans="2:11" s="34" customFormat="1" ht="14.25" customHeight="1">
      <c r="B136" s="32">
        <v>80</v>
      </c>
      <c r="C136" s="33" t="s">
        <v>187</v>
      </c>
      <c r="D136" s="33" t="s">
        <v>22</v>
      </c>
      <c r="E136" s="33" t="s">
        <v>208</v>
      </c>
      <c r="F136" s="33" t="s">
        <v>189</v>
      </c>
      <c r="G136" s="36">
        <v>0</v>
      </c>
      <c r="H136" s="34" t="str">
        <f t="shared" ref="H136:H199" si="4">IF(G136=1,1,"")</f>
        <v/>
      </c>
      <c r="I136" s="34" t="str">
        <f t="shared" si="3"/>
        <v/>
      </c>
      <c r="J136" s="34">
        <v>1</v>
      </c>
      <c r="K136" s="37">
        <v>0</v>
      </c>
    </row>
    <row r="137" spans="2:11" s="34" customFormat="1" ht="14.25" customHeight="1">
      <c r="B137" s="32">
        <v>187</v>
      </c>
      <c r="C137" s="33" t="s">
        <v>219</v>
      </c>
      <c r="D137" s="33" t="s">
        <v>42</v>
      </c>
      <c r="E137" s="33" t="s">
        <v>282</v>
      </c>
      <c r="F137" s="33" t="s">
        <v>283</v>
      </c>
      <c r="G137" s="36">
        <v>0</v>
      </c>
      <c r="H137" s="34" t="str">
        <f t="shared" si="4"/>
        <v/>
      </c>
      <c r="I137" s="34" t="str">
        <f t="shared" si="3"/>
        <v/>
      </c>
      <c r="J137" s="34">
        <v>1</v>
      </c>
      <c r="K137" s="37">
        <v>0</v>
      </c>
    </row>
    <row r="138" spans="2:11" s="34" customFormat="1" ht="14.25" customHeight="1">
      <c r="B138" s="32">
        <v>81</v>
      </c>
      <c r="C138" s="33" t="s">
        <v>219</v>
      </c>
      <c r="D138" s="33" t="s">
        <v>42</v>
      </c>
      <c r="E138" s="33" t="s">
        <v>264</v>
      </c>
      <c r="F138" s="33" t="s">
        <v>441</v>
      </c>
      <c r="G138" s="36">
        <v>0</v>
      </c>
      <c r="H138" s="34" t="str">
        <f t="shared" si="4"/>
        <v/>
      </c>
      <c r="I138" s="34" t="str">
        <f t="shared" si="3"/>
        <v/>
      </c>
      <c r="J138" s="34">
        <v>1</v>
      </c>
      <c r="K138" s="37">
        <v>0</v>
      </c>
    </row>
    <row r="139" spans="2:11" s="34" customFormat="1" ht="14.25" customHeight="1">
      <c r="B139" s="32">
        <v>188</v>
      </c>
      <c r="C139" s="33" t="s">
        <v>219</v>
      </c>
      <c r="D139" s="33" t="s">
        <v>42</v>
      </c>
      <c r="E139" s="33" t="s">
        <v>287</v>
      </c>
      <c r="F139" s="33" t="s">
        <v>288</v>
      </c>
      <c r="G139" s="36">
        <v>0</v>
      </c>
      <c r="H139" s="34" t="str">
        <f t="shared" si="4"/>
        <v/>
      </c>
      <c r="I139" s="34" t="str">
        <f t="shared" ref="I139:I202" si="5">IF(G139=2,2,"")</f>
        <v/>
      </c>
      <c r="J139" s="34">
        <v>1</v>
      </c>
      <c r="K139" s="37">
        <v>0</v>
      </c>
    </row>
    <row r="140" spans="2:11" s="34" customFormat="1" ht="14.25" customHeight="1">
      <c r="B140" s="32">
        <v>189</v>
      </c>
      <c r="C140" s="33" t="s">
        <v>178</v>
      </c>
      <c r="D140" s="33" t="s">
        <v>63</v>
      </c>
      <c r="E140" s="33" t="s">
        <v>464</v>
      </c>
      <c r="F140" s="33" t="s">
        <v>465</v>
      </c>
      <c r="G140" s="36">
        <v>0</v>
      </c>
      <c r="H140" s="34" t="str">
        <f t="shared" si="4"/>
        <v/>
      </c>
      <c r="I140" s="34" t="str">
        <f t="shared" si="5"/>
        <v/>
      </c>
      <c r="J140" s="34">
        <v>1</v>
      </c>
      <c r="K140" s="37">
        <v>0</v>
      </c>
    </row>
    <row r="141" spans="2:11" s="34" customFormat="1" ht="14.25" customHeight="1">
      <c r="B141" s="32">
        <v>82</v>
      </c>
      <c r="C141" s="33" t="s">
        <v>215</v>
      </c>
      <c r="D141" s="33" t="s">
        <v>64</v>
      </c>
      <c r="E141" s="33" t="s">
        <v>262</v>
      </c>
      <c r="F141" s="33" t="s">
        <v>184</v>
      </c>
      <c r="G141" s="36">
        <v>0</v>
      </c>
      <c r="H141" s="34" t="str">
        <f t="shared" si="4"/>
        <v/>
      </c>
      <c r="I141" s="34" t="str">
        <f t="shared" si="5"/>
        <v/>
      </c>
      <c r="J141" s="34">
        <v>1</v>
      </c>
      <c r="K141" s="37">
        <v>0</v>
      </c>
    </row>
    <row r="142" spans="2:11" s="34" customFormat="1" ht="14.25" customHeight="1">
      <c r="B142" s="32">
        <v>190</v>
      </c>
      <c r="C142" s="33" t="s">
        <v>205</v>
      </c>
      <c r="D142" s="33" t="s">
        <v>25</v>
      </c>
      <c r="E142" s="33" t="s">
        <v>211</v>
      </c>
      <c r="F142" s="33" t="s">
        <v>189</v>
      </c>
      <c r="G142" s="36">
        <v>0</v>
      </c>
      <c r="H142" s="34" t="str">
        <f t="shared" si="4"/>
        <v/>
      </c>
      <c r="I142" s="34" t="str">
        <f t="shared" si="5"/>
        <v/>
      </c>
      <c r="J142" s="34">
        <v>1</v>
      </c>
      <c r="K142" s="37">
        <v>0</v>
      </c>
    </row>
    <row r="143" spans="2:11" s="34" customFormat="1" ht="14.25" customHeight="1">
      <c r="B143" s="32">
        <v>191</v>
      </c>
      <c r="C143" s="33" t="s">
        <v>178</v>
      </c>
      <c r="D143" s="33" t="s">
        <v>38</v>
      </c>
      <c r="E143" s="33" t="s">
        <v>433</v>
      </c>
      <c r="F143" s="33" t="s">
        <v>434</v>
      </c>
      <c r="G143" s="36">
        <v>0</v>
      </c>
      <c r="H143" s="34" t="str">
        <f t="shared" si="4"/>
        <v/>
      </c>
      <c r="I143" s="34" t="str">
        <f t="shared" si="5"/>
        <v/>
      </c>
      <c r="J143" s="34">
        <v>1</v>
      </c>
      <c r="K143" s="37">
        <v>0</v>
      </c>
    </row>
    <row r="144" spans="2:11" s="34" customFormat="1" ht="14.25" customHeight="1">
      <c r="B144" s="32">
        <v>255</v>
      </c>
      <c r="C144" s="33" t="s">
        <v>178</v>
      </c>
      <c r="D144" s="33" t="s">
        <v>63</v>
      </c>
      <c r="E144" s="33" t="s">
        <v>476</v>
      </c>
      <c r="F144" s="33" t="s">
        <v>477</v>
      </c>
      <c r="G144" s="36">
        <v>0</v>
      </c>
      <c r="H144" s="34" t="str">
        <f t="shared" si="4"/>
        <v/>
      </c>
      <c r="I144" s="34" t="str">
        <f t="shared" si="5"/>
        <v/>
      </c>
      <c r="J144" s="34">
        <v>1</v>
      </c>
      <c r="K144" s="37">
        <v>0</v>
      </c>
    </row>
    <row r="145" spans="2:11" s="34" customFormat="1" ht="14.25" customHeight="1">
      <c r="B145" s="32">
        <v>83</v>
      </c>
      <c r="C145" s="33" t="s">
        <v>187</v>
      </c>
      <c r="D145" s="33" t="s">
        <v>11</v>
      </c>
      <c r="E145" s="33" t="s">
        <v>188</v>
      </c>
      <c r="F145" s="33" t="s">
        <v>189</v>
      </c>
      <c r="G145" s="36">
        <v>0</v>
      </c>
      <c r="H145" s="34" t="str">
        <f t="shared" si="4"/>
        <v/>
      </c>
      <c r="I145" s="34" t="str">
        <f t="shared" si="5"/>
        <v/>
      </c>
      <c r="J145" s="34">
        <v>1</v>
      </c>
      <c r="K145" s="37">
        <v>0</v>
      </c>
    </row>
    <row r="146" spans="2:11" s="34" customFormat="1" ht="14.25" customHeight="1">
      <c r="B146" s="32">
        <v>84</v>
      </c>
      <c r="C146" s="33" t="s">
        <v>187</v>
      </c>
      <c r="D146" s="33" t="s">
        <v>76</v>
      </c>
      <c r="E146" s="33" t="s">
        <v>352</v>
      </c>
      <c r="F146" s="33" t="s">
        <v>189</v>
      </c>
      <c r="G146" s="36">
        <v>0</v>
      </c>
      <c r="H146" s="34" t="str">
        <f t="shared" si="4"/>
        <v/>
      </c>
      <c r="I146" s="34" t="str">
        <f t="shared" si="5"/>
        <v/>
      </c>
      <c r="J146" s="34">
        <v>1</v>
      </c>
      <c r="K146" s="37">
        <v>0</v>
      </c>
    </row>
    <row r="147" spans="2:11" s="34" customFormat="1" ht="14.25" customHeight="1">
      <c r="B147" s="32">
        <v>85</v>
      </c>
      <c r="C147" s="33" t="s">
        <v>339</v>
      </c>
      <c r="D147" s="33" t="s">
        <v>80</v>
      </c>
      <c r="E147" s="33" t="s">
        <v>359</v>
      </c>
      <c r="F147" s="33" t="s">
        <v>360</v>
      </c>
      <c r="G147" s="36">
        <v>0</v>
      </c>
      <c r="H147" s="34" t="str">
        <f t="shared" si="4"/>
        <v/>
      </c>
      <c r="I147" s="34" t="str">
        <f t="shared" si="5"/>
        <v/>
      </c>
      <c r="J147" s="34">
        <v>1</v>
      </c>
      <c r="K147" s="37">
        <v>0</v>
      </c>
    </row>
    <row r="148" spans="2:11" s="34" customFormat="1" ht="14.25" customHeight="1">
      <c r="B148" s="32">
        <v>192</v>
      </c>
      <c r="C148" s="33" t="s">
        <v>339</v>
      </c>
      <c r="D148" s="33" t="s">
        <v>84</v>
      </c>
      <c r="E148" s="33" t="s">
        <v>369</v>
      </c>
      <c r="F148" s="33" t="s">
        <v>242</v>
      </c>
      <c r="G148" s="36">
        <v>0</v>
      </c>
      <c r="H148" s="34" t="str">
        <f t="shared" si="4"/>
        <v/>
      </c>
      <c r="I148" s="34" t="str">
        <f t="shared" si="5"/>
        <v/>
      </c>
      <c r="J148" s="34">
        <v>1</v>
      </c>
      <c r="K148" s="37">
        <v>0</v>
      </c>
    </row>
    <row r="149" spans="2:11" s="34" customFormat="1" ht="14.25" customHeight="1">
      <c r="B149" s="32">
        <v>193</v>
      </c>
      <c r="C149" s="33" t="s">
        <v>219</v>
      </c>
      <c r="D149" s="33" t="s">
        <v>82</v>
      </c>
      <c r="E149" s="33" t="s">
        <v>363</v>
      </c>
      <c r="F149" s="33" t="s">
        <v>356</v>
      </c>
      <c r="G149" s="36">
        <v>0</v>
      </c>
      <c r="H149" s="34" t="str">
        <f t="shared" si="4"/>
        <v/>
      </c>
      <c r="I149" s="34" t="str">
        <f t="shared" si="5"/>
        <v/>
      </c>
      <c r="J149" s="34">
        <v>1</v>
      </c>
      <c r="K149" s="37">
        <v>0</v>
      </c>
    </row>
    <row r="150" spans="2:11" s="34" customFormat="1" ht="14.25" customHeight="1">
      <c r="B150" s="32">
        <v>86</v>
      </c>
      <c r="C150" s="33" t="s">
        <v>187</v>
      </c>
      <c r="D150" s="33" t="s">
        <v>39</v>
      </c>
      <c r="E150" s="33" t="s">
        <v>272</v>
      </c>
      <c r="F150" s="33" t="s">
        <v>273</v>
      </c>
      <c r="G150" s="36">
        <v>0</v>
      </c>
      <c r="H150" s="34" t="str">
        <f t="shared" si="4"/>
        <v/>
      </c>
      <c r="I150" s="34" t="str">
        <f t="shared" si="5"/>
        <v/>
      </c>
      <c r="J150" s="34">
        <v>1</v>
      </c>
      <c r="K150" s="37">
        <v>0</v>
      </c>
    </row>
    <row r="151" spans="2:11" s="34" customFormat="1" ht="14.25" customHeight="1">
      <c r="B151" s="32">
        <v>194</v>
      </c>
      <c r="C151" s="33" t="s">
        <v>187</v>
      </c>
      <c r="D151" s="33" t="s">
        <v>39</v>
      </c>
      <c r="E151" s="33" t="s">
        <v>266</v>
      </c>
      <c r="F151" s="33" t="s">
        <v>267</v>
      </c>
      <c r="G151" s="36">
        <v>0</v>
      </c>
      <c r="H151" s="34" t="str">
        <f t="shared" si="4"/>
        <v/>
      </c>
      <c r="I151" s="34" t="str">
        <f t="shared" si="5"/>
        <v/>
      </c>
      <c r="J151" s="34">
        <v>1</v>
      </c>
      <c r="K151" s="37">
        <v>0</v>
      </c>
    </row>
    <row r="152" spans="2:11" s="34" customFormat="1" ht="14.25" customHeight="1">
      <c r="B152" s="32">
        <v>195</v>
      </c>
      <c r="C152" s="33" t="s">
        <v>173</v>
      </c>
      <c r="D152" s="33" t="s">
        <v>29</v>
      </c>
      <c r="E152" s="33" t="s">
        <v>217</v>
      </c>
      <c r="F152" s="33" t="s">
        <v>218</v>
      </c>
      <c r="G152" s="36">
        <v>0</v>
      </c>
      <c r="H152" s="34" t="str">
        <f t="shared" si="4"/>
        <v/>
      </c>
      <c r="I152" s="34" t="str">
        <f t="shared" si="5"/>
        <v/>
      </c>
      <c r="J152" s="34">
        <v>1</v>
      </c>
      <c r="K152" s="37">
        <v>0</v>
      </c>
    </row>
    <row r="153" spans="2:11" s="34" customFormat="1" ht="14.25" customHeight="1">
      <c r="B153" s="32">
        <v>196</v>
      </c>
      <c r="C153" s="33" t="s">
        <v>219</v>
      </c>
      <c r="D153" s="33" t="s">
        <v>30</v>
      </c>
      <c r="E153" s="33" t="s">
        <v>220</v>
      </c>
      <c r="F153" s="33" t="s">
        <v>189</v>
      </c>
      <c r="G153" s="36">
        <v>0</v>
      </c>
      <c r="H153" s="34" t="str">
        <f t="shared" si="4"/>
        <v/>
      </c>
      <c r="I153" s="34" t="str">
        <f t="shared" si="5"/>
        <v/>
      </c>
      <c r="J153" s="34">
        <v>1</v>
      </c>
      <c r="K153" s="37">
        <v>0</v>
      </c>
    </row>
    <row r="154" spans="2:11" s="34" customFormat="1" ht="14.25" customHeight="1">
      <c r="B154" s="32">
        <v>197</v>
      </c>
      <c r="C154" s="33" t="s">
        <v>219</v>
      </c>
      <c r="D154" s="33" t="s">
        <v>49</v>
      </c>
      <c r="E154" s="33" t="s">
        <v>446</v>
      </c>
      <c r="F154" s="33" t="s">
        <v>189</v>
      </c>
      <c r="G154" s="36">
        <v>0</v>
      </c>
      <c r="H154" s="34" t="str">
        <f t="shared" si="4"/>
        <v/>
      </c>
      <c r="I154" s="34" t="str">
        <f t="shared" si="5"/>
        <v/>
      </c>
      <c r="J154" s="34">
        <v>1</v>
      </c>
      <c r="K154" s="37">
        <v>0</v>
      </c>
    </row>
    <row r="155" spans="2:11" s="34" customFormat="1" ht="14.25" customHeight="1">
      <c r="B155" s="32">
        <v>256</v>
      </c>
      <c r="C155" s="33" t="s">
        <v>178</v>
      </c>
      <c r="D155" s="33" t="s">
        <v>54</v>
      </c>
      <c r="E155" s="33" t="s">
        <v>308</v>
      </c>
      <c r="F155" s="33" t="s">
        <v>224</v>
      </c>
      <c r="G155" s="36">
        <v>0</v>
      </c>
      <c r="H155" s="34" t="str">
        <f t="shared" si="4"/>
        <v/>
      </c>
      <c r="I155" s="34" t="str">
        <f t="shared" si="5"/>
        <v/>
      </c>
      <c r="J155" s="34">
        <v>1</v>
      </c>
      <c r="K155" s="37">
        <v>0</v>
      </c>
    </row>
    <row r="156" spans="2:11" s="34" customFormat="1" ht="14.25" customHeight="1">
      <c r="B156" s="32">
        <v>198</v>
      </c>
      <c r="C156" s="33" t="s">
        <v>178</v>
      </c>
      <c r="D156" s="33" t="s">
        <v>54</v>
      </c>
      <c r="E156" s="33" t="s">
        <v>308</v>
      </c>
      <c r="F156" s="33" t="s">
        <v>184</v>
      </c>
      <c r="G156" s="36">
        <v>0</v>
      </c>
      <c r="H156" s="34" t="str">
        <f t="shared" si="4"/>
        <v/>
      </c>
      <c r="I156" s="34" t="str">
        <f t="shared" si="5"/>
        <v/>
      </c>
      <c r="J156" s="34">
        <v>1</v>
      </c>
      <c r="K156" s="37">
        <v>0</v>
      </c>
    </row>
    <row r="157" spans="2:11" s="34" customFormat="1" ht="14.25" customHeight="1">
      <c r="B157" s="32">
        <v>199</v>
      </c>
      <c r="C157" s="33" t="s">
        <v>187</v>
      </c>
      <c r="D157" s="33" t="s">
        <v>74</v>
      </c>
      <c r="E157" s="33" t="s">
        <v>345</v>
      </c>
      <c r="F157" s="33" t="s">
        <v>189</v>
      </c>
      <c r="G157" s="36">
        <v>0</v>
      </c>
      <c r="H157" s="34" t="str">
        <f t="shared" si="4"/>
        <v/>
      </c>
      <c r="I157" s="34" t="str">
        <f t="shared" si="5"/>
        <v/>
      </c>
      <c r="J157" s="34">
        <v>1</v>
      </c>
      <c r="K157" s="37">
        <v>0</v>
      </c>
    </row>
    <row r="158" spans="2:11" s="34" customFormat="1" ht="14.25" customHeight="1">
      <c r="B158" s="32">
        <v>87</v>
      </c>
      <c r="C158" s="33" t="s">
        <v>178</v>
      </c>
      <c r="D158" s="33" t="s">
        <v>63</v>
      </c>
      <c r="E158" s="33" t="s">
        <v>321</v>
      </c>
      <c r="F158" s="33" t="s">
        <v>322</v>
      </c>
      <c r="G158" s="36">
        <v>0</v>
      </c>
      <c r="H158" s="34" t="str">
        <f t="shared" si="4"/>
        <v/>
      </c>
      <c r="I158" s="34" t="str">
        <f t="shared" si="5"/>
        <v/>
      </c>
      <c r="J158" s="34">
        <v>1</v>
      </c>
      <c r="K158" s="37">
        <v>0</v>
      </c>
    </row>
    <row r="159" spans="2:11" s="34" customFormat="1" ht="14.25" customHeight="1">
      <c r="B159" s="32">
        <v>88</v>
      </c>
      <c r="C159" s="33" t="s">
        <v>187</v>
      </c>
      <c r="D159" s="33" t="s">
        <v>26</v>
      </c>
      <c r="E159" s="33" t="s">
        <v>212</v>
      </c>
      <c r="F159" s="33" t="s">
        <v>189</v>
      </c>
      <c r="G159" s="36">
        <v>0</v>
      </c>
      <c r="H159" s="34" t="str">
        <f t="shared" si="4"/>
        <v/>
      </c>
      <c r="I159" s="34" t="str">
        <f t="shared" si="5"/>
        <v/>
      </c>
      <c r="J159" s="34">
        <v>1</v>
      </c>
      <c r="K159" s="37">
        <v>0</v>
      </c>
    </row>
    <row r="160" spans="2:11" s="34" customFormat="1" ht="14.25" customHeight="1">
      <c r="B160" s="32">
        <v>89</v>
      </c>
      <c r="C160" s="33" t="s">
        <v>205</v>
      </c>
      <c r="D160" s="33" t="s">
        <v>58</v>
      </c>
      <c r="E160" s="33" t="s">
        <v>309</v>
      </c>
      <c r="F160" s="33" t="s">
        <v>189</v>
      </c>
      <c r="G160" s="36">
        <v>0</v>
      </c>
      <c r="H160" s="34" t="str">
        <f t="shared" si="4"/>
        <v/>
      </c>
      <c r="I160" s="34" t="str">
        <f t="shared" si="5"/>
        <v/>
      </c>
      <c r="J160" s="34">
        <v>1</v>
      </c>
      <c r="K160" s="37">
        <v>0</v>
      </c>
    </row>
    <row r="161" spans="2:11" s="34" customFormat="1" ht="14.25" customHeight="1">
      <c r="B161" s="32">
        <v>90</v>
      </c>
      <c r="C161" s="33" t="s">
        <v>178</v>
      </c>
      <c r="D161" s="33" t="s">
        <v>63</v>
      </c>
      <c r="E161" s="33" t="s">
        <v>462</v>
      </c>
      <c r="F161" s="33" t="s">
        <v>463</v>
      </c>
      <c r="G161" s="36">
        <v>0</v>
      </c>
      <c r="H161" s="34" t="str">
        <f t="shared" si="4"/>
        <v/>
      </c>
      <c r="I161" s="34" t="str">
        <f t="shared" si="5"/>
        <v/>
      </c>
      <c r="J161" s="34">
        <v>1</v>
      </c>
      <c r="K161" s="37">
        <v>0</v>
      </c>
    </row>
    <row r="162" spans="2:11" s="34" customFormat="1" ht="14.25" customHeight="1">
      <c r="B162" s="32">
        <v>91</v>
      </c>
      <c r="C162" s="33" t="s">
        <v>173</v>
      </c>
      <c r="D162" s="33" t="s">
        <v>23</v>
      </c>
      <c r="E162" s="33" t="s">
        <v>209</v>
      </c>
      <c r="F162" s="33" t="s">
        <v>210</v>
      </c>
      <c r="G162" s="36">
        <v>0</v>
      </c>
      <c r="H162" s="34" t="str">
        <f t="shared" si="4"/>
        <v/>
      </c>
      <c r="I162" s="34" t="str">
        <f t="shared" si="5"/>
        <v/>
      </c>
      <c r="J162" s="34">
        <v>1</v>
      </c>
      <c r="K162" s="37">
        <v>0</v>
      </c>
    </row>
    <row r="163" spans="2:11" s="34" customFormat="1" ht="14.25" customHeight="1">
      <c r="B163" s="32">
        <v>92</v>
      </c>
      <c r="C163" s="33" t="s">
        <v>178</v>
      </c>
      <c r="D163" s="33" t="s">
        <v>38</v>
      </c>
      <c r="E163" s="33" t="s">
        <v>435</v>
      </c>
      <c r="F163" s="33" t="s">
        <v>436</v>
      </c>
      <c r="G163" s="36">
        <v>0</v>
      </c>
      <c r="H163" s="34" t="str">
        <f t="shared" si="4"/>
        <v/>
      </c>
      <c r="I163" s="34" t="str">
        <f t="shared" si="5"/>
        <v/>
      </c>
      <c r="J163" s="34">
        <v>1</v>
      </c>
      <c r="K163" s="37">
        <v>0</v>
      </c>
    </row>
    <row r="164" spans="2:11" s="34" customFormat="1" ht="14.25" customHeight="1">
      <c r="B164" s="32">
        <v>93</v>
      </c>
      <c r="C164" s="33" t="s">
        <v>178</v>
      </c>
      <c r="D164" s="33" t="s">
        <v>9</v>
      </c>
      <c r="E164" s="33" t="s">
        <v>396</v>
      </c>
      <c r="F164" s="33" t="s">
        <v>397</v>
      </c>
      <c r="G164" s="36">
        <v>1</v>
      </c>
      <c r="H164" s="34">
        <f t="shared" si="4"/>
        <v>1</v>
      </c>
      <c r="I164" s="34" t="str">
        <f t="shared" si="5"/>
        <v/>
      </c>
      <c r="J164" s="34">
        <v>1</v>
      </c>
      <c r="K164" s="37">
        <v>0</v>
      </c>
    </row>
    <row r="165" spans="2:11" s="34" customFormat="1" ht="14.25" customHeight="1">
      <c r="B165" s="32">
        <v>94</v>
      </c>
      <c r="C165" s="33" t="s">
        <v>178</v>
      </c>
      <c r="D165" s="33" t="s">
        <v>9</v>
      </c>
      <c r="E165" s="33" t="s">
        <v>394</v>
      </c>
      <c r="F165" s="33" t="s">
        <v>395</v>
      </c>
      <c r="G165" s="36">
        <v>1</v>
      </c>
      <c r="H165" s="34">
        <f t="shared" si="4"/>
        <v>1</v>
      </c>
      <c r="I165" s="34" t="str">
        <f t="shared" si="5"/>
        <v/>
      </c>
      <c r="J165" s="34">
        <v>1</v>
      </c>
      <c r="K165" s="37">
        <v>0</v>
      </c>
    </row>
    <row r="166" spans="2:11" s="34" customFormat="1" ht="14.25" customHeight="1">
      <c r="B166" s="32">
        <v>200</v>
      </c>
      <c r="C166" s="33" t="s">
        <v>205</v>
      </c>
      <c r="D166" s="33" t="s">
        <v>10</v>
      </c>
      <c r="E166" s="33" t="s">
        <v>400</v>
      </c>
      <c r="F166" s="33" t="s">
        <v>189</v>
      </c>
      <c r="G166" s="36">
        <v>1</v>
      </c>
      <c r="H166" s="34">
        <f t="shared" si="4"/>
        <v>1</v>
      </c>
      <c r="I166" s="34" t="str">
        <f t="shared" si="5"/>
        <v/>
      </c>
      <c r="J166" s="34">
        <v>1</v>
      </c>
      <c r="K166" s="37">
        <v>0</v>
      </c>
    </row>
    <row r="167" spans="2:11" s="34" customFormat="1" ht="14.25" customHeight="1">
      <c r="B167" s="32">
        <v>201</v>
      </c>
      <c r="C167" s="33" t="s">
        <v>187</v>
      </c>
      <c r="D167" s="33" t="s">
        <v>13</v>
      </c>
      <c r="E167" s="33" t="s">
        <v>401</v>
      </c>
      <c r="F167" s="33" t="s">
        <v>402</v>
      </c>
      <c r="G167" s="36">
        <v>1</v>
      </c>
      <c r="H167" s="34">
        <f t="shared" si="4"/>
        <v>1</v>
      </c>
      <c r="I167" s="34" t="str">
        <f t="shared" si="5"/>
        <v/>
      </c>
      <c r="J167" s="34">
        <v>1</v>
      </c>
      <c r="K167" s="37">
        <v>0</v>
      </c>
    </row>
    <row r="168" spans="2:11" s="34" customFormat="1" ht="14.25" customHeight="1">
      <c r="B168" s="32">
        <v>95</v>
      </c>
      <c r="C168" s="33" t="s">
        <v>205</v>
      </c>
      <c r="D168" s="33" t="s">
        <v>15</v>
      </c>
      <c r="E168" s="33" t="s">
        <v>404</v>
      </c>
      <c r="F168" s="33" t="s">
        <v>405</v>
      </c>
      <c r="G168" s="36">
        <v>1</v>
      </c>
      <c r="H168" s="34">
        <f t="shared" si="4"/>
        <v>1</v>
      </c>
      <c r="I168" s="34" t="str">
        <f t="shared" si="5"/>
        <v/>
      </c>
      <c r="J168" s="34">
        <v>1</v>
      </c>
      <c r="K168" s="37">
        <v>0</v>
      </c>
    </row>
    <row r="169" spans="2:11" s="34" customFormat="1" ht="14.25" customHeight="1">
      <c r="B169" s="32">
        <v>96</v>
      </c>
      <c r="C169" s="33" t="s">
        <v>205</v>
      </c>
      <c r="D169" s="33" t="s">
        <v>15</v>
      </c>
      <c r="E169" s="33" t="s">
        <v>403</v>
      </c>
      <c r="F169" s="33" t="s">
        <v>326</v>
      </c>
      <c r="G169" s="36">
        <v>1</v>
      </c>
      <c r="H169" s="34">
        <f t="shared" si="4"/>
        <v>1</v>
      </c>
      <c r="I169" s="34" t="str">
        <f t="shared" si="5"/>
        <v/>
      </c>
      <c r="J169" s="34">
        <v>1</v>
      </c>
      <c r="K169" s="37">
        <v>0</v>
      </c>
    </row>
    <row r="170" spans="2:11" s="34" customFormat="1" ht="14.25" customHeight="1">
      <c r="B170" s="32">
        <v>97</v>
      </c>
      <c r="C170" s="33" t="s">
        <v>178</v>
      </c>
      <c r="D170" s="33" t="s">
        <v>21</v>
      </c>
      <c r="E170" s="33" t="s">
        <v>411</v>
      </c>
      <c r="F170" s="33" t="s">
        <v>189</v>
      </c>
      <c r="G170" s="36">
        <v>1</v>
      </c>
      <c r="H170" s="34">
        <f t="shared" si="4"/>
        <v>1</v>
      </c>
      <c r="I170" s="34" t="str">
        <f t="shared" si="5"/>
        <v/>
      </c>
      <c r="J170" s="34">
        <v>1</v>
      </c>
      <c r="K170" s="37">
        <v>0</v>
      </c>
    </row>
    <row r="171" spans="2:11" s="34" customFormat="1" ht="14.25" customHeight="1">
      <c r="B171" s="32">
        <v>202</v>
      </c>
      <c r="C171" s="33" t="s">
        <v>219</v>
      </c>
      <c r="D171" s="33" t="s">
        <v>42</v>
      </c>
      <c r="E171" s="33" t="s">
        <v>439</v>
      </c>
      <c r="F171" s="33" t="s">
        <v>440</v>
      </c>
      <c r="G171" s="36">
        <v>1</v>
      </c>
      <c r="H171" s="34">
        <f t="shared" si="4"/>
        <v>1</v>
      </c>
      <c r="I171" s="34" t="str">
        <f t="shared" si="5"/>
        <v/>
      </c>
      <c r="J171" s="34">
        <v>1</v>
      </c>
      <c r="K171" s="37">
        <v>0</v>
      </c>
    </row>
    <row r="172" spans="2:11" s="34" customFormat="1" ht="14.25" customHeight="1">
      <c r="B172" s="32">
        <v>203</v>
      </c>
      <c r="C172" s="33" t="s">
        <v>205</v>
      </c>
      <c r="D172" s="33" t="s">
        <v>43</v>
      </c>
      <c r="E172" s="33" t="s">
        <v>443</v>
      </c>
      <c r="F172" s="33" t="s">
        <v>444</v>
      </c>
      <c r="G172" s="36">
        <v>1</v>
      </c>
      <c r="H172" s="34">
        <f t="shared" si="4"/>
        <v>1</v>
      </c>
      <c r="I172" s="34" t="str">
        <f t="shared" si="5"/>
        <v/>
      </c>
      <c r="J172" s="34">
        <v>1</v>
      </c>
      <c r="K172" s="37">
        <v>0</v>
      </c>
    </row>
    <row r="173" spans="2:11" s="34" customFormat="1" ht="14.25" customHeight="1">
      <c r="B173" s="32">
        <v>204</v>
      </c>
      <c r="C173" s="33" t="s">
        <v>219</v>
      </c>
      <c r="D173" s="33" t="s">
        <v>61</v>
      </c>
      <c r="E173" s="33" t="s">
        <v>459</v>
      </c>
      <c r="F173" s="33" t="s">
        <v>460</v>
      </c>
      <c r="G173" s="36">
        <v>1</v>
      </c>
      <c r="H173" s="34">
        <f t="shared" si="4"/>
        <v>1</v>
      </c>
      <c r="I173" s="34" t="str">
        <f t="shared" si="5"/>
        <v/>
      </c>
      <c r="J173" s="34">
        <v>1</v>
      </c>
      <c r="K173" s="37">
        <v>0</v>
      </c>
    </row>
    <row r="174" spans="2:11" s="34" customFormat="1" ht="14.25" customHeight="1">
      <c r="B174" s="32">
        <v>205</v>
      </c>
      <c r="C174" s="33" t="s">
        <v>219</v>
      </c>
      <c r="D174" s="33" t="s">
        <v>61</v>
      </c>
      <c r="E174" s="33" t="s">
        <v>459</v>
      </c>
      <c r="F174" s="33" t="s">
        <v>461</v>
      </c>
      <c r="G174" s="36">
        <v>1</v>
      </c>
      <c r="H174" s="34">
        <f t="shared" si="4"/>
        <v>1</v>
      </c>
      <c r="I174" s="34" t="str">
        <f t="shared" si="5"/>
        <v/>
      </c>
      <c r="J174" s="34">
        <v>1</v>
      </c>
      <c r="K174" s="37">
        <v>0</v>
      </c>
    </row>
    <row r="175" spans="2:11" s="34" customFormat="1" ht="14.25" customHeight="1">
      <c r="B175" s="32">
        <v>206</v>
      </c>
      <c r="C175" s="33" t="s">
        <v>178</v>
      </c>
      <c r="D175" s="33" t="s">
        <v>63</v>
      </c>
      <c r="E175" s="33" t="s">
        <v>472</v>
      </c>
      <c r="F175" s="33" t="s">
        <v>473</v>
      </c>
      <c r="G175" s="36">
        <v>1</v>
      </c>
      <c r="H175" s="34">
        <f t="shared" si="4"/>
        <v>1</v>
      </c>
      <c r="I175" s="34" t="str">
        <f t="shared" si="5"/>
        <v/>
      </c>
      <c r="J175" s="34">
        <v>1</v>
      </c>
      <c r="K175" s="37">
        <v>0</v>
      </c>
    </row>
    <row r="176" spans="2:11" s="34" customFormat="1" ht="14.25" customHeight="1">
      <c r="B176" s="32">
        <v>207</v>
      </c>
      <c r="C176" s="33" t="s">
        <v>187</v>
      </c>
      <c r="D176" s="33" t="s">
        <v>69</v>
      </c>
      <c r="E176" s="33" t="s">
        <v>487</v>
      </c>
      <c r="F176" s="33" t="s">
        <v>189</v>
      </c>
      <c r="G176" s="36">
        <v>1</v>
      </c>
      <c r="H176" s="34">
        <f t="shared" si="4"/>
        <v>1</v>
      </c>
      <c r="I176" s="34" t="str">
        <f t="shared" si="5"/>
        <v/>
      </c>
      <c r="J176" s="34">
        <v>1</v>
      </c>
      <c r="K176" s="37">
        <v>0</v>
      </c>
    </row>
    <row r="177" spans="2:11" s="34" customFormat="1" ht="14.25" customHeight="1">
      <c r="B177" s="32">
        <v>208</v>
      </c>
      <c r="C177" s="33" t="s">
        <v>215</v>
      </c>
      <c r="D177" s="33" t="s">
        <v>75</v>
      </c>
      <c r="E177" s="33" t="s">
        <v>489</v>
      </c>
      <c r="F177" s="33" t="s">
        <v>490</v>
      </c>
      <c r="G177" s="36">
        <v>1</v>
      </c>
      <c r="H177" s="34">
        <f t="shared" si="4"/>
        <v>1</v>
      </c>
      <c r="I177" s="34" t="str">
        <f t="shared" si="5"/>
        <v/>
      </c>
      <c r="J177" s="34">
        <v>1</v>
      </c>
      <c r="K177" s="37">
        <v>0</v>
      </c>
    </row>
    <row r="178" spans="2:11" s="34" customFormat="1" ht="14.25" customHeight="1">
      <c r="B178" s="32">
        <v>209</v>
      </c>
      <c r="C178" s="33" t="s">
        <v>219</v>
      </c>
      <c r="D178" s="33" t="s">
        <v>82</v>
      </c>
      <c r="E178" s="33" t="s">
        <v>457</v>
      </c>
      <c r="F178" s="33" t="s">
        <v>444</v>
      </c>
      <c r="G178" s="36">
        <v>1</v>
      </c>
      <c r="H178" s="34">
        <f t="shared" si="4"/>
        <v>1</v>
      </c>
      <c r="I178" s="34" t="str">
        <f t="shared" si="5"/>
        <v/>
      </c>
      <c r="J178" s="34">
        <v>1</v>
      </c>
      <c r="K178" s="37">
        <v>0</v>
      </c>
    </row>
    <row r="179" spans="2:11" s="34" customFormat="1" ht="14.25" customHeight="1">
      <c r="B179" s="32">
        <v>250</v>
      </c>
      <c r="C179" s="33" t="s">
        <v>339</v>
      </c>
      <c r="D179" s="33" t="s">
        <v>85</v>
      </c>
      <c r="E179" s="33" t="s">
        <v>370</v>
      </c>
      <c r="F179" s="33" t="s">
        <v>501</v>
      </c>
      <c r="G179" s="36">
        <v>1</v>
      </c>
      <c r="H179" s="34">
        <f t="shared" si="4"/>
        <v>1</v>
      </c>
      <c r="I179" s="34" t="str">
        <f t="shared" si="5"/>
        <v/>
      </c>
      <c r="J179" s="34">
        <v>1</v>
      </c>
      <c r="K179" s="37">
        <v>0</v>
      </c>
    </row>
    <row r="180" spans="2:11" s="34" customFormat="1" ht="14.25" customHeight="1">
      <c r="B180" s="32">
        <v>251</v>
      </c>
      <c r="C180" s="33" t="s">
        <v>178</v>
      </c>
      <c r="D180" s="33" t="s">
        <v>9</v>
      </c>
      <c r="E180" s="33" t="s">
        <v>398</v>
      </c>
      <c r="F180" s="33" t="s">
        <v>399</v>
      </c>
      <c r="G180" s="36">
        <v>1</v>
      </c>
      <c r="H180" s="34">
        <f t="shared" si="4"/>
        <v>1</v>
      </c>
      <c r="I180" s="34" t="str">
        <f t="shared" si="5"/>
        <v/>
      </c>
      <c r="J180" s="34">
        <v>1</v>
      </c>
      <c r="K180" s="37">
        <v>0</v>
      </c>
    </row>
    <row r="181" spans="2:11" s="34" customFormat="1" ht="14.25" customHeight="1">
      <c r="B181" s="32">
        <v>210</v>
      </c>
      <c r="C181" s="33" t="s">
        <v>339</v>
      </c>
      <c r="D181" s="33" t="s">
        <v>85</v>
      </c>
      <c r="E181" s="33" t="s">
        <v>373</v>
      </c>
      <c r="F181" s="33" t="s">
        <v>374</v>
      </c>
      <c r="G181" s="36">
        <v>1</v>
      </c>
      <c r="H181" s="34">
        <f t="shared" si="4"/>
        <v>1</v>
      </c>
      <c r="I181" s="34" t="str">
        <f t="shared" si="5"/>
        <v/>
      </c>
      <c r="J181" s="34">
        <v>1</v>
      </c>
      <c r="K181" s="37">
        <v>0</v>
      </c>
    </row>
    <row r="182" spans="2:11" s="34" customFormat="1" ht="14.25" customHeight="1">
      <c r="B182" s="32">
        <v>211</v>
      </c>
      <c r="C182" s="33" t="s">
        <v>173</v>
      </c>
      <c r="D182" s="33" t="s">
        <v>1</v>
      </c>
      <c r="E182" s="33" t="s">
        <v>387</v>
      </c>
      <c r="F182" s="33" t="s">
        <v>388</v>
      </c>
      <c r="G182" s="36">
        <v>1</v>
      </c>
      <c r="H182" s="34">
        <f t="shared" si="4"/>
        <v>1</v>
      </c>
      <c r="I182" s="34" t="str">
        <f t="shared" si="5"/>
        <v/>
      </c>
      <c r="J182" s="34">
        <v>1</v>
      </c>
      <c r="K182" s="37">
        <v>0</v>
      </c>
    </row>
    <row r="183" spans="2:11" s="34" customFormat="1" ht="14.25" customHeight="1">
      <c r="B183" s="32">
        <v>98</v>
      </c>
      <c r="C183" s="33" t="s">
        <v>173</v>
      </c>
      <c r="D183" s="33" t="s">
        <v>1</v>
      </c>
      <c r="E183" s="33" t="s">
        <v>331</v>
      </c>
      <c r="F183" s="33" t="s">
        <v>393</v>
      </c>
      <c r="G183" s="36">
        <v>1</v>
      </c>
      <c r="H183" s="34">
        <f t="shared" si="4"/>
        <v>1</v>
      </c>
      <c r="I183" s="34" t="str">
        <f t="shared" si="5"/>
        <v/>
      </c>
      <c r="J183" s="34">
        <v>1</v>
      </c>
      <c r="K183" s="37">
        <v>0</v>
      </c>
    </row>
    <row r="184" spans="2:11" s="34" customFormat="1" ht="14.25" customHeight="1">
      <c r="B184" s="32">
        <v>99</v>
      </c>
      <c r="C184" s="33" t="s">
        <v>173</v>
      </c>
      <c r="D184" s="33" t="s">
        <v>1</v>
      </c>
      <c r="E184" s="33" t="s">
        <v>387</v>
      </c>
      <c r="F184" s="33" t="s">
        <v>389</v>
      </c>
      <c r="G184" s="36">
        <v>1</v>
      </c>
      <c r="H184" s="34">
        <f t="shared" si="4"/>
        <v>1</v>
      </c>
      <c r="I184" s="34" t="str">
        <f t="shared" si="5"/>
        <v/>
      </c>
      <c r="J184" s="34">
        <v>1</v>
      </c>
      <c r="K184" s="37">
        <v>0</v>
      </c>
    </row>
    <row r="185" spans="2:11" s="34" customFormat="1" ht="14.25" customHeight="1">
      <c r="B185" s="32">
        <v>212</v>
      </c>
      <c r="C185" s="33" t="s">
        <v>173</v>
      </c>
      <c r="D185" s="33" t="s">
        <v>1</v>
      </c>
      <c r="E185" s="33" t="s">
        <v>331</v>
      </c>
      <c r="F185" s="33" t="s">
        <v>392</v>
      </c>
      <c r="G185" s="36">
        <v>1</v>
      </c>
      <c r="H185" s="34">
        <f t="shared" si="4"/>
        <v>1</v>
      </c>
      <c r="I185" s="34" t="str">
        <f t="shared" si="5"/>
        <v/>
      </c>
      <c r="J185" s="34">
        <v>1</v>
      </c>
      <c r="K185" s="37">
        <v>0</v>
      </c>
    </row>
    <row r="186" spans="2:11" s="34" customFormat="1" ht="14.25" customHeight="1">
      <c r="B186" s="32">
        <v>213</v>
      </c>
      <c r="C186" s="33" t="s">
        <v>187</v>
      </c>
      <c r="D186" s="33" t="s">
        <v>16</v>
      </c>
      <c r="E186" s="33" t="s">
        <v>406</v>
      </c>
      <c r="F186" s="33" t="s">
        <v>407</v>
      </c>
      <c r="G186" s="36">
        <v>1</v>
      </c>
      <c r="H186" s="34">
        <f t="shared" si="4"/>
        <v>1</v>
      </c>
      <c r="I186" s="34" t="str">
        <f t="shared" si="5"/>
        <v/>
      </c>
      <c r="J186" s="34">
        <v>1</v>
      </c>
      <c r="K186" s="37">
        <v>0</v>
      </c>
    </row>
    <row r="187" spans="2:11" s="34" customFormat="1" ht="14.25" customHeight="1">
      <c r="B187" s="32">
        <v>100</v>
      </c>
      <c r="C187" s="33" t="s">
        <v>182</v>
      </c>
      <c r="D187" s="33" t="s">
        <v>162</v>
      </c>
      <c r="E187" s="33" t="s">
        <v>409</v>
      </c>
      <c r="F187" s="33" t="s">
        <v>162</v>
      </c>
      <c r="G187" s="36">
        <v>1</v>
      </c>
      <c r="H187" s="34">
        <f t="shared" si="4"/>
        <v>1</v>
      </c>
      <c r="I187" s="34" t="str">
        <f t="shared" si="5"/>
        <v/>
      </c>
      <c r="J187" s="34">
        <v>1</v>
      </c>
      <c r="K187" s="37">
        <v>0</v>
      </c>
    </row>
    <row r="188" spans="2:11" s="34" customFormat="1" ht="14.25" customHeight="1">
      <c r="B188" s="32">
        <v>214</v>
      </c>
      <c r="C188" s="33" t="s">
        <v>178</v>
      </c>
      <c r="D188" s="33" t="s">
        <v>20</v>
      </c>
      <c r="E188" s="33" t="s">
        <v>410</v>
      </c>
      <c r="F188" s="33" t="s">
        <v>20</v>
      </c>
      <c r="G188" s="36">
        <v>1</v>
      </c>
      <c r="H188" s="34">
        <f t="shared" si="4"/>
        <v>1</v>
      </c>
      <c r="I188" s="34" t="str">
        <f t="shared" si="5"/>
        <v/>
      </c>
      <c r="J188" s="34">
        <v>1</v>
      </c>
      <c r="K188" s="37">
        <v>0</v>
      </c>
    </row>
    <row r="189" spans="2:11" s="34" customFormat="1" ht="14.25" customHeight="1">
      <c r="B189" s="32">
        <v>215</v>
      </c>
      <c r="C189" s="33" t="s">
        <v>173</v>
      </c>
      <c r="D189" s="33" t="s">
        <v>23</v>
      </c>
      <c r="E189" s="33" t="s">
        <v>412</v>
      </c>
      <c r="F189" s="33" t="s">
        <v>413</v>
      </c>
      <c r="G189" s="36">
        <v>1</v>
      </c>
      <c r="H189" s="34">
        <f t="shared" si="4"/>
        <v>1</v>
      </c>
      <c r="I189" s="34" t="str">
        <f t="shared" si="5"/>
        <v/>
      </c>
      <c r="J189" s="34">
        <v>1</v>
      </c>
      <c r="K189" s="37">
        <v>0</v>
      </c>
    </row>
    <row r="190" spans="2:11" s="34" customFormat="1" ht="14.25" customHeight="1">
      <c r="B190" s="32">
        <v>216</v>
      </c>
      <c r="C190" s="33" t="s">
        <v>182</v>
      </c>
      <c r="D190" s="33" t="s">
        <v>32</v>
      </c>
      <c r="E190" s="33" t="s">
        <v>229</v>
      </c>
      <c r="F190" s="33" t="s">
        <v>421</v>
      </c>
      <c r="G190" s="36">
        <v>1</v>
      </c>
      <c r="H190" s="34">
        <f t="shared" si="4"/>
        <v>1</v>
      </c>
      <c r="I190" s="34" t="str">
        <f t="shared" si="5"/>
        <v/>
      </c>
      <c r="J190" s="34">
        <v>1</v>
      </c>
      <c r="K190" s="37">
        <v>0</v>
      </c>
    </row>
    <row r="191" spans="2:11" s="34" customFormat="1" ht="14.25" customHeight="1">
      <c r="B191" s="32">
        <v>217</v>
      </c>
      <c r="C191" s="33" t="s">
        <v>182</v>
      </c>
      <c r="D191" s="33" t="s">
        <v>32</v>
      </c>
      <c r="E191" s="33" t="s">
        <v>185</v>
      </c>
      <c r="F191" s="33" t="s">
        <v>422</v>
      </c>
      <c r="G191" s="36">
        <v>1</v>
      </c>
      <c r="H191" s="34">
        <f t="shared" si="4"/>
        <v>1</v>
      </c>
      <c r="I191" s="34" t="str">
        <f t="shared" si="5"/>
        <v/>
      </c>
      <c r="J191" s="34">
        <v>1</v>
      </c>
      <c r="K191" s="37">
        <v>0</v>
      </c>
    </row>
    <row r="192" spans="2:11" s="34" customFormat="1" ht="14.25" customHeight="1">
      <c r="B192" s="32">
        <v>101</v>
      </c>
      <c r="C192" s="33" t="s">
        <v>182</v>
      </c>
      <c r="D192" s="33" t="s">
        <v>32</v>
      </c>
      <c r="E192" s="33" t="s">
        <v>185</v>
      </c>
      <c r="F192" s="33" t="s">
        <v>424</v>
      </c>
      <c r="G192" s="36">
        <v>1</v>
      </c>
      <c r="H192" s="34">
        <f t="shared" si="4"/>
        <v>1</v>
      </c>
      <c r="I192" s="34" t="str">
        <f t="shared" si="5"/>
        <v/>
      </c>
      <c r="J192" s="34">
        <v>1</v>
      </c>
      <c r="K192" s="37">
        <v>0</v>
      </c>
    </row>
    <row r="193" spans="2:11" s="34" customFormat="1" ht="14.25" customHeight="1">
      <c r="B193" s="32">
        <v>102</v>
      </c>
      <c r="C193" s="33" t="s">
        <v>182</v>
      </c>
      <c r="D193" s="33" t="s">
        <v>32</v>
      </c>
      <c r="E193" s="33" t="s">
        <v>185</v>
      </c>
      <c r="F193" s="33" t="s">
        <v>423</v>
      </c>
      <c r="G193" s="36">
        <v>1</v>
      </c>
      <c r="H193" s="34">
        <f t="shared" si="4"/>
        <v>1</v>
      </c>
      <c r="I193" s="34" t="str">
        <f t="shared" si="5"/>
        <v/>
      </c>
      <c r="J193" s="34">
        <v>1</v>
      </c>
      <c r="K193" s="37">
        <v>0</v>
      </c>
    </row>
    <row r="194" spans="2:11" s="34" customFormat="1" ht="14.25" customHeight="1">
      <c r="B194" s="32">
        <v>103</v>
      </c>
      <c r="C194" s="33" t="s">
        <v>182</v>
      </c>
      <c r="D194" s="33" t="s">
        <v>32</v>
      </c>
      <c r="E194" s="33" t="s">
        <v>225</v>
      </c>
      <c r="F194" s="33" t="s">
        <v>531</v>
      </c>
      <c r="G194" s="36">
        <v>1</v>
      </c>
      <c r="H194" s="34">
        <f t="shared" si="4"/>
        <v>1</v>
      </c>
      <c r="I194" s="34" t="str">
        <f t="shared" si="5"/>
        <v/>
      </c>
      <c r="J194" s="34">
        <v>1</v>
      </c>
      <c r="K194" s="37">
        <v>0</v>
      </c>
    </row>
    <row r="195" spans="2:11" s="34" customFormat="1" ht="14.25" customHeight="1">
      <c r="B195" s="32">
        <v>104</v>
      </c>
      <c r="C195" s="33" t="s">
        <v>173</v>
      </c>
      <c r="D195" s="33" t="s">
        <v>33</v>
      </c>
      <c r="E195" s="33" t="s">
        <v>238</v>
      </c>
      <c r="F195" s="33" t="s">
        <v>426</v>
      </c>
      <c r="G195" s="36">
        <v>1</v>
      </c>
      <c r="H195" s="34">
        <f t="shared" si="4"/>
        <v>1</v>
      </c>
      <c r="I195" s="34" t="str">
        <f t="shared" si="5"/>
        <v/>
      </c>
      <c r="J195" s="34">
        <v>1</v>
      </c>
      <c r="K195" s="37">
        <v>0</v>
      </c>
    </row>
    <row r="196" spans="2:11" s="34" customFormat="1" ht="14.25" customHeight="1">
      <c r="B196" s="32">
        <v>105</v>
      </c>
      <c r="C196" s="33" t="s">
        <v>178</v>
      </c>
      <c r="D196" s="33" t="s">
        <v>38</v>
      </c>
      <c r="E196" s="33" t="s">
        <v>532</v>
      </c>
      <c r="F196" s="33" t="s">
        <v>677</v>
      </c>
      <c r="G196" s="36">
        <v>1</v>
      </c>
      <c r="H196" s="34">
        <f t="shared" si="4"/>
        <v>1</v>
      </c>
      <c r="I196" s="34" t="str">
        <f t="shared" si="5"/>
        <v/>
      </c>
      <c r="J196" s="34">
        <v>1</v>
      </c>
      <c r="K196" s="37">
        <v>0</v>
      </c>
    </row>
    <row r="197" spans="2:11" s="34" customFormat="1" ht="14.25" customHeight="1">
      <c r="B197" s="32">
        <v>218</v>
      </c>
      <c r="C197" s="33" t="s">
        <v>219</v>
      </c>
      <c r="D197" s="33" t="s">
        <v>42</v>
      </c>
      <c r="E197" s="33" t="s">
        <v>285</v>
      </c>
      <c r="F197" s="33" t="s">
        <v>442</v>
      </c>
      <c r="G197" s="36">
        <v>1</v>
      </c>
      <c r="H197" s="34">
        <f t="shared" si="4"/>
        <v>1</v>
      </c>
      <c r="I197" s="34" t="str">
        <f t="shared" si="5"/>
        <v/>
      </c>
      <c r="J197" s="34">
        <v>1</v>
      </c>
      <c r="K197" s="37">
        <v>0</v>
      </c>
    </row>
    <row r="198" spans="2:11" s="34" customFormat="1" ht="14.25" customHeight="1">
      <c r="B198" s="32">
        <v>219</v>
      </c>
      <c r="C198" s="33" t="s">
        <v>205</v>
      </c>
      <c r="D198" s="33" t="s">
        <v>43</v>
      </c>
      <c r="E198" s="33" t="s">
        <v>216</v>
      </c>
      <c r="F198" s="33" t="s">
        <v>224</v>
      </c>
      <c r="G198" s="36">
        <v>1</v>
      </c>
      <c r="H198" s="34">
        <f t="shared" si="4"/>
        <v>1</v>
      </c>
      <c r="I198" s="34" t="str">
        <f t="shared" si="5"/>
        <v/>
      </c>
      <c r="J198" s="34">
        <v>1</v>
      </c>
      <c r="K198" s="37">
        <v>0</v>
      </c>
    </row>
    <row r="199" spans="2:11" s="34" customFormat="1" ht="14.25" customHeight="1">
      <c r="B199" s="32">
        <v>220</v>
      </c>
      <c r="C199" s="33" t="s">
        <v>205</v>
      </c>
      <c r="D199" s="33" t="s">
        <v>51</v>
      </c>
      <c r="E199" s="33" t="s">
        <v>447</v>
      </c>
      <c r="F199" s="33" t="s">
        <v>186</v>
      </c>
      <c r="G199" s="36">
        <v>1</v>
      </c>
      <c r="H199" s="34">
        <f t="shared" si="4"/>
        <v>1</v>
      </c>
      <c r="I199" s="34" t="str">
        <f t="shared" si="5"/>
        <v/>
      </c>
      <c r="J199" s="34">
        <v>1</v>
      </c>
      <c r="K199" s="37">
        <v>0</v>
      </c>
    </row>
    <row r="200" spans="2:11" s="34" customFormat="1" ht="14.25" customHeight="1">
      <c r="B200" s="32">
        <v>221</v>
      </c>
      <c r="C200" s="33" t="s">
        <v>219</v>
      </c>
      <c r="D200" s="33" t="s">
        <v>3</v>
      </c>
      <c r="E200" s="33" t="s">
        <v>307</v>
      </c>
      <c r="F200" s="33" t="s">
        <v>184</v>
      </c>
      <c r="G200" s="36">
        <v>1</v>
      </c>
      <c r="H200" s="34">
        <f t="shared" ref="H200:H263" si="6">IF(G200=1,1,"")</f>
        <v>1</v>
      </c>
      <c r="I200" s="34" t="str">
        <f t="shared" si="5"/>
        <v/>
      </c>
      <c r="J200" s="34">
        <v>1</v>
      </c>
      <c r="K200" s="37">
        <v>0</v>
      </c>
    </row>
    <row r="201" spans="2:11" s="34" customFormat="1" ht="14.25" customHeight="1">
      <c r="B201" s="32">
        <v>222</v>
      </c>
      <c r="C201" s="33" t="s">
        <v>219</v>
      </c>
      <c r="D201" s="33" t="s">
        <v>3</v>
      </c>
      <c r="E201" s="33" t="s">
        <v>307</v>
      </c>
      <c r="F201" s="33" t="s">
        <v>452</v>
      </c>
      <c r="G201" s="36">
        <v>1</v>
      </c>
      <c r="H201" s="34">
        <f t="shared" si="6"/>
        <v>1</v>
      </c>
      <c r="I201" s="34" t="str">
        <f t="shared" si="5"/>
        <v/>
      </c>
      <c r="J201" s="34">
        <v>1</v>
      </c>
      <c r="K201" s="37">
        <v>0</v>
      </c>
    </row>
    <row r="202" spans="2:11" s="34" customFormat="1" ht="14.25" customHeight="1">
      <c r="B202" s="32">
        <v>106</v>
      </c>
      <c r="C202" s="33" t="s">
        <v>182</v>
      </c>
      <c r="D202" s="33" t="s">
        <v>57</v>
      </c>
      <c r="E202" s="33" t="s">
        <v>458</v>
      </c>
      <c r="F202" s="33" t="s">
        <v>189</v>
      </c>
      <c r="G202" s="36">
        <v>1</v>
      </c>
      <c r="H202" s="34">
        <f t="shared" si="6"/>
        <v>1</v>
      </c>
      <c r="I202" s="34" t="str">
        <f t="shared" si="5"/>
        <v/>
      </c>
      <c r="J202" s="34">
        <v>1</v>
      </c>
      <c r="K202" s="37">
        <v>0</v>
      </c>
    </row>
    <row r="203" spans="2:11" s="34" customFormat="1" ht="14.25" customHeight="1">
      <c r="B203" s="32">
        <v>107</v>
      </c>
      <c r="C203" s="33" t="s">
        <v>178</v>
      </c>
      <c r="D203" s="33" t="s">
        <v>63</v>
      </c>
      <c r="E203" s="33" t="s">
        <v>470</v>
      </c>
      <c r="F203" s="33" t="s">
        <v>471</v>
      </c>
      <c r="G203" s="36">
        <v>1</v>
      </c>
      <c r="H203" s="34">
        <f t="shared" si="6"/>
        <v>1</v>
      </c>
      <c r="I203" s="34" t="str">
        <f t="shared" ref="I203:I266" si="7">IF(G203=2,2,"")</f>
        <v/>
      </c>
      <c r="J203" s="34">
        <v>1</v>
      </c>
      <c r="K203" s="37">
        <v>0</v>
      </c>
    </row>
    <row r="204" spans="2:11" s="34" customFormat="1" ht="14.25" customHeight="1">
      <c r="B204" s="32">
        <v>108</v>
      </c>
      <c r="C204" s="33" t="s">
        <v>178</v>
      </c>
      <c r="D204" s="33" t="s">
        <v>63</v>
      </c>
      <c r="E204" s="33" t="s">
        <v>466</v>
      </c>
      <c r="F204" s="33" t="s">
        <v>467</v>
      </c>
      <c r="G204" s="36">
        <v>1</v>
      </c>
      <c r="H204" s="34">
        <f t="shared" si="6"/>
        <v>1</v>
      </c>
      <c r="I204" s="34" t="str">
        <f t="shared" si="7"/>
        <v/>
      </c>
      <c r="J204" s="34">
        <v>1</v>
      </c>
      <c r="K204" s="37">
        <v>0</v>
      </c>
    </row>
    <row r="205" spans="2:11" s="34" customFormat="1" ht="14.25" customHeight="1">
      <c r="B205" s="32">
        <v>109</v>
      </c>
      <c r="C205" s="33" t="s">
        <v>215</v>
      </c>
      <c r="D205" s="33" t="s">
        <v>64</v>
      </c>
      <c r="E205" s="33" t="s">
        <v>478</v>
      </c>
      <c r="F205" s="33" t="s">
        <v>304</v>
      </c>
      <c r="G205" s="36">
        <v>1</v>
      </c>
      <c r="H205" s="34">
        <f t="shared" si="6"/>
        <v>1</v>
      </c>
      <c r="I205" s="34" t="str">
        <f t="shared" si="7"/>
        <v/>
      </c>
      <c r="J205" s="34">
        <v>1</v>
      </c>
      <c r="K205" s="37">
        <v>0</v>
      </c>
    </row>
    <row r="206" spans="2:11" s="34" customFormat="1" ht="14.25" customHeight="1">
      <c r="B206" s="32">
        <v>110</v>
      </c>
      <c r="C206" s="33" t="s">
        <v>173</v>
      </c>
      <c r="D206" s="33" t="s">
        <v>67</v>
      </c>
      <c r="E206" s="33" t="s">
        <v>327</v>
      </c>
      <c r="F206" s="33" t="s">
        <v>304</v>
      </c>
      <c r="G206" s="36">
        <v>1</v>
      </c>
      <c r="H206" s="34">
        <f t="shared" si="6"/>
        <v>1</v>
      </c>
      <c r="I206" s="34" t="str">
        <f t="shared" si="7"/>
        <v/>
      </c>
      <c r="J206" s="34">
        <v>1</v>
      </c>
      <c r="K206" s="37">
        <v>0</v>
      </c>
    </row>
    <row r="207" spans="2:11" s="34" customFormat="1" ht="14.25" customHeight="1">
      <c r="B207" s="32">
        <v>111</v>
      </c>
      <c r="C207" s="33" t="s">
        <v>173</v>
      </c>
      <c r="D207" s="33" t="s">
        <v>67</v>
      </c>
      <c r="E207" s="33" t="s">
        <v>327</v>
      </c>
      <c r="F207" s="33" t="s">
        <v>482</v>
      </c>
      <c r="G207" s="36">
        <v>1</v>
      </c>
      <c r="H207" s="34">
        <f t="shared" si="6"/>
        <v>1</v>
      </c>
      <c r="I207" s="34" t="str">
        <f t="shared" si="7"/>
        <v/>
      </c>
      <c r="J207" s="34">
        <v>1</v>
      </c>
      <c r="K207" s="37">
        <v>0</v>
      </c>
    </row>
    <row r="208" spans="2:11" s="34" customFormat="1" ht="14.25" customHeight="1">
      <c r="B208" s="32">
        <v>112</v>
      </c>
      <c r="C208" s="33" t="s">
        <v>173</v>
      </c>
      <c r="D208" s="33" t="s">
        <v>67</v>
      </c>
      <c r="E208" s="33" t="s">
        <v>327</v>
      </c>
      <c r="F208" s="33" t="s">
        <v>415</v>
      </c>
      <c r="G208" s="36">
        <v>1</v>
      </c>
      <c r="H208" s="34">
        <f t="shared" si="6"/>
        <v>1</v>
      </c>
      <c r="I208" s="34" t="str">
        <f t="shared" si="7"/>
        <v/>
      </c>
      <c r="J208" s="34">
        <v>1</v>
      </c>
      <c r="K208" s="37">
        <v>0</v>
      </c>
    </row>
    <row r="209" spans="2:11" s="34" customFormat="1" ht="14.25" customHeight="1">
      <c r="B209" s="32">
        <v>113</v>
      </c>
      <c r="C209" s="33" t="s">
        <v>339</v>
      </c>
      <c r="D209" s="33" t="s">
        <v>73</v>
      </c>
      <c r="E209" s="33" t="s">
        <v>340</v>
      </c>
      <c r="F209" s="33" t="s">
        <v>344</v>
      </c>
      <c r="G209" s="36">
        <v>1</v>
      </c>
      <c r="H209" s="34">
        <f t="shared" si="6"/>
        <v>1</v>
      </c>
      <c r="I209" s="34" t="str">
        <f t="shared" si="7"/>
        <v/>
      </c>
      <c r="J209" s="34">
        <v>1</v>
      </c>
      <c r="K209" s="37">
        <v>0</v>
      </c>
    </row>
    <row r="210" spans="2:11" s="34" customFormat="1" ht="14.25" customHeight="1">
      <c r="B210" s="32">
        <v>114</v>
      </c>
      <c r="C210" s="33" t="s">
        <v>178</v>
      </c>
      <c r="D210" s="33" t="s">
        <v>165</v>
      </c>
      <c r="E210" s="33" t="s">
        <v>367</v>
      </c>
      <c r="F210" s="33" t="s">
        <v>368</v>
      </c>
      <c r="G210" s="36">
        <v>1</v>
      </c>
      <c r="H210" s="34">
        <f t="shared" si="6"/>
        <v>1</v>
      </c>
      <c r="I210" s="34" t="str">
        <f t="shared" si="7"/>
        <v/>
      </c>
      <c r="J210" s="34">
        <v>1</v>
      </c>
      <c r="K210" s="37">
        <v>0</v>
      </c>
    </row>
    <row r="211" spans="2:11" s="34" customFormat="1" ht="14.25" customHeight="1">
      <c r="B211" s="32">
        <v>115</v>
      </c>
      <c r="C211" s="33" t="s">
        <v>178</v>
      </c>
      <c r="D211" s="33" t="s">
        <v>88</v>
      </c>
      <c r="E211" s="33" t="s">
        <v>502</v>
      </c>
      <c r="F211" s="33" t="s">
        <v>504</v>
      </c>
      <c r="G211" s="36">
        <v>1</v>
      </c>
      <c r="H211" s="34">
        <f t="shared" si="6"/>
        <v>1</v>
      </c>
      <c r="I211" s="34" t="str">
        <f t="shared" si="7"/>
        <v/>
      </c>
      <c r="J211" s="34">
        <v>1</v>
      </c>
      <c r="K211" s="37">
        <v>0</v>
      </c>
    </row>
    <row r="212" spans="2:11" s="34" customFormat="1" ht="14.25" customHeight="1">
      <c r="B212" s="32">
        <v>223</v>
      </c>
      <c r="C212" s="33" t="s">
        <v>178</v>
      </c>
      <c r="D212" s="33" t="s">
        <v>88</v>
      </c>
      <c r="E212" s="33" t="s">
        <v>507</v>
      </c>
      <c r="F212" s="33" t="s">
        <v>518</v>
      </c>
      <c r="G212" s="36">
        <v>1</v>
      </c>
      <c r="H212" s="34">
        <f t="shared" si="6"/>
        <v>1</v>
      </c>
      <c r="I212" s="34" t="str">
        <f t="shared" si="7"/>
        <v/>
      </c>
      <c r="J212" s="34">
        <v>1</v>
      </c>
      <c r="K212" s="37">
        <v>0</v>
      </c>
    </row>
    <row r="213" spans="2:11" s="34" customFormat="1" ht="14.25" customHeight="1">
      <c r="B213" s="32">
        <v>116</v>
      </c>
      <c r="C213" s="33" t="s">
        <v>178</v>
      </c>
      <c r="D213" s="33" t="s">
        <v>88</v>
      </c>
      <c r="E213" s="33" t="s">
        <v>512</v>
      </c>
      <c r="F213" s="33" t="s">
        <v>520</v>
      </c>
      <c r="G213" s="36">
        <v>1</v>
      </c>
      <c r="H213" s="34">
        <f t="shared" si="6"/>
        <v>1</v>
      </c>
      <c r="I213" s="34" t="str">
        <f t="shared" si="7"/>
        <v/>
      </c>
      <c r="J213" s="34">
        <v>1</v>
      </c>
      <c r="K213" s="37">
        <v>0</v>
      </c>
    </row>
    <row r="214" spans="2:11" s="34" customFormat="1" ht="14.25" customHeight="1">
      <c r="B214" s="32">
        <v>224</v>
      </c>
      <c r="C214" s="33" t="s">
        <v>178</v>
      </c>
      <c r="D214" s="33" t="s">
        <v>88</v>
      </c>
      <c r="E214" s="33" t="s">
        <v>507</v>
      </c>
      <c r="F214" s="33" t="s">
        <v>510</v>
      </c>
      <c r="G214" s="36">
        <v>1</v>
      </c>
      <c r="H214" s="34">
        <f t="shared" si="6"/>
        <v>1</v>
      </c>
      <c r="I214" s="34" t="str">
        <f t="shared" si="7"/>
        <v/>
      </c>
      <c r="J214" s="34">
        <v>1</v>
      </c>
      <c r="K214" s="37">
        <v>0</v>
      </c>
    </row>
    <row r="215" spans="2:11" s="34" customFormat="1" ht="14.25" customHeight="1">
      <c r="B215" s="32">
        <v>117</v>
      </c>
      <c r="C215" s="33" t="s">
        <v>178</v>
      </c>
      <c r="D215" s="33" t="s">
        <v>88</v>
      </c>
      <c r="E215" s="33" t="s">
        <v>512</v>
      </c>
      <c r="F215" s="33" t="s">
        <v>514</v>
      </c>
      <c r="G215" s="36">
        <v>1</v>
      </c>
      <c r="H215" s="34">
        <f t="shared" si="6"/>
        <v>1</v>
      </c>
      <c r="I215" s="34" t="str">
        <f t="shared" si="7"/>
        <v/>
      </c>
      <c r="J215" s="34">
        <v>1</v>
      </c>
      <c r="K215" s="37">
        <v>0</v>
      </c>
    </row>
    <row r="216" spans="2:11" s="34" customFormat="1" ht="14.25" customHeight="1">
      <c r="B216" s="32">
        <v>118</v>
      </c>
      <c r="C216" s="33" t="s">
        <v>178</v>
      </c>
      <c r="D216" s="33" t="s">
        <v>88</v>
      </c>
      <c r="E216" s="33" t="s">
        <v>512</v>
      </c>
      <c r="F216" s="33" t="s">
        <v>515</v>
      </c>
      <c r="G216" s="36">
        <v>1</v>
      </c>
      <c r="H216" s="34">
        <f t="shared" si="6"/>
        <v>1</v>
      </c>
      <c r="I216" s="34" t="str">
        <f t="shared" si="7"/>
        <v/>
      </c>
      <c r="J216" s="34">
        <v>1</v>
      </c>
      <c r="K216" s="37">
        <v>0</v>
      </c>
    </row>
    <row r="217" spans="2:11" s="34" customFormat="1" ht="14.25" customHeight="1">
      <c r="B217" s="32">
        <v>119</v>
      </c>
      <c r="C217" s="33" t="s">
        <v>178</v>
      </c>
      <c r="D217" s="33" t="s">
        <v>88</v>
      </c>
      <c r="E217" s="33" t="s">
        <v>512</v>
      </c>
      <c r="F217" s="33" t="s">
        <v>513</v>
      </c>
      <c r="G217" s="36">
        <v>1</v>
      </c>
      <c r="H217" s="34">
        <f t="shared" si="6"/>
        <v>1</v>
      </c>
      <c r="I217" s="34" t="str">
        <f t="shared" si="7"/>
        <v/>
      </c>
      <c r="J217" s="34">
        <v>1</v>
      </c>
      <c r="K217" s="37">
        <v>0</v>
      </c>
    </row>
    <row r="218" spans="2:11" s="34" customFormat="1" ht="14.25" customHeight="1">
      <c r="B218" s="32">
        <v>120</v>
      </c>
      <c r="C218" s="33" t="s">
        <v>178</v>
      </c>
      <c r="D218" s="33" t="s">
        <v>88</v>
      </c>
      <c r="E218" s="33" t="s">
        <v>507</v>
      </c>
      <c r="F218" s="33" t="s">
        <v>517</v>
      </c>
      <c r="G218" s="36">
        <v>1</v>
      </c>
      <c r="H218" s="34">
        <f t="shared" si="6"/>
        <v>1</v>
      </c>
      <c r="I218" s="34" t="str">
        <f t="shared" si="7"/>
        <v/>
      </c>
      <c r="J218" s="34">
        <v>1</v>
      </c>
      <c r="K218" s="37">
        <v>0</v>
      </c>
    </row>
    <row r="219" spans="2:11" s="34" customFormat="1" ht="14.25" customHeight="1">
      <c r="B219" s="32">
        <v>225</v>
      </c>
      <c r="C219" s="33" t="s">
        <v>178</v>
      </c>
      <c r="D219" s="33" t="s">
        <v>88</v>
      </c>
      <c r="E219" s="33" t="s">
        <v>507</v>
      </c>
      <c r="F219" s="33" t="s">
        <v>516</v>
      </c>
      <c r="G219" s="36">
        <v>1</v>
      </c>
      <c r="H219" s="34">
        <f t="shared" si="6"/>
        <v>1</v>
      </c>
      <c r="I219" s="34" t="str">
        <f t="shared" si="7"/>
        <v/>
      </c>
      <c r="J219" s="34">
        <v>1</v>
      </c>
      <c r="K219" s="37">
        <v>0</v>
      </c>
    </row>
    <row r="220" spans="2:11" s="34" customFormat="1" ht="14.25" customHeight="1">
      <c r="B220" s="32">
        <v>226</v>
      </c>
      <c r="C220" s="33" t="s">
        <v>178</v>
      </c>
      <c r="D220" s="33" t="s">
        <v>88</v>
      </c>
      <c r="E220" s="33" t="s">
        <v>507</v>
      </c>
      <c r="F220" s="33" t="s">
        <v>508</v>
      </c>
      <c r="G220" s="36">
        <v>1</v>
      </c>
      <c r="H220" s="34">
        <f t="shared" si="6"/>
        <v>1</v>
      </c>
      <c r="I220" s="34" t="str">
        <f t="shared" si="7"/>
        <v/>
      </c>
      <c r="J220" s="34">
        <v>1</v>
      </c>
      <c r="K220" s="37">
        <v>0</v>
      </c>
    </row>
    <row r="221" spans="2:11" s="34" customFormat="1" ht="14.25" customHeight="1">
      <c r="B221" s="32">
        <v>227</v>
      </c>
      <c r="C221" s="33" t="s">
        <v>178</v>
      </c>
      <c r="D221" s="33" t="s">
        <v>88</v>
      </c>
      <c r="E221" s="33" t="s">
        <v>505</v>
      </c>
      <c r="F221" s="33" t="s">
        <v>509</v>
      </c>
      <c r="G221" s="36">
        <v>1</v>
      </c>
      <c r="H221" s="34">
        <f t="shared" si="6"/>
        <v>1</v>
      </c>
      <c r="I221" s="34" t="str">
        <f t="shared" si="7"/>
        <v/>
      </c>
      <c r="J221" s="34">
        <v>1</v>
      </c>
      <c r="K221" s="37">
        <v>0</v>
      </c>
    </row>
    <row r="222" spans="2:11" s="34" customFormat="1" ht="14.25" customHeight="1">
      <c r="B222" s="32">
        <v>121</v>
      </c>
      <c r="C222" s="33" t="s">
        <v>178</v>
      </c>
      <c r="D222" s="33" t="s">
        <v>88</v>
      </c>
      <c r="E222" s="33" t="s">
        <v>502</v>
      </c>
      <c r="F222" s="33" t="s">
        <v>503</v>
      </c>
      <c r="G222" s="36">
        <v>1</v>
      </c>
      <c r="H222" s="34">
        <f t="shared" si="6"/>
        <v>1</v>
      </c>
      <c r="I222" s="34" t="str">
        <f t="shared" si="7"/>
        <v/>
      </c>
      <c r="J222" s="34">
        <v>1</v>
      </c>
      <c r="K222" s="37">
        <v>0</v>
      </c>
    </row>
    <row r="223" spans="2:11" s="34" customFormat="1" ht="14.25" customHeight="1">
      <c r="B223" s="32">
        <v>122</v>
      </c>
      <c r="C223" s="33" t="s">
        <v>178</v>
      </c>
      <c r="D223" s="33" t="s">
        <v>88</v>
      </c>
      <c r="E223" s="33" t="s">
        <v>502</v>
      </c>
      <c r="F223" s="33" t="s">
        <v>511</v>
      </c>
      <c r="G223" s="36">
        <v>1</v>
      </c>
      <c r="H223" s="34">
        <f t="shared" si="6"/>
        <v>1</v>
      </c>
      <c r="I223" s="34" t="str">
        <f t="shared" si="7"/>
        <v/>
      </c>
      <c r="J223" s="34">
        <v>1</v>
      </c>
      <c r="K223" s="37">
        <v>0</v>
      </c>
    </row>
    <row r="224" spans="2:11" s="34" customFormat="1" ht="14.25" customHeight="1">
      <c r="B224" s="32">
        <v>123</v>
      </c>
      <c r="C224" s="33" t="s">
        <v>178</v>
      </c>
      <c r="D224" s="33" t="s">
        <v>88</v>
      </c>
      <c r="E224" s="33" t="s">
        <v>502</v>
      </c>
      <c r="F224" s="33" t="s">
        <v>519</v>
      </c>
      <c r="G224" s="36">
        <v>1</v>
      </c>
      <c r="H224" s="34">
        <f t="shared" si="6"/>
        <v>1</v>
      </c>
      <c r="I224" s="34" t="str">
        <f t="shared" si="7"/>
        <v/>
      </c>
      <c r="J224" s="34">
        <v>1</v>
      </c>
      <c r="K224" s="37">
        <v>0</v>
      </c>
    </row>
    <row r="225" spans="2:11" s="34" customFormat="1" ht="14.25" customHeight="1">
      <c r="B225" s="32">
        <v>124</v>
      </c>
      <c r="C225" s="33" t="s">
        <v>178</v>
      </c>
      <c r="D225" s="33" t="s">
        <v>88</v>
      </c>
      <c r="E225" s="33" t="s">
        <v>505</v>
      </c>
      <c r="F225" s="33" t="s">
        <v>506</v>
      </c>
      <c r="G225" s="36">
        <v>1</v>
      </c>
      <c r="H225" s="34">
        <f t="shared" si="6"/>
        <v>1</v>
      </c>
      <c r="I225" s="34" t="str">
        <f t="shared" si="7"/>
        <v/>
      </c>
      <c r="J225" s="34">
        <v>1</v>
      </c>
      <c r="K225" s="37">
        <v>0</v>
      </c>
    </row>
    <row r="226" spans="2:11" s="34" customFormat="1" ht="14.25" customHeight="1">
      <c r="B226" s="32">
        <v>125</v>
      </c>
      <c r="C226" s="33" t="s">
        <v>173</v>
      </c>
      <c r="D226" s="33" t="s">
        <v>29</v>
      </c>
      <c r="E226" s="33" t="s">
        <v>417</v>
      </c>
      <c r="F226" s="33" t="s">
        <v>418</v>
      </c>
      <c r="G226" s="36">
        <v>1</v>
      </c>
      <c r="H226" s="34">
        <f t="shared" si="6"/>
        <v>1</v>
      </c>
      <c r="I226" s="34" t="str">
        <f t="shared" si="7"/>
        <v/>
      </c>
      <c r="J226" s="34">
        <v>1</v>
      </c>
      <c r="K226" s="37">
        <v>0</v>
      </c>
    </row>
    <row r="227" spans="2:11" s="34" customFormat="1" ht="14.25" customHeight="1">
      <c r="B227" s="32">
        <v>126</v>
      </c>
      <c r="C227" s="33" t="s">
        <v>178</v>
      </c>
      <c r="D227" s="33" t="s">
        <v>38</v>
      </c>
      <c r="E227" s="33" t="s">
        <v>427</v>
      </c>
      <c r="F227" s="33" t="s">
        <v>428</v>
      </c>
      <c r="G227" s="36">
        <v>1</v>
      </c>
      <c r="H227" s="34">
        <f t="shared" si="6"/>
        <v>1</v>
      </c>
      <c r="I227" s="34" t="str">
        <f t="shared" si="7"/>
        <v/>
      </c>
      <c r="J227" s="34">
        <v>1</v>
      </c>
      <c r="K227" s="37">
        <v>0</v>
      </c>
    </row>
    <row r="228" spans="2:11" s="34" customFormat="1" ht="14.25" customHeight="1">
      <c r="B228" s="32">
        <v>127</v>
      </c>
      <c r="C228" s="33" t="s">
        <v>173</v>
      </c>
      <c r="D228" s="33" t="s">
        <v>33</v>
      </c>
      <c r="E228" s="33" t="s">
        <v>238</v>
      </c>
      <c r="F228" s="33" t="s">
        <v>246</v>
      </c>
      <c r="G228" s="36">
        <v>1</v>
      </c>
      <c r="H228" s="34">
        <f t="shared" si="6"/>
        <v>1</v>
      </c>
      <c r="I228" s="34" t="str">
        <f t="shared" si="7"/>
        <v/>
      </c>
      <c r="J228" s="34">
        <v>1</v>
      </c>
      <c r="K228" s="37">
        <v>0</v>
      </c>
    </row>
    <row r="229" spans="2:11" s="34" customFormat="1" ht="14.25" customHeight="1">
      <c r="B229" s="32">
        <v>128</v>
      </c>
      <c r="C229" s="33" t="s">
        <v>178</v>
      </c>
      <c r="D229" s="33" t="s">
        <v>50</v>
      </c>
      <c r="E229" s="33" t="s">
        <v>301</v>
      </c>
      <c r="F229" s="33" t="s">
        <v>302</v>
      </c>
      <c r="G229" s="36">
        <v>1</v>
      </c>
      <c r="H229" s="34">
        <f t="shared" si="6"/>
        <v>1</v>
      </c>
      <c r="I229" s="34" t="str">
        <f t="shared" si="7"/>
        <v/>
      </c>
      <c r="J229" s="34">
        <v>1</v>
      </c>
      <c r="K229" s="37">
        <v>0</v>
      </c>
    </row>
    <row r="230" spans="2:11" s="34" customFormat="1" ht="14.25" customHeight="1">
      <c r="B230" s="32">
        <v>228</v>
      </c>
      <c r="C230" s="33" t="s">
        <v>215</v>
      </c>
      <c r="D230" s="33" t="s">
        <v>86</v>
      </c>
      <c r="E230" s="33" t="s">
        <v>377</v>
      </c>
      <c r="F230" s="33" t="s">
        <v>189</v>
      </c>
      <c r="G230" s="36">
        <v>1</v>
      </c>
      <c r="H230" s="34">
        <f t="shared" si="6"/>
        <v>1</v>
      </c>
      <c r="I230" s="34" t="str">
        <f t="shared" si="7"/>
        <v/>
      </c>
      <c r="J230" s="34">
        <v>1</v>
      </c>
      <c r="K230" s="37">
        <v>0</v>
      </c>
    </row>
    <row r="231" spans="2:11" s="34" customFormat="1" ht="14.25" customHeight="1">
      <c r="B231" s="32">
        <v>129</v>
      </c>
      <c r="C231" s="33" t="s">
        <v>205</v>
      </c>
      <c r="D231" s="33" t="s">
        <v>51</v>
      </c>
      <c r="E231" s="33" t="s">
        <v>447</v>
      </c>
      <c r="F231" s="33" t="s">
        <v>184</v>
      </c>
      <c r="G231" s="36">
        <v>1</v>
      </c>
      <c r="H231" s="34">
        <f t="shared" si="6"/>
        <v>1</v>
      </c>
      <c r="I231" s="34" t="str">
        <f t="shared" si="7"/>
        <v/>
      </c>
      <c r="J231" s="34">
        <v>1</v>
      </c>
      <c r="K231" s="37">
        <v>0</v>
      </c>
    </row>
    <row r="232" spans="2:11" s="34" customFormat="1" ht="14.25" customHeight="1">
      <c r="B232" s="32">
        <v>130</v>
      </c>
      <c r="C232" s="33" t="s">
        <v>182</v>
      </c>
      <c r="D232" s="33" t="s">
        <v>68</v>
      </c>
      <c r="E232" s="33" t="s">
        <v>483</v>
      </c>
      <c r="F232" s="33" t="s">
        <v>484</v>
      </c>
      <c r="G232" s="36">
        <v>1</v>
      </c>
      <c r="H232" s="34">
        <f t="shared" si="6"/>
        <v>1</v>
      </c>
      <c r="I232" s="34" t="str">
        <f t="shared" si="7"/>
        <v/>
      </c>
      <c r="J232" s="34">
        <v>1</v>
      </c>
      <c r="K232" s="37">
        <v>0</v>
      </c>
    </row>
    <row r="233" spans="2:11" s="34" customFormat="1" ht="14.25" customHeight="1">
      <c r="B233" s="32">
        <v>229</v>
      </c>
      <c r="C233" s="33" t="s">
        <v>178</v>
      </c>
      <c r="D233" s="33" t="s">
        <v>38</v>
      </c>
      <c r="E233" s="33" t="s">
        <v>437</v>
      </c>
      <c r="F233" s="33" t="s">
        <v>438</v>
      </c>
      <c r="G233" s="36">
        <v>1</v>
      </c>
      <c r="H233" s="34">
        <f t="shared" si="6"/>
        <v>1</v>
      </c>
      <c r="I233" s="34" t="str">
        <f t="shared" si="7"/>
        <v/>
      </c>
      <c r="J233" s="34">
        <v>1</v>
      </c>
      <c r="K233" s="37">
        <v>0</v>
      </c>
    </row>
    <row r="234" spans="2:11" s="34" customFormat="1" ht="14.25" customHeight="1">
      <c r="B234" s="32">
        <v>131</v>
      </c>
      <c r="C234" s="33" t="s">
        <v>173</v>
      </c>
      <c r="D234" s="33" t="s">
        <v>53</v>
      </c>
      <c r="E234" s="33" t="s">
        <v>450</v>
      </c>
      <c r="F234" s="33" t="s">
        <v>451</v>
      </c>
      <c r="G234" s="36">
        <v>1</v>
      </c>
      <c r="H234" s="34">
        <f t="shared" si="6"/>
        <v>1</v>
      </c>
      <c r="I234" s="34" t="str">
        <f t="shared" si="7"/>
        <v/>
      </c>
      <c r="J234" s="34">
        <v>1</v>
      </c>
      <c r="K234" s="37">
        <v>0</v>
      </c>
    </row>
    <row r="235" spans="2:11" s="34" customFormat="1" ht="14.25" customHeight="1">
      <c r="B235" s="32">
        <v>132</v>
      </c>
      <c r="C235" s="33" t="s">
        <v>173</v>
      </c>
      <c r="D235" s="33" t="s">
        <v>53</v>
      </c>
      <c r="E235" s="33" t="s">
        <v>448</v>
      </c>
      <c r="F235" s="33" t="s">
        <v>533</v>
      </c>
      <c r="G235" s="36">
        <v>1</v>
      </c>
      <c r="H235" s="34">
        <f t="shared" si="6"/>
        <v>1</v>
      </c>
      <c r="I235" s="34" t="str">
        <f t="shared" si="7"/>
        <v/>
      </c>
      <c r="J235" s="34">
        <v>1</v>
      </c>
      <c r="K235" s="37">
        <v>0</v>
      </c>
    </row>
    <row r="236" spans="2:11" s="34" customFormat="1" ht="14.25" customHeight="1">
      <c r="B236" s="32">
        <v>230</v>
      </c>
      <c r="C236" s="33" t="s">
        <v>182</v>
      </c>
      <c r="D236" s="33" t="s">
        <v>68</v>
      </c>
      <c r="E236" s="33" t="s">
        <v>483</v>
      </c>
      <c r="F236" s="33" t="s">
        <v>485</v>
      </c>
      <c r="G236" s="36">
        <v>1</v>
      </c>
      <c r="H236" s="34">
        <f t="shared" si="6"/>
        <v>1</v>
      </c>
      <c r="I236" s="34" t="str">
        <f t="shared" si="7"/>
        <v/>
      </c>
      <c r="J236" s="34">
        <v>1</v>
      </c>
      <c r="K236" s="37">
        <v>0</v>
      </c>
    </row>
    <row r="237" spans="2:11" s="34" customFormat="1" ht="53.25" customHeight="1">
      <c r="B237" s="32">
        <v>133</v>
      </c>
      <c r="C237" s="33" t="s">
        <v>173</v>
      </c>
      <c r="D237" s="33" t="s">
        <v>53</v>
      </c>
      <c r="E237" s="33" t="s">
        <v>448</v>
      </c>
      <c r="F237" s="33" t="s">
        <v>449</v>
      </c>
      <c r="G237" s="36">
        <v>1</v>
      </c>
      <c r="H237" s="34">
        <f t="shared" si="6"/>
        <v>1</v>
      </c>
      <c r="I237" s="34" t="str">
        <f t="shared" si="7"/>
        <v/>
      </c>
      <c r="J237" s="34">
        <v>1</v>
      </c>
      <c r="K237" s="37">
        <v>0</v>
      </c>
    </row>
    <row r="238" spans="2:11" s="34" customFormat="1" ht="14.25" customHeight="1">
      <c r="B238" s="32">
        <v>134</v>
      </c>
      <c r="C238" s="33" t="s">
        <v>178</v>
      </c>
      <c r="D238" s="33" t="s">
        <v>38</v>
      </c>
      <c r="E238" s="33" t="s">
        <v>431</v>
      </c>
      <c r="F238" s="33" t="s">
        <v>432</v>
      </c>
      <c r="G238" s="36">
        <v>1</v>
      </c>
      <c r="H238" s="34">
        <f t="shared" si="6"/>
        <v>1</v>
      </c>
      <c r="I238" s="34" t="str">
        <f t="shared" si="7"/>
        <v/>
      </c>
      <c r="J238" s="34">
        <v>1</v>
      </c>
      <c r="K238" s="37">
        <v>0</v>
      </c>
    </row>
    <row r="239" spans="2:11" s="34" customFormat="1" ht="14.25" customHeight="1">
      <c r="B239" s="32">
        <v>135</v>
      </c>
      <c r="C239" s="33" t="s">
        <v>178</v>
      </c>
      <c r="D239" s="33" t="s">
        <v>63</v>
      </c>
      <c r="E239" s="33" t="s">
        <v>527</v>
      </c>
      <c r="F239" s="33" t="s">
        <v>528</v>
      </c>
      <c r="G239" s="36">
        <v>1</v>
      </c>
      <c r="H239" s="34">
        <f t="shared" si="6"/>
        <v>1</v>
      </c>
      <c r="I239" s="34" t="str">
        <f t="shared" si="7"/>
        <v/>
      </c>
      <c r="J239" s="34">
        <v>1</v>
      </c>
      <c r="K239" s="37">
        <v>0</v>
      </c>
    </row>
    <row r="240" spans="2:11" s="34" customFormat="1" ht="14.25" customHeight="1">
      <c r="B240" s="32">
        <v>136</v>
      </c>
      <c r="C240" s="33" t="s">
        <v>173</v>
      </c>
      <c r="D240" s="33" t="s">
        <v>45</v>
      </c>
      <c r="E240" s="33" t="s">
        <v>445</v>
      </c>
      <c r="F240" s="33" t="s">
        <v>189</v>
      </c>
      <c r="G240" s="36">
        <v>1</v>
      </c>
      <c r="H240" s="34">
        <f t="shared" si="6"/>
        <v>1</v>
      </c>
      <c r="I240" s="34" t="str">
        <f t="shared" si="7"/>
        <v/>
      </c>
      <c r="J240" s="34">
        <v>1</v>
      </c>
      <c r="K240" s="37">
        <v>0</v>
      </c>
    </row>
    <row r="241" spans="2:11" s="34" customFormat="1" ht="14.25" customHeight="1">
      <c r="B241" s="32">
        <v>231</v>
      </c>
      <c r="C241" s="33" t="s">
        <v>215</v>
      </c>
      <c r="D241" s="33" t="s">
        <v>55</v>
      </c>
      <c r="E241" s="33" t="s">
        <v>455</v>
      </c>
      <c r="F241" s="33" t="s">
        <v>456</v>
      </c>
      <c r="G241" s="36">
        <v>1</v>
      </c>
      <c r="H241" s="34">
        <f t="shared" si="6"/>
        <v>1</v>
      </c>
      <c r="I241" s="34" t="str">
        <f t="shared" si="7"/>
        <v/>
      </c>
      <c r="J241" s="34">
        <v>1</v>
      </c>
      <c r="K241" s="37">
        <v>0</v>
      </c>
    </row>
    <row r="242" spans="2:11" s="34" customFormat="1" ht="14.25" customHeight="1">
      <c r="B242" s="32">
        <v>137</v>
      </c>
      <c r="C242" s="33" t="s">
        <v>173</v>
      </c>
      <c r="D242" s="33" t="s">
        <v>66</v>
      </c>
      <c r="E242" s="33" t="s">
        <v>479</v>
      </c>
      <c r="F242" s="33" t="s">
        <v>480</v>
      </c>
      <c r="G242" s="36">
        <v>1</v>
      </c>
      <c r="H242" s="34">
        <f t="shared" si="6"/>
        <v>1</v>
      </c>
      <c r="I242" s="34" t="str">
        <f t="shared" si="7"/>
        <v/>
      </c>
      <c r="J242" s="34">
        <v>1</v>
      </c>
      <c r="K242" s="37">
        <v>0</v>
      </c>
    </row>
    <row r="243" spans="2:11" s="34" customFormat="1" ht="14.25" customHeight="1">
      <c r="B243" s="32">
        <v>138</v>
      </c>
      <c r="C243" s="33" t="s">
        <v>187</v>
      </c>
      <c r="D243" s="33" t="s">
        <v>77</v>
      </c>
      <c r="E243" s="33" t="s">
        <v>491</v>
      </c>
      <c r="F243" s="33" t="s">
        <v>189</v>
      </c>
      <c r="G243" s="36">
        <v>1</v>
      </c>
      <c r="H243" s="34">
        <f t="shared" si="6"/>
        <v>1</v>
      </c>
      <c r="I243" s="34" t="str">
        <f t="shared" si="7"/>
        <v/>
      </c>
      <c r="J243" s="34">
        <v>1</v>
      </c>
      <c r="K243" s="37">
        <v>0</v>
      </c>
    </row>
    <row r="244" spans="2:11" s="34" customFormat="1" ht="14.25" customHeight="1">
      <c r="B244" s="32">
        <v>139</v>
      </c>
      <c r="C244" s="33" t="s">
        <v>182</v>
      </c>
      <c r="D244" s="33" t="s">
        <v>32</v>
      </c>
      <c r="E244" s="33" t="s">
        <v>419</v>
      </c>
      <c r="F244" s="33" t="s">
        <v>420</v>
      </c>
      <c r="G244" s="36">
        <v>1</v>
      </c>
      <c r="H244" s="34">
        <f t="shared" si="6"/>
        <v>1</v>
      </c>
      <c r="I244" s="34" t="str">
        <f t="shared" si="7"/>
        <v/>
      </c>
      <c r="J244" s="34">
        <v>1</v>
      </c>
      <c r="K244" s="37">
        <v>0</v>
      </c>
    </row>
    <row r="245" spans="2:11" s="34" customFormat="1" ht="14.25" customHeight="1">
      <c r="B245" s="32">
        <v>140</v>
      </c>
      <c r="C245" s="33" t="s">
        <v>215</v>
      </c>
      <c r="D245" s="33" t="s">
        <v>55</v>
      </c>
      <c r="E245" s="33" t="s">
        <v>453</v>
      </c>
      <c r="F245" s="33" t="s">
        <v>454</v>
      </c>
      <c r="G245" s="36">
        <v>1</v>
      </c>
      <c r="H245" s="34">
        <f t="shared" si="6"/>
        <v>1</v>
      </c>
      <c r="I245" s="34" t="str">
        <f t="shared" si="7"/>
        <v/>
      </c>
      <c r="J245" s="34">
        <v>1</v>
      </c>
      <c r="K245" s="37">
        <v>0</v>
      </c>
    </row>
    <row r="246" spans="2:11" s="34" customFormat="1" ht="14.25" customHeight="1">
      <c r="B246" s="32">
        <v>141</v>
      </c>
      <c r="C246" s="33" t="s">
        <v>178</v>
      </c>
      <c r="D246" s="33" t="s">
        <v>63</v>
      </c>
      <c r="E246" s="33" t="s">
        <v>525</v>
      </c>
      <c r="F246" s="33" t="s">
        <v>526</v>
      </c>
      <c r="G246" s="36">
        <v>1</v>
      </c>
      <c r="H246" s="34">
        <f t="shared" si="6"/>
        <v>1</v>
      </c>
      <c r="I246" s="34" t="str">
        <f t="shared" si="7"/>
        <v/>
      </c>
      <c r="J246" s="34">
        <v>1</v>
      </c>
      <c r="K246" s="37">
        <v>0</v>
      </c>
    </row>
    <row r="247" spans="2:11" s="34" customFormat="1" ht="14.25" customHeight="1">
      <c r="B247" s="32">
        <v>232</v>
      </c>
      <c r="C247" s="33" t="s">
        <v>215</v>
      </c>
      <c r="D247" s="33" t="s">
        <v>164</v>
      </c>
      <c r="E247" s="33" t="s">
        <v>414</v>
      </c>
      <c r="F247" s="33" t="s">
        <v>354</v>
      </c>
      <c r="G247" s="36">
        <v>1</v>
      </c>
      <c r="H247" s="34">
        <f t="shared" si="6"/>
        <v>1</v>
      </c>
      <c r="I247" s="34" t="str">
        <f t="shared" si="7"/>
        <v/>
      </c>
      <c r="J247" s="34">
        <v>1</v>
      </c>
      <c r="K247" s="37">
        <v>0</v>
      </c>
    </row>
    <row r="248" spans="2:11" s="34" customFormat="1" ht="14.25" customHeight="1">
      <c r="B248" s="32">
        <v>233</v>
      </c>
      <c r="C248" s="33" t="s">
        <v>215</v>
      </c>
      <c r="D248" s="33" t="s">
        <v>28</v>
      </c>
      <c r="E248" s="33" t="s">
        <v>416</v>
      </c>
      <c r="F248" s="33" t="s">
        <v>184</v>
      </c>
      <c r="G248" s="36">
        <v>1</v>
      </c>
      <c r="H248" s="34">
        <f t="shared" si="6"/>
        <v>1</v>
      </c>
      <c r="I248" s="34" t="str">
        <f t="shared" si="7"/>
        <v/>
      </c>
      <c r="J248" s="34">
        <v>1</v>
      </c>
      <c r="K248" s="37">
        <v>0</v>
      </c>
    </row>
    <row r="249" spans="2:11" s="34" customFormat="1" ht="14.25" customHeight="1">
      <c r="B249" s="32">
        <v>234</v>
      </c>
      <c r="C249" s="33" t="s">
        <v>178</v>
      </c>
      <c r="D249" s="33" t="s">
        <v>38</v>
      </c>
      <c r="E249" s="33" t="s">
        <v>523</v>
      </c>
      <c r="F249" s="33" t="s">
        <v>524</v>
      </c>
      <c r="G249" s="36">
        <v>1</v>
      </c>
      <c r="H249" s="34">
        <f t="shared" si="6"/>
        <v>1</v>
      </c>
      <c r="I249" s="34" t="str">
        <f t="shared" si="7"/>
        <v/>
      </c>
      <c r="J249" s="34">
        <v>1</v>
      </c>
      <c r="K249" s="37">
        <v>0</v>
      </c>
    </row>
    <row r="250" spans="2:11" s="34" customFormat="1" ht="14.25" customHeight="1">
      <c r="B250" s="32">
        <v>235</v>
      </c>
      <c r="C250" s="33" t="s">
        <v>215</v>
      </c>
      <c r="D250" s="33" t="s">
        <v>164</v>
      </c>
      <c r="E250" s="33" t="s">
        <v>414</v>
      </c>
      <c r="F250" s="33" t="s">
        <v>415</v>
      </c>
      <c r="G250" s="36">
        <v>1</v>
      </c>
      <c r="H250" s="34">
        <f t="shared" si="6"/>
        <v>1</v>
      </c>
      <c r="I250" s="34" t="str">
        <f t="shared" si="7"/>
        <v/>
      </c>
      <c r="J250" s="34">
        <v>1</v>
      </c>
      <c r="K250" s="37">
        <v>0</v>
      </c>
    </row>
    <row r="251" spans="2:11" s="34" customFormat="1" ht="14.25" customHeight="1">
      <c r="B251" s="32">
        <v>236</v>
      </c>
      <c r="C251" s="33" t="s">
        <v>215</v>
      </c>
      <c r="D251" s="33" t="s">
        <v>164</v>
      </c>
      <c r="E251" s="33" t="s">
        <v>414</v>
      </c>
      <c r="F251" s="33" t="s">
        <v>304</v>
      </c>
      <c r="G251" s="36">
        <v>1</v>
      </c>
      <c r="H251" s="34">
        <f t="shared" si="6"/>
        <v>1</v>
      </c>
      <c r="I251" s="34" t="str">
        <f t="shared" si="7"/>
        <v/>
      </c>
      <c r="J251" s="34">
        <v>1</v>
      </c>
      <c r="K251" s="37">
        <v>0</v>
      </c>
    </row>
    <row r="252" spans="2:11" s="34" customFormat="1" ht="14.25" customHeight="1">
      <c r="B252" s="32">
        <v>237</v>
      </c>
      <c r="C252" s="33" t="s">
        <v>339</v>
      </c>
      <c r="D252" s="33" t="s">
        <v>34</v>
      </c>
      <c r="E252" s="33" t="s">
        <v>262</v>
      </c>
      <c r="F252" s="33" t="s">
        <v>189</v>
      </c>
      <c r="G252" s="36">
        <v>2</v>
      </c>
      <c r="H252" s="34" t="str">
        <f t="shared" si="6"/>
        <v/>
      </c>
      <c r="I252" s="34">
        <f t="shared" si="7"/>
        <v>2</v>
      </c>
      <c r="J252" s="34">
        <v>1</v>
      </c>
      <c r="K252" s="37">
        <v>0</v>
      </c>
    </row>
    <row r="253" spans="2:11" s="34" customFormat="1" ht="14.25" customHeight="1">
      <c r="B253" s="32">
        <v>238</v>
      </c>
      <c r="C253" s="33" t="s">
        <v>205</v>
      </c>
      <c r="D253" s="33" t="s">
        <v>43</v>
      </c>
      <c r="E253" s="33" t="s">
        <v>216</v>
      </c>
      <c r="F253" s="33" t="s">
        <v>184</v>
      </c>
      <c r="G253" s="36">
        <v>2</v>
      </c>
      <c r="H253" s="34" t="str">
        <f t="shared" si="6"/>
        <v/>
      </c>
      <c r="I253" s="34">
        <f t="shared" si="7"/>
        <v>2</v>
      </c>
      <c r="J253" s="34">
        <v>1</v>
      </c>
      <c r="K253" s="37">
        <v>0</v>
      </c>
    </row>
    <row r="254" spans="2:11" s="34" customFormat="1" ht="14.25" customHeight="1">
      <c r="B254" s="32">
        <v>239</v>
      </c>
      <c r="C254" s="33" t="s">
        <v>173</v>
      </c>
      <c r="D254" s="33" t="s">
        <v>67</v>
      </c>
      <c r="E254" s="33" t="s">
        <v>327</v>
      </c>
      <c r="F254" s="33" t="s">
        <v>354</v>
      </c>
      <c r="G254" s="36">
        <v>2</v>
      </c>
      <c r="H254" s="34" t="str">
        <f t="shared" si="6"/>
        <v/>
      </c>
      <c r="I254" s="34">
        <f t="shared" si="7"/>
        <v>2</v>
      </c>
      <c r="J254" s="34">
        <v>1</v>
      </c>
      <c r="K254" s="37">
        <v>0</v>
      </c>
    </row>
    <row r="255" spans="2:11" s="34" customFormat="1" ht="14.25" customHeight="1">
      <c r="B255" s="32">
        <v>240</v>
      </c>
      <c r="C255" s="33" t="s">
        <v>178</v>
      </c>
      <c r="D255" s="33" t="s">
        <v>38</v>
      </c>
      <c r="E255" s="33" t="s">
        <v>521</v>
      </c>
      <c r="F255" s="33" t="s">
        <v>522</v>
      </c>
      <c r="G255" s="36">
        <v>2</v>
      </c>
      <c r="H255" s="34" t="str">
        <f t="shared" si="6"/>
        <v/>
      </c>
      <c r="I255" s="34">
        <f t="shared" si="7"/>
        <v>2</v>
      </c>
      <c r="J255" s="34">
        <v>1</v>
      </c>
      <c r="K255" s="37">
        <v>0</v>
      </c>
    </row>
    <row r="256" spans="2:11" s="34" customFormat="1" ht="14.25" customHeight="1">
      <c r="B256" s="32">
        <v>241</v>
      </c>
      <c r="C256" s="33" t="s">
        <v>215</v>
      </c>
      <c r="D256" s="33" t="s">
        <v>55</v>
      </c>
      <c r="E256" s="33" t="s">
        <v>678</v>
      </c>
      <c r="F256" s="33" t="s">
        <v>534</v>
      </c>
      <c r="G256" s="297">
        <v>1</v>
      </c>
      <c r="H256" s="34">
        <f t="shared" si="6"/>
        <v>1</v>
      </c>
      <c r="I256" s="34" t="str">
        <f t="shared" si="7"/>
        <v/>
      </c>
      <c r="J256" s="34">
        <v>1</v>
      </c>
      <c r="K256" s="37">
        <v>0</v>
      </c>
    </row>
    <row r="257" spans="2:11" s="34" customFormat="1" ht="14.25" customHeight="1">
      <c r="B257" s="32">
        <v>242</v>
      </c>
      <c r="C257" s="33" t="s">
        <v>215</v>
      </c>
      <c r="D257" s="33" t="s">
        <v>56</v>
      </c>
      <c r="E257" s="33" t="s">
        <v>457</v>
      </c>
      <c r="F257" s="33" t="s">
        <v>189</v>
      </c>
      <c r="G257" s="297">
        <v>1</v>
      </c>
      <c r="H257" s="34">
        <f t="shared" si="6"/>
        <v>1</v>
      </c>
      <c r="I257" s="34" t="str">
        <f t="shared" si="7"/>
        <v/>
      </c>
      <c r="J257" s="34">
        <v>1</v>
      </c>
      <c r="K257" s="37">
        <v>0</v>
      </c>
    </row>
    <row r="258" spans="2:11" s="34" customFormat="1" ht="14.25" customHeight="1">
      <c r="B258" s="32">
        <v>243</v>
      </c>
      <c r="C258" s="33" t="s">
        <v>182</v>
      </c>
      <c r="D258" s="33" t="s">
        <v>60</v>
      </c>
      <c r="E258" s="33" t="s">
        <v>676</v>
      </c>
      <c r="F258" s="33" t="s">
        <v>317</v>
      </c>
      <c r="G258" s="297">
        <v>0</v>
      </c>
      <c r="H258" s="34" t="str">
        <f t="shared" si="6"/>
        <v/>
      </c>
      <c r="I258" s="34" t="str">
        <f t="shared" si="7"/>
        <v/>
      </c>
      <c r="J258" s="34">
        <v>1</v>
      </c>
      <c r="K258" s="37">
        <v>0</v>
      </c>
    </row>
    <row r="259" spans="2:11" s="34" customFormat="1" ht="14.25" customHeight="1">
      <c r="B259" s="32">
        <v>244</v>
      </c>
      <c r="C259" s="33" t="s">
        <v>182</v>
      </c>
      <c r="D259" s="33" t="s">
        <v>60</v>
      </c>
      <c r="E259" s="33" t="s">
        <v>676</v>
      </c>
      <c r="F259" s="33" t="s">
        <v>316</v>
      </c>
      <c r="G259" s="297">
        <v>0</v>
      </c>
      <c r="H259" s="34" t="str">
        <f t="shared" si="6"/>
        <v/>
      </c>
      <c r="I259" s="34" t="str">
        <f t="shared" si="7"/>
        <v/>
      </c>
      <c r="J259" s="34">
        <v>1</v>
      </c>
      <c r="K259" s="37">
        <v>0</v>
      </c>
    </row>
    <row r="260" spans="2:11" s="34" customFormat="1" ht="14.25" customHeight="1">
      <c r="B260" s="32">
        <v>245</v>
      </c>
      <c r="C260" s="33" t="s">
        <v>182</v>
      </c>
      <c r="D260" s="33" t="s">
        <v>60</v>
      </c>
      <c r="E260" s="33" t="s">
        <v>676</v>
      </c>
      <c r="F260" s="33" t="s">
        <v>315</v>
      </c>
      <c r="G260" s="297">
        <v>0</v>
      </c>
      <c r="H260" s="34" t="str">
        <f t="shared" si="6"/>
        <v/>
      </c>
      <c r="I260" s="34" t="str">
        <f t="shared" si="7"/>
        <v/>
      </c>
      <c r="J260" s="34">
        <v>1</v>
      </c>
      <c r="K260" s="37">
        <v>0</v>
      </c>
    </row>
    <row r="261" spans="2:11" s="34" customFormat="1" ht="14.25" customHeight="1">
      <c r="B261" s="32">
        <v>246</v>
      </c>
      <c r="C261" s="33" t="s">
        <v>182</v>
      </c>
      <c r="D261" s="33" t="s">
        <v>60</v>
      </c>
      <c r="E261" s="33" t="s">
        <v>676</v>
      </c>
      <c r="F261" s="33" t="s">
        <v>314</v>
      </c>
      <c r="G261" s="297">
        <v>0</v>
      </c>
      <c r="H261" s="34" t="str">
        <f t="shared" si="6"/>
        <v/>
      </c>
      <c r="I261" s="34" t="str">
        <f t="shared" si="7"/>
        <v/>
      </c>
      <c r="J261" s="34">
        <v>1</v>
      </c>
      <c r="K261" s="37">
        <v>0</v>
      </c>
    </row>
    <row r="262" spans="2:11" s="34" customFormat="1" ht="14.25" customHeight="1">
      <c r="B262" s="32">
        <v>257</v>
      </c>
      <c r="C262" s="33" t="s">
        <v>178</v>
      </c>
      <c r="D262" s="33" t="s">
        <v>63</v>
      </c>
      <c r="E262" s="33" t="s">
        <v>468</v>
      </c>
      <c r="F262" s="33" t="s">
        <v>469</v>
      </c>
      <c r="G262" s="297">
        <v>1</v>
      </c>
      <c r="H262" s="34">
        <f t="shared" si="6"/>
        <v>1</v>
      </c>
      <c r="I262" s="34" t="str">
        <f t="shared" si="7"/>
        <v/>
      </c>
      <c r="J262" s="34">
        <v>1</v>
      </c>
      <c r="K262" s="37">
        <v>0</v>
      </c>
    </row>
    <row r="263" spans="2:11" s="34" customFormat="1" ht="14.25" customHeight="1">
      <c r="B263" s="32">
        <v>258</v>
      </c>
      <c r="C263" s="33" t="s">
        <v>173</v>
      </c>
      <c r="D263" s="33" t="s">
        <v>66</v>
      </c>
      <c r="E263" s="33" t="s">
        <v>479</v>
      </c>
      <c r="F263" s="33" t="s">
        <v>481</v>
      </c>
      <c r="G263" s="297">
        <v>1</v>
      </c>
      <c r="H263" s="34">
        <f t="shared" si="6"/>
        <v>1</v>
      </c>
      <c r="I263" s="34" t="str">
        <f t="shared" si="7"/>
        <v/>
      </c>
      <c r="J263" s="34">
        <v>1</v>
      </c>
      <c r="K263" s="37">
        <v>0</v>
      </c>
    </row>
    <row r="264" spans="2:11" s="34" customFormat="1" ht="14.25" customHeight="1">
      <c r="B264" s="32">
        <v>259</v>
      </c>
      <c r="C264" s="33" t="s">
        <v>178</v>
      </c>
      <c r="D264" s="33" t="s">
        <v>88</v>
      </c>
      <c r="E264" s="33" t="s">
        <v>535</v>
      </c>
      <c r="F264" s="33" t="s">
        <v>538</v>
      </c>
      <c r="G264" s="297">
        <v>1</v>
      </c>
      <c r="H264" s="34">
        <f t="shared" ref="H264:H266" si="8">IF(G264=1,1,"")</f>
        <v>1</v>
      </c>
      <c r="I264" s="34" t="str">
        <f t="shared" si="7"/>
        <v/>
      </c>
      <c r="J264" s="34">
        <v>1</v>
      </c>
      <c r="K264" s="37">
        <v>0</v>
      </c>
    </row>
    <row r="265" spans="2:11" s="34" customFormat="1" ht="14.25" customHeight="1">
      <c r="B265" s="32">
        <v>142</v>
      </c>
      <c r="C265" s="33" t="s">
        <v>178</v>
      </c>
      <c r="D265" s="33" t="s">
        <v>88</v>
      </c>
      <c r="E265" s="33" t="s">
        <v>535</v>
      </c>
      <c r="F265" s="33" t="s">
        <v>536</v>
      </c>
      <c r="G265" s="297">
        <v>1</v>
      </c>
      <c r="H265" s="34">
        <f t="shared" si="8"/>
        <v>1</v>
      </c>
      <c r="I265" s="34" t="str">
        <f t="shared" si="7"/>
        <v/>
      </c>
      <c r="J265" s="34">
        <v>1</v>
      </c>
      <c r="K265" s="37">
        <v>0</v>
      </c>
    </row>
    <row r="266" spans="2:11" s="34" customFormat="1" ht="14.25" customHeight="1">
      <c r="B266" s="32">
        <v>143</v>
      </c>
      <c r="C266" s="33" t="s">
        <v>178</v>
      </c>
      <c r="D266" s="33" t="s">
        <v>88</v>
      </c>
      <c r="E266" s="33" t="s">
        <v>222</v>
      </c>
      <c r="F266" s="33" t="s">
        <v>537</v>
      </c>
      <c r="G266" s="297">
        <v>1</v>
      </c>
      <c r="H266" s="34">
        <f t="shared" si="8"/>
        <v>1</v>
      </c>
      <c r="I266" s="34" t="str">
        <f t="shared" si="7"/>
        <v/>
      </c>
      <c r="J266" s="34">
        <v>1</v>
      </c>
      <c r="K266" s="37">
        <v>0</v>
      </c>
    </row>
  </sheetData>
  <sortState ref="B8:U266">
    <sortCondition ref="D8:D266"/>
  </sortState>
  <pageMargins left="0.7" right="0.7" top="0.75" bottom="0.75" header="0.3" footer="0.3"/>
  <pageSetup paperSize="9"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T109"/>
  <sheetViews>
    <sheetView zoomScaleNormal="100" workbookViewId="0">
      <pane xSplit="2" ySplit="15" topLeftCell="C71" activePane="bottomRight" state="frozen"/>
      <selection pane="topRight"/>
      <selection pane="bottomLeft"/>
      <selection pane="bottomRight" activeCell="A89" sqref="A89:XFD89"/>
    </sheetView>
  </sheetViews>
  <sheetFormatPr defaultColWidth="10.8984375" defaultRowHeight="15"/>
  <cols>
    <col min="1" max="1" width="10.8984375" style="9"/>
    <col min="2" max="2" width="30.59765625" style="9" customWidth="1"/>
    <col min="3" max="4" width="13.5" style="13" customWidth="1"/>
    <col min="5" max="11" width="13.5" style="8" customWidth="1"/>
    <col min="12" max="12" width="49.8984375" style="9" customWidth="1"/>
    <col min="13" max="14" width="48.09765625" style="9" customWidth="1"/>
    <col min="15" max="15" width="52.5" style="9" customWidth="1"/>
    <col min="16" max="16" width="48.09765625" style="9" customWidth="1"/>
    <col min="17" max="17" width="12.09765625" style="8" customWidth="1"/>
    <col min="18" max="18" width="29.3984375" style="25" customWidth="1"/>
    <col min="19" max="16384" width="10.8984375" style="9"/>
  </cols>
  <sheetData>
    <row r="2" spans="2:20" ht="15.6">
      <c r="B2" s="7" t="s">
        <v>645</v>
      </c>
    </row>
    <row r="4" spans="2:20" s="7" customFormat="1" ht="15.6">
      <c r="B4" s="7" t="s">
        <v>574</v>
      </c>
      <c r="C4" s="50" t="s">
        <v>573</v>
      </c>
      <c r="D4" s="50"/>
      <c r="E4" s="51"/>
      <c r="F4" s="51"/>
      <c r="G4" s="50"/>
      <c r="H4" s="50"/>
      <c r="I4" s="52"/>
      <c r="J4" s="52"/>
      <c r="K4" s="52"/>
      <c r="L4" s="52"/>
      <c r="M4" s="52"/>
      <c r="N4" s="52"/>
      <c r="O4" s="53"/>
      <c r="P4" s="53"/>
      <c r="Q4" s="53"/>
      <c r="R4" s="53"/>
      <c r="S4" s="53"/>
      <c r="T4" s="53"/>
    </row>
    <row r="5" spans="2:20">
      <c r="B5" s="9" t="s">
        <v>586</v>
      </c>
      <c r="C5" s="59">
        <v>45566</v>
      </c>
      <c r="E5" s="38"/>
      <c r="F5" s="38"/>
      <c r="G5" s="13"/>
      <c r="H5" s="13"/>
      <c r="L5" s="8"/>
      <c r="M5" s="8"/>
      <c r="N5" s="8"/>
      <c r="O5" s="14"/>
      <c r="P5" s="14"/>
      <c r="Q5" s="14"/>
      <c r="R5" s="14"/>
      <c r="S5" s="14"/>
      <c r="T5" s="14"/>
    </row>
    <row r="7" spans="2:20">
      <c r="B7" s="9" t="s">
        <v>92</v>
      </c>
    </row>
    <row r="8" spans="2:20">
      <c r="B8" s="9" t="s">
        <v>93</v>
      </c>
      <c r="D8" s="14">
        <v>1</v>
      </c>
    </row>
    <row r="9" spans="2:20">
      <c r="B9" s="9" t="s">
        <v>94</v>
      </c>
      <c r="D9" s="14">
        <v>0.5</v>
      </c>
    </row>
    <row r="10" spans="2:20">
      <c r="B10" s="9" t="s">
        <v>95</v>
      </c>
    </row>
    <row r="11" spans="2:20">
      <c r="B11" s="9" t="s">
        <v>96</v>
      </c>
      <c r="C11" s="15"/>
    </row>
    <row r="12" spans="2:20">
      <c r="C12" s="15"/>
    </row>
    <row r="14" spans="2:20" s="11" customFormat="1" ht="60">
      <c r="B14" s="11" t="s">
        <v>0</v>
      </c>
      <c r="C14" s="18" t="s">
        <v>118</v>
      </c>
      <c r="D14" s="18" t="s">
        <v>117</v>
      </c>
      <c r="E14" s="10" t="s">
        <v>150</v>
      </c>
      <c r="F14" s="10" t="s">
        <v>99</v>
      </c>
      <c r="G14" s="10" t="s">
        <v>4</v>
      </c>
      <c r="H14" s="10" t="s">
        <v>151</v>
      </c>
      <c r="I14" s="10" t="s">
        <v>152</v>
      </c>
      <c r="J14" s="10" t="s">
        <v>155</v>
      </c>
      <c r="K14" s="10" t="s">
        <v>572</v>
      </c>
      <c r="L14" s="19" t="s">
        <v>150</v>
      </c>
      <c r="M14" s="19" t="s">
        <v>99</v>
      </c>
      <c r="N14" s="19" t="s">
        <v>4</v>
      </c>
      <c r="O14" s="19" t="s">
        <v>153</v>
      </c>
      <c r="P14" s="19" t="s">
        <v>154</v>
      </c>
      <c r="Q14" s="19" t="s">
        <v>135</v>
      </c>
      <c r="R14" s="19" t="s">
        <v>155</v>
      </c>
    </row>
    <row r="15" spans="2:20" s="11" customFormat="1">
      <c r="B15" s="11" t="s">
        <v>105</v>
      </c>
      <c r="C15" s="20"/>
      <c r="D15" s="20"/>
      <c r="E15" s="10"/>
      <c r="F15" s="10"/>
      <c r="G15" s="10"/>
      <c r="H15" s="10"/>
      <c r="I15" s="10"/>
      <c r="J15" s="10" t="str">
        <f>_xlfn.TEXTJOIN(,0,COUNTIF(J16:J104,"подписана")," из ",COUNTIF(J16:J104,"подписана")+COUNTIF(J16:J104,"в разработке"))</f>
        <v>16 из 31</v>
      </c>
      <c r="K15" s="10"/>
      <c r="L15" s="9"/>
      <c r="M15" s="9"/>
      <c r="N15" s="9"/>
      <c r="O15" s="9"/>
      <c r="P15" s="9"/>
      <c r="Q15" s="8" t="str">
        <f>_xlfn.TEXTJOIN(,0,SUMIF(C16:C104,"=2",C16:C104)/2," / ",SUMIF(C16:C104,"=1",C16:C104)," / ",85 - SUMIF(C16:C104,"=2",C16:C104)/2 - SUMIF(C16:C104,"=1",C16:C104))</f>
        <v>29 / 16 / 40</v>
      </c>
      <c r="R15" s="25"/>
    </row>
    <row r="16" spans="2:20">
      <c r="B16" s="12" t="s">
        <v>1</v>
      </c>
      <c r="C16" s="20">
        <f>IF(D16&gt;$D$8,2,IF(D16&gt;$D$9,1,0))</f>
        <v>2</v>
      </c>
      <c r="D16" s="20">
        <f>MAX(E16,F16,G16,H16)</f>
        <v>2</v>
      </c>
      <c r="E16" s="57"/>
      <c r="F16" s="57"/>
      <c r="G16" s="57">
        <v>2</v>
      </c>
      <c r="H16" s="57"/>
      <c r="I16" s="57"/>
      <c r="J16" s="57" t="s">
        <v>158</v>
      </c>
      <c r="K16" s="8">
        <f t="shared" ref="K16:K79" si="0">IF(J16=$J$107,2,IF(J16=$J$108,1,0))</f>
        <v>0</v>
      </c>
      <c r="L16" s="9" t="str">
        <f>IF(E16&gt;0,"Имеются нелегальные объекты захоронения ТКО","Нелегальные объекты захоронения ТКО не выявлены")</f>
        <v>Нелегальные объекты захоронения ТКО не выявлены</v>
      </c>
      <c r="M16" s="9" t="str">
        <f>IF(F16&gt;0,"Для ряда территорий осутствует схема потоков ТКО","Все потоки ТКО указаны в территориальной схеме")</f>
        <v>Все потоки ТКО указаны в территориальной схеме</v>
      </c>
      <c r="N16" s="9" t="str">
        <f>IF(G16=2,"Риски замещения объектов по 765 приказу высокие",IF(G16=1,"Риски замещения объектов по 765 приказу средние","Объектов по 765 приказу нет"))</f>
        <v>Риски замещения объектов по 765 приказу высокие</v>
      </c>
      <c r="O16" s="9" t="str">
        <f>IF(H16&gt;0,"Захоронение осуществляется с превышением мощностей","Захоронение осуществляется без превышения мощностей")</f>
        <v>Захоронение осуществляется без превышения мощностей</v>
      </c>
      <c r="P16" s="9" t="str">
        <f>IF(I16&gt;0,"Действующие мощности будут исчерпаны за 3 года","Действующих мощностей хватит более, чем на 3 года")</f>
        <v>Действующих мощностей хватит более, чем на 3 года</v>
      </c>
      <c r="Q16" s="8" t="str">
        <f>IF(E16&gt;0,"свалки",IF(F16&gt;0,"белые пятна",IF(G16&gt;0,"765 приказ",IF(H16&gt;0,"перегруз",""))))</f>
        <v>765 приказ</v>
      </c>
      <c r="R16" s="25" t="str">
        <f>_xlfn.TEXTJOIN(,0,"Дорожная карта ",J16)</f>
        <v>Дорожная карта подписана</v>
      </c>
    </row>
    <row r="17" spans="2:18">
      <c r="B17" s="12" t="s">
        <v>9</v>
      </c>
      <c r="C17" s="20">
        <f t="shared" ref="C17:C80" si="1">IF(D17&gt;$D$8,2,IF(D17&gt;$D$9,1,0))</f>
        <v>2</v>
      </c>
      <c r="D17" s="20">
        <f t="shared" ref="D17:D80" si="2">MAX(E17,F17,G17,H17)</f>
        <v>2</v>
      </c>
      <c r="E17" s="57"/>
      <c r="F17" s="57">
        <v>2</v>
      </c>
      <c r="G17" s="57"/>
      <c r="H17" s="57"/>
      <c r="I17" s="57"/>
      <c r="J17" s="57" t="s">
        <v>156</v>
      </c>
      <c r="K17" s="8">
        <f t="shared" si="0"/>
        <v>2</v>
      </c>
      <c r="L17" s="9" t="str">
        <f t="shared" ref="L17:L80" si="3">IF(E17&gt;0,"Имеются нелегальные объекты захоронения ТКО","Нелегальные объекты захоронения ТКО не выявлены")</f>
        <v>Нелегальные объекты захоронения ТКО не выявлены</v>
      </c>
      <c r="M17" s="9" t="str">
        <f t="shared" ref="M17:M80" si="4">IF(F17&gt;0,"Для ряда территорий осутствует схема потоков ТКО","Все потоки ТКО указаны в территориальной схеме")</f>
        <v>Для ряда территорий осутствует схема потоков ТКО</v>
      </c>
      <c r="N17" s="9" t="str">
        <f t="shared" ref="N17:N80" si="5">IF(G17=2,"Риски замещения объектов по 765 приказу высокие",IF(G17=1,"Риски замещения объектов по 765 приказу средние","Объектов по 765 приказу нет"))</f>
        <v>Объектов по 765 приказу нет</v>
      </c>
      <c r="O17" s="9" t="str">
        <f t="shared" ref="O17:O80" si="6">IF(H17&gt;0,"Захоронение осуществляется с превышением мощностей","Захоронение осуществляется без превышения мощностей")</f>
        <v>Захоронение осуществляется без превышения мощностей</v>
      </c>
      <c r="P17" s="9" t="str">
        <f t="shared" ref="P17:P80" si="7">IF(I17&gt;0,"Действующие мощности будут исчерпаны за 3 года","Действующих мощностей хватит более, чем на 3 года")</f>
        <v>Действующих мощностей хватит более, чем на 3 года</v>
      </c>
      <c r="Q17" s="8" t="str">
        <f t="shared" ref="Q17:Q80" si="8">IF(E17&gt;0,"свалки",IF(F17&gt;0,"белые пятна",IF(G17&gt;0,"765 приказ",IF(H17&gt;0,"перегруз",""))))</f>
        <v>белые пятна</v>
      </c>
      <c r="R17" s="25" t="str">
        <f t="shared" ref="R17:R80" si="9">_xlfn.TEXTJOIN(,0,"Дорожная карта ",J17)</f>
        <v>Дорожная карта в разработке</v>
      </c>
    </row>
    <row r="18" spans="2:18">
      <c r="B18" s="12" t="s">
        <v>10</v>
      </c>
      <c r="C18" s="20">
        <f t="shared" si="1"/>
        <v>2</v>
      </c>
      <c r="D18" s="20">
        <f t="shared" si="2"/>
        <v>2</v>
      </c>
      <c r="E18" s="57"/>
      <c r="F18" s="57"/>
      <c r="G18" s="57">
        <v>2</v>
      </c>
      <c r="H18" s="57"/>
      <c r="I18" s="57"/>
      <c r="J18" s="57" t="s">
        <v>158</v>
      </c>
      <c r="K18" s="8">
        <f t="shared" si="0"/>
        <v>0</v>
      </c>
      <c r="L18" s="9" t="str">
        <f t="shared" si="3"/>
        <v>Нелегальные объекты захоронения ТКО не выявлены</v>
      </c>
      <c r="M18" s="9" t="str">
        <f t="shared" si="4"/>
        <v>Все потоки ТКО указаны в территориальной схеме</v>
      </c>
      <c r="N18" s="9" t="str">
        <f t="shared" si="5"/>
        <v>Риски замещения объектов по 765 приказу высокие</v>
      </c>
      <c r="O18" s="9" t="str">
        <f t="shared" si="6"/>
        <v>Захоронение осуществляется без превышения мощностей</v>
      </c>
      <c r="P18" s="9" t="str">
        <f t="shared" si="7"/>
        <v>Действующих мощностей хватит более, чем на 3 года</v>
      </c>
      <c r="Q18" s="8" t="str">
        <f t="shared" si="8"/>
        <v>765 приказ</v>
      </c>
      <c r="R18" s="25" t="str">
        <f t="shared" si="9"/>
        <v>Дорожная карта подписана</v>
      </c>
    </row>
    <row r="19" spans="2:18">
      <c r="B19" s="12" t="s">
        <v>2</v>
      </c>
      <c r="C19" s="20">
        <f t="shared" si="1"/>
        <v>1</v>
      </c>
      <c r="D19" s="20">
        <f t="shared" si="2"/>
        <v>1</v>
      </c>
      <c r="E19" s="57"/>
      <c r="F19" s="57"/>
      <c r="G19" s="57"/>
      <c r="H19" s="57">
        <v>1</v>
      </c>
      <c r="I19" s="57">
        <v>1</v>
      </c>
      <c r="J19" s="57" t="s">
        <v>157</v>
      </c>
      <c r="K19" s="8">
        <f t="shared" si="0"/>
        <v>0</v>
      </c>
      <c r="L19" s="9" t="str">
        <f t="shared" si="3"/>
        <v>Нелегальные объекты захоронения ТКО не выявлены</v>
      </c>
      <c r="M19" s="9" t="str">
        <f t="shared" si="4"/>
        <v>Все потоки ТКО указаны в территориальной схеме</v>
      </c>
      <c r="N19" s="9" t="str">
        <f t="shared" si="5"/>
        <v>Объектов по 765 приказу нет</v>
      </c>
      <c r="O19" s="9" t="str">
        <f t="shared" si="6"/>
        <v>Захоронение осуществляется с превышением мощностей</v>
      </c>
      <c r="P19" s="9" t="str">
        <f t="shared" si="7"/>
        <v>Действующие мощности будут исчерпаны за 3 года</v>
      </c>
      <c r="Q19" s="8" t="str">
        <f t="shared" si="8"/>
        <v>перегруз</v>
      </c>
      <c r="R19" s="25" t="str">
        <f t="shared" si="9"/>
        <v>Дорожная карта не требуется</v>
      </c>
    </row>
    <row r="20" spans="2:18">
      <c r="B20" s="12" t="s">
        <v>11</v>
      </c>
      <c r="C20" s="20">
        <f t="shared" si="1"/>
        <v>1</v>
      </c>
      <c r="D20" s="20">
        <f t="shared" si="2"/>
        <v>1</v>
      </c>
      <c r="E20" s="57"/>
      <c r="F20" s="57"/>
      <c r="G20" s="57"/>
      <c r="H20" s="57">
        <v>1</v>
      </c>
      <c r="I20" s="57"/>
      <c r="J20" s="57" t="s">
        <v>157</v>
      </c>
      <c r="K20" s="8">
        <f t="shared" si="0"/>
        <v>0</v>
      </c>
      <c r="L20" s="9" t="str">
        <f t="shared" si="3"/>
        <v>Нелегальные объекты захоронения ТКО не выявлены</v>
      </c>
      <c r="M20" s="9" t="str">
        <f t="shared" si="4"/>
        <v>Все потоки ТКО указаны в территориальной схеме</v>
      </c>
      <c r="N20" s="9" t="str">
        <f t="shared" si="5"/>
        <v>Объектов по 765 приказу нет</v>
      </c>
      <c r="O20" s="9" t="str">
        <f t="shared" si="6"/>
        <v>Захоронение осуществляется с превышением мощностей</v>
      </c>
      <c r="P20" s="9" t="str">
        <f t="shared" si="7"/>
        <v>Действующих мощностей хватит более, чем на 3 года</v>
      </c>
      <c r="Q20" s="8" t="str">
        <f t="shared" si="8"/>
        <v>перегруз</v>
      </c>
      <c r="R20" s="25" t="str">
        <f t="shared" si="9"/>
        <v>Дорожная карта не требуется</v>
      </c>
    </row>
    <row r="21" spans="2:18">
      <c r="B21" s="12" t="s">
        <v>12</v>
      </c>
      <c r="C21" s="20">
        <f t="shared" si="1"/>
        <v>1</v>
      </c>
      <c r="D21" s="20">
        <f t="shared" si="2"/>
        <v>1</v>
      </c>
      <c r="E21" s="57"/>
      <c r="F21" s="57"/>
      <c r="G21" s="57">
        <v>1</v>
      </c>
      <c r="H21" s="57">
        <v>1</v>
      </c>
      <c r="I21" s="57">
        <v>1</v>
      </c>
      <c r="J21" s="57" t="s">
        <v>158</v>
      </c>
      <c r="K21" s="8">
        <f t="shared" si="0"/>
        <v>0</v>
      </c>
      <c r="L21" s="9" t="str">
        <f t="shared" si="3"/>
        <v>Нелегальные объекты захоронения ТКО не выявлены</v>
      </c>
      <c r="M21" s="9" t="str">
        <f t="shared" si="4"/>
        <v>Все потоки ТКО указаны в территориальной схеме</v>
      </c>
      <c r="N21" s="9" t="str">
        <f t="shared" si="5"/>
        <v>Риски замещения объектов по 765 приказу средние</v>
      </c>
      <c r="O21" s="9" t="str">
        <f t="shared" si="6"/>
        <v>Захоронение осуществляется с превышением мощностей</v>
      </c>
      <c r="P21" s="9" t="str">
        <f t="shared" si="7"/>
        <v>Действующие мощности будут исчерпаны за 3 года</v>
      </c>
      <c r="Q21" s="8" t="str">
        <f t="shared" si="8"/>
        <v>765 приказ</v>
      </c>
      <c r="R21" s="25" t="str">
        <f t="shared" si="9"/>
        <v>Дорожная карта подписана</v>
      </c>
    </row>
    <row r="22" spans="2:18">
      <c r="B22" s="12" t="s">
        <v>13</v>
      </c>
      <c r="C22" s="20">
        <f t="shared" si="1"/>
        <v>0</v>
      </c>
      <c r="D22" s="20">
        <f t="shared" si="2"/>
        <v>0</v>
      </c>
      <c r="E22" s="57"/>
      <c r="F22" s="57"/>
      <c r="G22" s="57"/>
      <c r="H22" s="57"/>
      <c r="I22" s="57"/>
      <c r="J22" s="57" t="s">
        <v>157</v>
      </c>
      <c r="K22" s="8">
        <f t="shared" si="0"/>
        <v>0</v>
      </c>
      <c r="L22" s="9" t="str">
        <f t="shared" si="3"/>
        <v>Нелегальные объекты захоронения ТКО не выявлены</v>
      </c>
      <c r="M22" s="9" t="str">
        <f t="shared" si="4"/>
        <v>Все потоки ТКО указаны в территориальной схеме</v>
      </c>
      <c r="N22" s="9" t="str">
        <f t="shared" si="5"/>
        <v>Объектов по 765 приказу нет</v>
      </c>
      <c r="O22" s="9" t="str">
        <f t="shared" si="6"/>
        <v>Захоронение осуществляется без превышения мощностей</v>
      </c>
      <c r="P22" s="9" t="str">
        <f t="shared" si="7"/>
        <v>Действующих мощностей хватит более, чем на 3 года</v>
      </c>
      <c r="Q22" s="8" t="str">
        <f t="shared" si="8"/>
        <v/>
      </c>
      <c r="R22" s="25" t="str">
        <f t="shared" si="9"/>
        <v>Дорожная карта не требуется</v>
      </c>
    </row>
    <row r="23" spans="2:18">
      <c r="B23" s="12" t="s">
        <v>14</v>
      </c>
      <c r="C23" s="20">
        <f t="shared" si="1"/>
        <v>0</v>
      </c>
      <c r="D23" s="20">
        <f t="shared" si="2"/>
        <v>0</v>
      </c>
      <c r="E23" s="57"/>
      <c r="F23" s="57"/>
      <c r="G23" s="57"/>
      <c r="H23" s="57"/>
      <c r="I23" s="57"/>
      <c r="J23" s="57" t="s">
        <v>157</v>
      </c>
      <c r="K23" s="8">
        <f t="shared" si="0"/>
        <v>0</v>
      </c>
      <c r="L23" s="9" t="str">
        <f t="shared" si="3"/>
        <v>Нелегальные объекты захоронения ТКО не выявлены</v>
      </c>
      <c r="M23" s="9" t="str">
        <f t="shared" si="4"/>
        <v>Все потоки ТКО указаны в территориальной схеме</v>
      </c>
      <c r="N23" s="9" t="str">
        <f t="shared" si="5"/>
        <v>Объектов по 765 приказу нет</v>
      </c>
      <c r="O23" s="9" t="str">
        <f t="shared" si="6"/>
        <v>Захоронение осуществляется без превышения мощностей</v>
      </c>
      <c r="P23" s="9" t="str">
        <f t="shared" si="7"/>
        <v>Действующих мощностей хватит более, чем на 3 года</v>
      </c>
      <c r="Q23" s="8" t="str">
        <f t="shared" si="8"/>
        <v/>
      </c>
      <c r="R23" s="25" t="str">
        <f t="shared" si="9"/>
        <v>Дорожная карта не требуется</v>
      </c>
    </row>
    <row r="24" spans="2:18">
      <c r="B24" s="12" t="s">
        <v>15</v>
      </c>
      <c r="C24" s="20">
        <f t="shared" si="1"/>
        <v>0</v>
      </c>
      <c r="D24" s="20">
        <f t="shared" si="2"/>
        <v>0</v>
      </c>
      <c r="E24" s="57"/>
      <c r="F24" s="57"/>
      <c r="G24" s="57"/>
      <c r="H24" s="57"/>
      <c r="I24" s="57"/>
      <c r="J24" s="57" t="s">
        <v>157</v>
      </c>
      <c r="K24" s="8">
        <f t="shared" si="0"/>
        <v>0</v>
      </c>
      <c r="L24" s="9" t="str">
        <f t="shared" si="3"/>
        <v>Нелегальные объекты захоронения ТКО не выявлены</v>
      </c>
      <c r="M24" s="9" t="str">
        <f t="shared" si="4"/>
        <v>Все потоки ТКО указаны в территориальной схеме</v>
      </c>
      <c r="N24" s="9" t="str">
        <f t="shared" si="5"/>
        <v>Объектов по 765 приказу нет</v>
      </c>
      <c r="O24" s="9" t="str">
        <f t="shared" si="6"/>
        <v>Захоронение осуществляется без превышения мощностей</v>
      </c>
      <c r="P24" s="9" t="str">
        <f t="shared" si="7"/>
        <v>Действующих мощностей хватит более, чем на 3 года</v>
      </c>
      <c r="Q24" s="8" t="str">
        <f t="shared" si="8"/>
        <v/>
      </c>
      <c r="R24" s="25" t="str">
        <f t="shared" si="9"/>
        <v>Дорожная карта не требуется</v>
      </c>
    </row>
    <row r="25" spans="2:18">
      <c r="B25" s="12" t="s">
        <v>16</v>
      </c>
      <c r="C25" s="20">
        <f t="shared" si="1"/>
        <v>1</v>
      </c>
      <c r="D25" s="20">
        <f t="shared" si="2"/>
        <v>1</v>
      </c>
      <c r="E25" s="57"/>
      <c r="F25" s="57"/>
      <c r="G25" s="57">
        <v>1</v>
      </c>
      <c r="H25" s="57"/>
      <c r="I25" s="57"/>
      <c r="J25" s="57" t="s">
        <v>158</v>
      </c>
      <c r="K25" s="8">
        <f t="shared" si="0"/>
        <v>0</v>
      </c>
      <c r="L25" s="9" t="str">
        <f t="shared" si="3"/>
        <v>Нелегальные объекты захоронения ТКО не выявлены</v>
      </c>
      <c r="M25" s="9" t="str">
        <f t="shared" si="4"/>
        <v>Все потоки ТКО указаны в территориальной схеме</v>
      </c>
      <c r="N25" s="9" t="str">
        <f t="shared" si="5"/>
        <v>Риски замещения объектов по 765 приказу средние</v>
      </c>
      <c r="O25" s="9" t="str">
        <f t="shared" si="6"/>
        <v>Захоронение осуществляется без превышения мощностей</v>
      </c>
      <c r="P25" s="9" t="str">
        <f t="shared" si="7"/>
        <v>Действующих мощностей хватит более, чем на 3 года</v>
      </c>
      <c r="Q25" s="8" t="str">
        <f t="shared" si="8"/>
        <v>765 приказ</v>
      </c>
      <c r="R25" s="25" t="str">
        <f t="shared" si="9"/>
        <v>Дорожная карта подписана</v>
      </c>
    </row>
    <row r="26" spans="2:18">
      <c r="B26" s="12" t="s">
        <v>17</v>
      </c>
      <c r="C26" s="20">
        <f t="shared" si="1"/>
        <v>0</v>
      </c>
      <c r="D26" s="20">
        <f t="shared" si="2"/>
        <v>0</v>
      </c>
      <c r="E26" s="57"/>
      <c r="F26" s="57"/>
      <c r="G26" s="57"/>
      <c r="H26" s="57"/>
      <c r="I26" s="57"/>
      <c r="J26" s="57" t="s">
        <v>157</v>
      </c>
      <c r="K26" s="8">
        <f t="shared" si="0"/>
        <v>0</v>
      </c>
      <c r="L26" s="9" t="str">
        <f t="shared" si="3"/>
        <v>Нелегальные объекты захоронения ТКО не выявлены</v>
      </c>
      <c r="M26" s="9" t="str">
        <f t="shared" si="4"/>
        <v>Все потоки ТКО указаны в территориальной схеме</v>
      </c>
      <c r="N26" s="9" t="str">
        <f t="shared" si="5"/>
        <v>Объектов по 765 приказу нет</v>
      </c>
      <c r="O26" s="9" t="str">
        <f t="shared" si="6"/>
        <v>Захоронение осуществляется без превышения мощностей</v>
      </c>
      <c r="P26" s="9" t="str">
        <f t="shared" si="7"/>
        <v>Действующих мощностей хватит более, чем на 3 года</v>
      </c>
      <c r="Q26" s="8" t="str">
        <f t="shared" si="8"/>
        <v/>
      </c>
      <c r="R26" s="25" t="str">
        <f t="shared" si="9"/>
        <v>Дорожная карта не требуется</v>
      </c>
    </row>
    <row r="27" spans="2:18">
      <c r="B27" s="12" t="s">
        <v>18</v>
      </c>
      <c r="C27" s="20">
        <f t="shared" si="1"/>
        <v>0</v>
      </c>
      <c r="D27" s="20">
        <f t="shared" si="2"/>
        <v>0</v>
      </c>
      <c r="E27" s="57"/>
      <c r="F27" s="57"/>
      <c r="G27" s="57"/>
      <c r="H27" s="57"/>
      <c r="I27" s="57"/>
      <c r="J27" s="57" t="s">
        <v>157</v>
      </c>
      <c r="K27" s="8">
        <f t="shared" si="0"/>
        <v>0</v>
      </c>
      <c r="L27" s="9" t="str">
        <f t="shared" si="3"/>
        <v>Нелегальные объекты захоронения ТКО не выявлены</v>
      </c>
      <c r="M27" s="9" t="str">
        <f t="shared" si="4"/>
        <v>Все потоки ТКО указаны в территориальной схеме</v>
      </c>
      <c r="N27" s="9" t="str">
        <f t="shared" si="5"/>
        <v>Объектов по 765 приказу нет</v>
      </c>
      <c r="O27" s="9" t="str">
        <f t="shared" si="6"/>
        <v>Захоронение осуществляется без превышения мощностей</v>
      </c>
      <c r="P27" s="9" t="str">
        <f t="shared" si="7"/>
        <v>Действующих мощностей хватит более, чем на 3 года</v>
      </c>
      <c r="Q27" s="8" t="str">
        <f t="shared" si="8"/>
        <v/>
      </c>
      <c r="R27" s="25" t="str">
        <f t="shared" si="9"/>
        <v>Дорожная карта не требуется</v>
      </c>
    </row>
    <row r="28" spans="2:18">
      <c r="B28" s="12" t="s">
        <v>19</v>
      </c>
      <c r="C28" s="20">
        <f t="shared" si="1"/>
        <v>1</v>
      </c>
      <c r="D28" s="20">
        <f t="shared" si="2"/>
        <v>1</v>
      </c>
      <c r="E28" s="57"/>
      <c r="F28" s="57"/>
      <c r="G28" s="57"/>
      <c r="H28" s="57">
        <v>1</v>
      </c>
      <c r="I28" s="57"/>
      <c r="J28" s="57" t="s">
        <v>157</v>
      </c>
      <c r="K28" s="8">
        <f t="shared" si="0"/>
        <v>0</v>
      </c>
      <c r="L28" s="9" t="str">
        <f t="shared" si="3"/>
        <v>Нелегальные объекты захоронения ТКО не выявлены</v>
      </c>
      <c r="M28" s="9" t="str">
        <f t="shared" si="4"/>
        <v>Все потоки ТКО указаны в территориальной схеме</v>
      </c>
      <c r="N28" s="9" t="str">
        <f t="shared" si="5"/>
        <v>Объектов по 765 приказу нет</v>
      </c>
      <c r="O28" s="9" t="str">
        <f t="shared" si="6"/>
        <v>Захоронение осуществляется с превышением мощностей</v>
      </c>
      <c r="P28" s="9" t="str">
        <f t="shared" si="7"/>
        <v>Действующих мощностей хватит более, чем на 3 года</v>
      </c>
      <c r="Q28" s="8" t="str">
        <f t="shared" si="8"/>
        <v>перегруз</v>
      </c>
      <c r="R28" s="25" t="str">
        <f t="shared" si="9"/>
        <v>Дорожная карта не требуется</v>
      </c>
    </row>
    <row r="29" spans="2:18">
      <c r="B29" s="12" t="s">
        <v>580</v>
      </c>
      <c r="C29" s="20">
        <f t="shared" si="1"/>
        <v>0</v>
      </c>
      <c r="D29" s="20">
        <f t="shared" si="2"/>
        <v>0</v>
      </c>
      <c r="E29" s="57"/>
      <c r="F29" s="57"/>
      <c r="G29" s="57"/>
      <c r="H29" s="57"/>
      <c r="I29" s="57"/>
      <c r="J29" s="57" t="s">
        <v>157</v>
      </c>
      <c r="K29" s="8">
        <f t="shared" si="0"/>
        <v>0</v>
      </c>
      <c r="L29" s="9" t="str">
        <f t="shared" si="3"/>
        <v>Нелегальные объекты захоронения ТКО не выявлены</v>
      </c>
      <c r="M29" s="9" t="str">
        <f t="shared" si="4"/>
        <v>Все потоки ТКО указаны в территориальной схеме</v>
      </c>
      <c r="N29" s="9" t="str">
        <f t="shared" si="5"/>
        <v>Объектов по 765 приказу нет</v>
      </c>
      <c r="O29" s="9" t="str">
        <f t="shared" si="6"/>
        <v>Захоронение осуществляется без превышения мощностей</v>
      </c>
      <c r="P29" s="9" t="str">
        <f t="shared" si="7"/>
        <v>Действующих мощностей хватит более, чем на 3 года</v>
      </c>
      <c r="Q29" s="8" t="str">
        <f t="shared" si="8"/>
        <v/>
      </c>
      <c r="R29" s="25" t="str">
        <f t="shared" si="9"/>
        <v>Дорожная карта не требуется</v>
      </c>
    </row>
    <row r="30" spans="2:18">
      <c r="B30" s="12" t="s">
        <v>20</v>
      </c>
      <c r="C30" s="20">
        <f t="shared" si="1"/>
        <v>0</v>
      </c>
      <c r="D30" s="20">
        <f t="shared" si="2"/>
        <v>0</v>
      </c>
      <c r="E30" s="57"/>
      <c r="F30" s="57"/>
      <c r="G30" s="57"/>
      <c r="H30" s="57"/>
      <c r="I30" s="57"/>
      <c r="J30" s="57" t="s">
        <v>157</v>
      </c>
      <c r="K30" s="8">
        <f t="shared" si="0"/>
        <v>0</v>
      </c>
      <c r="L30" s="9" t="str">
        <f t="shared" si="3"/>
        <v>Нелегальные объекты захоронения ТКО не выявлены</v>
      </c>
      <c r="M30" s="9" t="str">
        <f t="shared" si="4"/>
        <v>Все потоки ТКО указаны в территориальной схеме</v>
      </c>
      <c r="N30" s="9" t="str">
        <f t="shared" si="5"/>
        <v>Объектов по 765 приказу нет</v>
      </c>
      <c r="O30" s="9" t="str">
        <f t="shared" si="6"/>
        <v>Захоронение осуществляется без превышения мощностей</v>
      </c>
      <c r="P30" s="9" t="str">
        <f t="shared" si="7"/>
        <v>Действующих мощностей хватит более, чем на 3 года</v>
      </c>
      <c r="Q30" s="8" t="str">
        <f t="shared" si="8"/>
        <v/>
      </c>
      <c r="R30" s="25" t="str">
        <f t="shared" si="9"/>
        <v>Дорожная карта не требуется</v>
      </c>
    </row>
    <row r="31" spans="2:18">
      <c r="B31" s="12" t="s">
        <v>21</v>
      </c>
      <c r="C31" s="20">
        <f t="shared" si="1"/>
        <v>2</v>
      </c>
      <c r="D31" s="20">
        <f t="shared" si="2"/>
        <v>2</v>
      </c>
      <c r="E31" s="57">
        <v>2</v>
      </c>
      <c r="F31" s="57"/>
      <c r="G31" s="57"/>
      <c r="H31" s="57">
        <v>1</v>
      </c>
      <c r="I31" s="57"/>
      <c r="J31" s="57" t="s">
        <v>156</v>
      </c>
      <c r="K31" s="8">
        <f t="shared" si="0"/>
        <v>2</v>
      </c>
      <c r="L31" s="9" t="str">
        <f t="shared" si="3"/>
        <v>Имеются нелегальные объекты захоронения ТКО</v>
      </c>
      <c r="M31" s="9" t="str">
        <f t="shared" si="4"/>
        <v>Все потоки ТКО указаны в территориальной схеме</v>
      </c>
      <c r="N31" s="9" t="str">
        <f t="shared" si="5"/>
        <v>Объектов по 765 приказу нет</v>
      </c>
      <c r="O31" s="9" t="str">
        <f t="shared" si="6"/>
        <v>Захоронение осуществляется с превышением мощностей</v>
      </c>
      <c r="P31" s="9" t="str">
        <f t="shared" si="7"/>
        <v>Действующих мощностей хватит более, чем на 3 года</v>
      </c>
      <c r="Q31" s="8" t="str">
        <f t="shared" si="8"/>
        <v>свалки</v>
      </c>
      <c r="R31" s="25" t="str">
        <f t="shared" si="9"/>
        <v>Дорожная карта в разработке</v>
      </c>
    </row>
    <row r="32" spans="2:18">
      <c r="B32" s="12" t="s">
        <v>163</v>
      </c>
      <c r="C32" s="20">
        <f t="shared" si="1"/>
        <v>0</v>
      </c>
      <c r="D32" s="20">
        <f t="shared" si="2"/>
        <v>0</v>
      </c>
      <c r="E32" s="57"/>
      <c r="F32" s="57"/>
      <c r="G32" s="57"/>
      <c r="H32" s="57"/>
      <c r="I32" s="57"/>
      <c r="J32" s="57" t="s">
        <v>157</v>
      </c>
      <c r="K32" s="8">
        <f t="shared" si="0"/>
        <v>0</v>
      </c>
      <c r="L32" s="9" t="str">
        <f t="shared" si="3"/>
        <v>Нелегальные объекты захоронения ТКО не выявлены</v>
      </c>
      <c r="M32" s="9" t="str">
        <f t="shared" si="4"/>
        <v>Все потоки ТКО указаны в территориальной схеме</v>
      </c>
      <c r="N32" s="9" t="str">
        <f t="shared" si="5"/>
        <v>Объектов по 765 приказу нет</v>
      </c>
      <c r="O32" s="9" t="str">
        <f t="shared" si="6"/>
        <v>Захоронение осуществляется без превышения мощностей</v>
      </c>
      <c r="P32" s="9" t="str">
        <f t="shared" si="7"/>
        <v>Действующих мощностей хватит более, чем на 3 года</v>
      </c>
      <c r="Q32" s="8" t="str">
        <f t="shared" si="8"/>
        <v/>
      </c>
      <c r="R32" s="25" t="str">
        <f t="shared" si="9"/>
        <v>Дорожная карта не требуется</v>
      </c>
    </row>
    <row r="33" spans="2:18">
      <c r="B33" s="12" t="s">
        <v>22</v>
      </c>
      <c r="C33" s="20">
        <f t="shared" si="1"/>
        <v>0</v>
      </c>
      <c r="D33" s="20">
        <f t="shared" si="2"/>
        <v>0</v>
      </c>
      <c r="E33" s="57"/>
      <c r="F33" s="57"/>
      <c r="G33" s="57"/>
      <c r="H33" s="57"/>
      <c r="I33" s="57"/>
      <c r="J33" s="57" t="s">
        <v>157</v>
      </c>
      <c r="K33" s="8">
        <f t="shared" si="0"/>
        <v>0</v>
      </c>
      <c r="L33" s="9" t="str">
        <f t="shared" si="3"/>
        <v>Нелегальные объекты захоронения ТКО не выявлены</v>
      </c>
      <c r="M33" s="9" t="str">
        <f t="shared" si="4"/>
        <v>Все потоки ТКО указаны в территориальной схеме</v>
      </c>
      <c r="N33" s="9" t="str">
        <f t="shared" si="5"/>
        <v>Объектов по 765 приказу нет</v>
      </c>
      <c r="O33" s="9" t="str">
        <f t="shared" si="6"/>
        <v>Захоронение осуществляется без превышения мощностей</v>
      </c>
      <c r="P33" s="9" t="str">
        <f t="shared" si="7"/>
        <v>Действующих мощностей хватит более, чем на 3 года</v>
      </c>
      <c r="Q33" s="8" t="str">
        <f t="shared" si="8"/>
        <v/>
      </c>
      <c r="R33" s="25" t="str">
        <f t="shared" si="9"/>
        <v>Дорожная карта не требуется</v>
      </c>
    </row>
    <row r="34" spans="2:18">
      <c r="B34" s="12" t="s">
        <v>23</v>
      </c>
      <c r="C34" s="20">
        <f t="shared" si="1"/>
        <v>2</v>
      </c>
      <c r="D34" s="20">
        <f t="shared" si="2"/>
        <v>2</v>
      </c>
      <c r="E34" s="57"/>
      <c r="F34" s="57">
        <v>2</v>
      </c>
      <c r="G34" s="57">
        <v>2</v>
      </c>
      <c r="H34" s="57"/>
      <c r="I34" s="57"/>
      <c r="J34" s="57" t="s">
        <v>158</v>
      </c>
      <c r="K34" s="8">
        <f t="shared" si="0"/>
        <v>0</v>
      </c>
      <c r="L34" s="9" t="str">
        <f t="shared" si="3"/>
        <v>Нелегальные объекты захоронения ТКО не выявлены</v>
      </c>
      <c r="M34" s="9" t="str">
        <f t="shared" si="4"/>
        <v>Для ряда территорий осутствует схема потоков ТКО</v>
      </c>
      <c r="N34" s="9" t="str">
        <f t="shared" si="5"/>
        <v>Риски замещения объектов по 765 приказу высокие</v>
      </c>
      <c r="O34" s="9" t="str">
        <f t="shared" si="6"/>
        <v>Захоронение осуществляется без превышения мощностей</v>
      </c>
      <c r="P34" s="9" t="str">
        <f t="shared" si="7"/>
        <v>Действующих мощностей хватит более, чем на 3 года</v>
      </c>
      <c r="Q34" s="8" t="str">
        <f t="shared" si="8"/>
        <v>белые пятна</v>
      </c>
      <c r="R34" s="25" t="str">
        <f t="shared" si="9"/>
        <v>Дорожная карта подписана</v>
      </c>
    </row>
    <row r="35" spans="2:18">
      <c r="B35" s="12" t="s">
        <v>24</v>
      </c>
      <c r="C35" s="20">
        <f t="shared" si="1"/>
        <v>0</v>
      </c>
      <c r="D35" s="20">
        <f t="shared" si="2"/>
        <v>0</v>
      </c>
      <c r="E35" s="57"/>
      <c r="F35" s="57"/>
      <c r="G35" s="57"/>
      <c r="H35" s="57"/>
      <c r="I35" s="57">
        <v>1</v>
      </c>
      <c r="J35" s="57" t="s">
        <v>157</v>
      </c>
      <c r="K35" s="8">
        <f t="shared" si="0"/>
        <v>0</v>
      </c>
      <c r="L35" s="9" t="str">
        <f t="shared" si="3"/>
        <v>Нелегальные объекты захоронения ТКО не выявлены</v>
      </c>
      <c r="M35" s="9" t="str">
        <f t="shared" si="4"/>
        <v>Все потоки ТКО указаны в территориальной схеме</v>
      </c>
      <c r="N35" s="9" t="str">
        <f t="shared" si="5"/>
        <v>Объектов по 765 приказу нет</v>
      </c>
      <c r="O35" s="9" t="str">
        <f t="shared" si="6"/>
        <v>Захоронение осуществляется без превышения мощностей</v>
      </c>
      <c r="P35" s="9" t="str">
        <f t="shared" si="7"/>
        <v>Действующие мощности будут исчерпаны за 3 года</v>
      </c>
      <c r="Q35" s="8" t="str">
        <f t="shared" si="8"/>
        <v/>
      </c>
      <c r="R35" s="25" t="str">
        <f t="shared" si="9"/>
        <v>Дорожная карта не требуется</v>
      </c>
    </row>
    <row r="36" spans="2:18">
      <c r="B36" s="12" t="s">
        <v>25</v>
      </c>
      <c r="C36" s="20">
        <f t="shared" si="1"/>
        <v>1</v>
      </c>
      <c r="D36" s="20">
        <f t="shared" si="2"/>
        <v>1</v>
      </c>
      <c r="E36" s="57"/>
      <c r="F36" s="57"/>
      <c r="G36" s="57"/>
      <c r="H36" s="57">
        <v>1</v>
      </c>
      <c r="I36" s="57">
        <v>1</v>
      </c>
      <c r="J36" s="57" t="s">
        <v>157</v>
      </c>
      <c r="K36" s="8">
        <f t="shared" si="0"/>
        <v>0</v>
      </c>
      <c r="L36" s="9" t="str">
        <f t="shared" si="3"/>
        <v>Нелегальные объекты захоронения ТКО не выявлены</v>
      </c>
      <c r="M36" s="9" t="str">
        <f t="shared" si="4"/>
        <v>Все потоки ТКО указаны в территориальной схеме</v>
      </c>
      <c r="N36" s="9" t="str">
        <f t="shared" si="5"/>
        <v>Объектов по 765 приказу нет</v>
      </c>
      <c r="O36" s="9" t="str">
        <f t="shared" si="6"/>
        <v>Захоронение осуществляется с превышением мощностей</v>
      </c>
      <c r="P36" s="9" t="str">
        <f t="shared" si="7"/>
        <v>Действующие мощности будут исчерпаны за 3 года</v>
      </c>
      <c r="Q36" s="8" t="str">
        <f t="shared" si="8"/>
        <v>перегруз</v>
      </c>
      <c r="R36" s="25" t="str">
        <f t="shared" si="9"/>
        <v>Дорожная карта не требуется</v>
      </c>
    </row>
    <row r="37" spans="2:18">
      <c r="B37" s="12" t="s">
        <v>26</v>
      </c>
      <c r="C37" s="20">
        <f t="shared" si="1"/>
        <v>0</v>
      </c>
      <c r="D37" s="20">
        <f t="shared" si="2"/>
        <v>0</v>
      </c>
      <c r="E37" s="57"/>
      <c r="F37" s="57"/>
      <c r="G37" s="57"/>
      <c r="H37" s="57"/>
      <c r="I37" s="57"/>
      <c r="J37" s="57" t="s">
        <v>157</v>
      </c>
      <c r="K37" s="8">
        <f t="shared" si="0"/>
        <v>0</v>
      </c>
      <c r="L37" s="9" t="str">
        <f t="shared" si="3"/>
        <v>Нелегальные объекты захоронения ТКО не выявлены</v>
      </c>
      <c r="M37" s="9" t="str">
        <f t="shared" si="4"/>
        <v>Все потоки ТКО указаны в территориальной схеме</v>
      </c>
      <c r="N37" s="9" t="str">
        <f t="shared" si="5"/>
        <v>Объектов по 765 приказу нет</v>
      </c>
      <c r="O37" s="9" t="str">
        <f t="shared" si="6"/>
        <v>Захоронение осуществляется без превышения мощностей</v>
      </c>
      <c r="P37" s="9" t="str">
        <f t="shared" si="7"/>
        <v>Действующих мощностей хватит более, чем на 3 года</v>
      </c>
      <c r="Q37" s="8" t="str">
        <f t="shared" si="8"/>
        <v/>
      </c>
      <c r="R37" s="25" t="str">
        <f t="shared" si="9"/>
        <v>Дорожная карта не требуется</v>
      </c>
    </row>
    <row r="38" spans="2:18">
      <c r="B38" s="12" t="s">
        <v>27</v>
      </c>
      <c r="C38" s="20">
        <f t="shared" si="1"/>
        <v>2</v>
      </c>
      <c r="D38" s="20">
        <f t="shared" si="2"/>
        <v>2</v>
      </c>
      <c r="E38" s="57"/>
      <c r="F38" s="57">
        <v>2</v>
      </c>
      <c r="G38" s="57">
        <v>1</v>
      </c>
      <c r="H38" s="57"/>
      <c r="I38" s="57"/>
      <c r="J38" s="57" t="s">
        <v>156</v>
      </c>
      <c r="K38" s="8">
        <f t="shared" si="0"/>
        <v>2</v>
      </c>
      <c r="L38" s="9" t="str">
        <f t="shared" si="3"/>
        <v>Нелегальные объекты захоронения ТКО не выявлены</v>
      </c>
      <c r="M38" s="9" t="str">
        <f t="shared" si="4"/>
        <v>Для ряда территорий осутствует схема потоков ТКО</v>
      </c>
      <c r="N38" s="9" t="str">
        <f t="shared" si="5"/>
        <v>Риски замещения объектов по 765 приказу средние</v>
      </c>
      <c r="O38" s="9" t="str">
        <f t="shared" si="6"/>
        <v>Захоронение осуществляется без превышения мощностей</v>
      </c>
      <c r="P38" s="9" t="str">
        <f t="shared" si="7"/>
        <v>Действующих мощностей хватит более, чем на 3 года</v>
      </c>
      <c r="Q38" s="8" t="str">
        <f t="shared" si="8"/>
        <v>белые пятна</v>
      </c>
      <c r="R38" s="25" t="str">
        <f t="shared" si="9"/>
        <v>Дорожная карта в разработке</v>
      </c>
    </row>
    <row r="39" spans="2:18">
      <c r="B39" s="12" t="s">
        <v>28</v>
      </c>
      <c r="C39" s="20">
        <f t="shared" si="1"/>
        <v>0</v>
      </c>
      <c r="D39" s="20">
        <f t="shared" si="2"/>
        <v>0</v>
      </c>
      <c r="E39" s="57"/>
      <c r="F39" s="57"/>
      <c r="G39" s="57"/>
      <c r="H39" s="57"/>
      <c r="I39" s="57"/>
      <c r="J39" s="57" t="s">
        <v>157</v>
      </c>
      <c r="K39" s="8">
        <f t="shared" si="0"/>
        <v>0</v>
      </c>
      <c r="L39" s="9" t="str">
        <f t="shared" si="3"/>
        <v>Нелегальные объекты захоронения ТКО не выявлены</v>
      </c>
      <c r="M39" s="9" t="str">
        <f t="shared" si="4"/>
        <v>Все потоки ТКО указаны в территориальной схеме</v>
      </c>
      <c r="N39" s="9" t="str">
        <f t="shared" si="5"/>
        <v>Объектов по 765 приказу нет</v>
      </c>
      <c r="O39" s="9" t="str">
        <f t="shared" si="6"/>
        <v>Захоронение осуществляется без превышения мощностей</v>
      </c>
      <c r="P39" s="9" t="str">
        <f t="shared" si="7"/>
        <v>Действующих мощностей хватит более, чем на 3 года</v>
      </c>
      <c r="Q39" s="8" t="str">
        <f t="shared" si="8"/>
        <v/>
      </c>
      <c r="R39" s="25" t="str">
        <f t="shared" si="9"/>
        <v>Дорожная карта не требуется</v>
      </c>
    </row>
    <row r="40" spans="2:18">
      <c r="B40" s="12" t="s">
        <v>29</v>
      </c>
      <c r="C40" s="20">
        <f t="shared" si="1"/>
        <v>0</v>
      </c>
      <c r="D40" s="20">
        <f t="shared" si="2"/>
        <v>0</v>
      </c>
      <c r="E40" s="57"/>
      <c r="F40" s="57"/>
      <c r="G40" s="57"/>
      <c r="H40" s="57"/>
      <c r="I40" s="57"/>
      <c r="J40" s="57" t="s">
        <v>157</v>
      </c>
      <c r="K40" s="8">
        <f t="shared" si="0"/>
        <v>0</v>
      </c>
      <c r="L40" s="9" t="str">
        <f t="shared" si="3"/>
        <v>Нелегальные объекты захоронения ТКО не выявлены</v>
      </c>
      <c r="M40" s="9" t="str">
        <f t="shared" si="4"/>
        <v>Все потоки ТКО указаны в территориальной схеме</v>
      </c>
      <c r="N40" s="9" t="str">
        <f t="shared" si="5"/>
        <v>Объектов по 765 приказу нет</v>
      </c>
      <c r="O40" s="9" t="str">
        <f t="shared" si="6"/>
        <v>Захоронение осуществляется без превышения мощностей</v>
      </c>
      <c r="P40" s="9" t="str">
        <f t="shared" si="7"/>
        <v>Действующих мощностей хватит более, чем на 3 года</v>
      </c>
      <c r="Q40" s="8" t="str">
        <f t="shared" si="8"/>
        <v/>
      </c>
      <c r="R40" s="25" t="str">
        <f t="shared" si="9"/>
        <v>Дорожная карта не требуется</v>
      </c>
    </row>
    <row r="41" spans="2:18">
      <c r="B41" s="12" t="s">
        <v>30</v>
      </c>
      <c r="C41" s="20">
        <f t="shared" si="1"/>
        <v>0</v>
      </c>
      <c r="D41" s="20">
        <f t="shared" si="2"/>
        <v>0</v>
      </c>
      <c r="E41" s="57"/>
      <c r="F41" s="57"/>
      <c r="G41" s="57"/>
      <c r="H41" s="57"/>
      <c r="I41" s="57"/>
      <c r="J41" s="57" t="s">
        <v>157</v>
      </c>
      <c r="K41" s="8">
        <f t="shared" si="0"/>
        <v>0</v>
      </c>
      <c r="L41" s="9" t="str">
        <f t="shared" si="3"/>
        <v>Нелегальные объекты захоронения ТКО не выявлены</v>
      </c>
      <c r="M41" s="9" t="str">
        <f t="shared" si="4"/>
        <v>Все потоки ТКО указаны в территориальной схеме</v>
      </c>
      <c r="N41" s="9" t="str">
        <f t="shared" si="5"/>
        <v>Объектов по 765 приказу нет</v>
      </c>
      <c r="O41" s="9" t="str">
        <f t="shared" si="6"/>
        <v>Захоронение осуществляется без превышения мощностей</v>
      </c>
      <c r="P41" s="9" t="str">
        <f t="shared" si="7"/>
        <v>Действующих мощностей хватит более, чем на 3 года</v>
      </c>
      <c r="Q41" s="8" t="str">
        <f t="shared" si="8"/>
        <v/>
      </c>
      <c r="R41" s="25" t="str">
        <f t="shared" si="9"/>
        <v>Дорожная карта не требуется</v>
      </c>
    </row>
    <row r="42" spans="2:18">
      <c r="B42" s="12" t="s">
        <v>31</v>
      </c>
      <c r="C42" s="20">
        <f t="shared" si="1"/>
        <v>1</v>
      </c>
      <c r="D42" s="20">
        <f t="shared" si="2"/>
        <v>1</v>
      </c>
      <c r="E42" s="57"/>
      <c r="F42" s="57"/>
      <c r="G42" s="57"/>
      <c r="H42" s="57">
        <v>1</v>
      </c>
      <c r="I42" s="57"/>
      <c r="J42" s="57" t="s">
        <v>157</v>
      </c>
      <c r="K42" s="8">
        <f t="shared" si="0"/>
        <v>0</v>
      </c>
      <c r="L42" s="9" t="str">
        <f t="shared" si="3"/>
        <v>Нелегальные объекты захоронения ТКО не выявлены</v>
      </c>
      <c r="M42" s="9" t="str">
        <f t="shared" si="4"/>
        <v>Все потоки ТКО указаны в территориальной схеме</v>
      </c>
      <c r="N42" s="9" t="str">
        <f t="shared" si="5"/>
        <v>Объектов по 765 приказу нет</v>
      </c>
      <c r="O42" s="9" t="str">
        <f t="shared" si="6"/>
        <v>Захоронение осуществляется с превышением мощностей</v>
      </c>
      <c r="P42" s="9" t="str">
        <f t="shared" si="7"/>
        <v>Действующих мощностей хватит более, чем на 3 года</v>
      </c>
      <c r="Q42" s="8" t="str">
        <f t="shared" si="8"/>
        <v>перегруз</v>
      </c>
      <c r="R42" s="25" t="str">
        <f t="shared" si="9"/>
        <v>Дорожная карта не требуется</v>
      </c>
    </row>
    <row r="43" spans="2:18">
      <c r="B43" s="12" t="s">
        <v>32</v>
      </c>
      <c r="C43" s="20">
        <f t="shared" si="1"/>
        <v>2</v>
      </c>
      <c r="D43" s="20">
        <f t="shared" si="2"/>
        <v>2</v>
      </c>
      <c r="E43" s="57"/>
      <c r="F43" s="57"/>
      <c r="G43" s="57">
        <v>2</v>
      </c>
      <c r="H43" s="57">
        <v>1</v>
      </c>
      <c r="I43" s="57"/>
      <c r="J43" s="57" t="s">
        <v>549</v>
      </c>
      <c r="K43" s="8">
        <f t="shared" si="0"/>
        <v>1</v>
      </c>
      <c r="L43" s="9" t="str">
        <f t="shared" si="3"/>
        <v>Нелегальные объекты захоронения ТКО не выявлены</v>
      </c>
      <c r="M43" s="9" t="str">
        <f t="shared" si="4"/>
        <v>Все потоки ТКО указаны в территориальной схеме</v>
      </c>
      <c r="N43" s="9" t="str">
        <f t="shared" si="5"/>
        <v>Риски замещения объектов по 765 приказу высокие</v>
      </c>
      <c r="O43" s="9" t="str">
        <f t="shared" si="6"/>
        <v>Захоронение осуществляется с превышением мощностей</v>
      </c>
      <c r="P43" s="9" t="str">
        <f t="shared" si="7"/>
        <v>Действующих мощностей хватит более, чем на 3 года</v>
      </c>
      <c r="Q43" s="8" t="str">
        <f t="shared" si="8"/>
        <v>765 приказ</v>
      </c>
      <c r="R43" s="25" t="str">
        <f t="shared" si="9"/>
        <v>Дорожная карта на обсуждении</v>
      </c>
    </row>
    <row r="44" spans="2:18">
      <c r="B44" s="12" t="s">
        <v>33</v>
      </c>
      <c r="C44" s="20">
        <f t="shared" si="1"/>
        <v>2</v>
      </c>
      <c r="D44" s="20">
        <f t="shared" si="2"/>
        <v>2</v>
      </c>
      <c r="E44" s="57"/>
      <c r="F44" s="57">
        <v>2</v>
      </c>
      <c r="G44" s="57"/>
      <c r="H44" s="57">
        <v>1</v>
      </c>
      <c r="I44" s="57"/>
      <c r="J44" s="57" t="s">
        <v>156</v>
      </c>
      <c r="K44" s="8">
        <f t="shared" si="0"/>
        <v>2</v>
      </c>
      <c r="L44" s="9" t="str">
        <f t="shared" si="3"/>
        <v>Нелегальные объекты захоронения ТКО не выявлены</v>
      </c>
      <c r="M44" s="9" t="str">
        <f t="shared" si="4"/>
        <v>Для ряда территорий осутствует схема потоков ТКО</v>
      </c>
      <c r="N44" s="9" t="str">
        <f t="shared" si="5"/>
        <v>Объектов по 765 приказу нет</v>
      </c>
      <c r="O44" s="9" t="str">
        <f t="shared" si="6"/>
        <v>Захоронение осуществляется с превышением мощностей</v>
      </c>
      <c r="P44" s="9" t="str">
        <f t="shared" si="7"/>
        <v>Действующих мощностей хватит более, чем на 3 года</v>
      </c>
      <c r="Q44" s="8" t="str">
        <f t="shared" si="8"/>
        <v>белые пятна</v>
      </c>
      <c r="R44" s="25" t="str">
        <f t="shared" si="9"/>
        <v>Дорожная карта в разработке</v>
      </c>
    </row>
    <row r="45" spans="2:18">
      <c r="B45" s="12" t="s">
        <v>34</v>
      </c>
      <c r="C45" s="20">
        <f t="shared" si="1"/>
        <v>0</v>
      </c>
      <c r="D45" s="20">
        <f t="shared" si="2"/>
        <v>0</v>
      </c>
      <c r="E45" s="57"/>
      <c r="F45" s="57"/>
      <c r="G45" s="57"/>
      <c r="H45" s="57"/>
      <c r="I45" s="57"/>
      <c r="J45" s="57" t="s">
        <v>157</v>
      </c>
      <c r="K45" s="8">
        <f t="shared" si="0"/>
        <v>0</v>
      </c>
      <c r="L45" s="9" t="str">
        <f t="shared" si="3"/>
        <v>Нелегальные объекты захоронения ТКО не выявлены</v>
      </c>
      <c r="M45" s="9" t="str">
        <f t="shared" si="4"/>
        <v>Все потоки ТКО указаны в территориальной схеме</v>
      </c>
      <c r="N45" s="9" t="str">
        <f t="shared" si="5"/>
        <v>Объектов по 765 приказу нет</v>
      </c>
      <c r="O45" s="9" t="str">
        <f t="shared" si="6"/>
        <v>Захоронение осуществляется без превышения мощностей</v>
      </c>
      <c r="P45" s="9" t="str">
        <f t="shared" si="7"/>
        <v>Действующих мощностей хватит более, чем на 3 года</v>
      </c>
      <c r="Q45" s="8" t="str">
        <f t="shared" si="8"/>
        <v/>
      </c>
      <c r="R45" s="25" t="str">
        <f t="shared" si="9"/>
        <v>Дорожная карта не требуется</v>
      </c>
    </row>
    <row r="46" spans="2:18">
      <c r="B46" s="12" t="s">
        <v>35</v>
      </c>
      <c r="C46" s="20">
        <f t="shared" si="1"/>
        <v>0</v>
      </c>
      <c r="D46" s="20">
        <f t="shared" si="2"/>
        <v>0</v>
      </c>
      <c r="E46" s="57"/>
      <c r="F46" s="57"/>
      <c r="G46" s="57"/>
      <c r="H46" s="57"/>
      <c r="I46" s="57"/>
      <c r="J46" s="57" t="s">
        <v>157</v>
      </c>
      <c r="K46" s="8">
        <f t="shared" si="0"/>
        <v>0</v>
      </c>
      <c r="L46" s="9" t="str">
        <f t="shared" si="3"/>
        <v>Нелегальные объекты захоронения ТКО не выявлены</v>
      </c>
      <c r="M46" s="9" t="str">
        <f t="shared" si="4"/>
        <v>Все потоки ТКО указаны в территориальной схеме</v>
      </c>
      <c r="N46" s="9" t="str">
        <f t="shared" si="5"/>
        <v>Объектов по 765 приказу нет</v>
      </c>
      <c r="O46" s="9" t="str">
        <f t="shared" si="6"/>
        <v>Захоронение осуществляется без превышения мощностей</v>
      </c>
      <c r="P46" s="9" t="str">
        <f t="shared" si="7"/>
        <v>Действующих мощностей хватит более, чем на 3 года</v>
      </c>
      <c r="Q46" s="8" t="str">
        <f t="shared" si="8"/>
        <v/>
      </c>
      <c r="R46" s="25" t="str">
        <f t="shared" si="9"/>
        <v>Дорожная карта не требуется</v>
      </c>
    </row>
    <row r="47" spans="2:18">
      <c r="B47" s="12" t="s">
        <v>36</v>
      </c>
      <c r="C47" s="20">
        <f t="shared" si="1"/>
        <v>1</v>
      </c>
      <c r="D47" s="20">
        <f t="shared" si="2"/>
        <v>1</v>
      </c>
      <c r="E47" s="57"/>
      <c r="F47" s="57"/>
      <c r="G47" s="57">
        <v>1</v>
      </c>
      <c r="H47" s="57"/>
      <c r="I47" s="57">
        <v>1</v>
      </c>
      <c r="J47" s="57" t="s">
        <v>158</v>
      </c>
      <c r="K47" s="8">
        <f t="shared" si="0"/>
        <v>0</v>
      </c>
      <c r="L47" s="9" t="str">
        <f t="shared" si="3"/>
        <v>Нелегальные объекты захоронения ТКО не выявлены</v>
      </c>
      <c r="M47" s="9" t="str">
        <f t="shared" si="4"/>
        <v>Все потоки ТКО указаны в территориальной схеме</v>
      </c>
      <c r="N47" s="9" t="str">
        <f t="shared" si="5"/>
        <v>Риски замещения объектов по 765 приказу средние</v>
      </c>
      <c r="O47" s="9" t="str">
        <f t="shared" si="6"/>
        <v>Захоронение осуществляется без превышения мощностей</v>
      </c>
      <c r="P47" s="9" t="str">
        <f t="shared" si="7"/>
        <v>Действующие мощности будут исчерпаны за 3 года</v>
      </c>
      <c r="Q47" s="8" t="str">
        <f t="shared" si="8"/>
        <v>765 приказ</v>
      </c>
      <c r="R47" s="25" t="str">
        <f t="shared" si="9"/>
        <v>Дорожная карта подписана</v>
      </c>
    </row>
    <row r="48" spans="2:18">
      <c r="B48" s="12" t="s">
        <v>37</v>
      </c>
      <c r="C48" s="20">
        <f t="shared" si="1"/>
        <v>1</v>
      </c>
      <c r="D48" s="20">
        <f t="shared" si="2"/>
        <v>1</v>
      </c>
      <c r="E48" s="57"/>
      <c r="F48" s="57"/>
      <c r="G48" s="57"/>
      <c r="H48" s="57">
        <v>1</v>
      </c>
      <c r="I48" s="57"/>
      <c r="J48" s="57" t="s">
        <v>157</v>
      </c>
      <c r="K48" s="8">
        <f t="shared" si="0"/>
        <v>0</v>
      </c>
      <c r="L48" s="9" t="str">
        <f t="shared" si="3"/>
        <v>Нелегальные объекты захоронения ТКО не выявлены</v>
      </c>
      <c r="M48" s="9" t="str">
        <f t="shared" si="4"/>
        <v>Все потоки ТКО указаны в территориальной схеме</v>
      </c>
      <c r="N48" s="9" t="str">
        <f t="shared" si="5"/>
        <v>Объектов по 765 приказу нет</v>
      </c>
      <c r="O48" s="9" t="str">
        <f t="shared" si="6"/>
        <v>Захоронение осуществляется с превышением мощностей</v>
      </c>
      <c r="P48" s="9" t="str">
        <f t="shared" si="7"/>
        <v>Действующих мощностей хватит более, чем на 3 года</v>
      </c>
      <c r="Q48" s="8" t="str">
        <f t="shared" si="8"/>
        <v>перегруз</v>
      </c>
      <c r="R48" s="25" t="str">
        <f t="shared" si="9"/>
        <v>Дорожная карта не требуется</v>
      </c>
    </row>
    <row r="49" spans="2:18">
      <c r="B49" s="12" t="s">
        <v>581</v>
      </c>
      <c r="C49" s="20">
        <f t="shared" si="1"/>
        <v>0</v>
      </c>
      <c r="D49" s="20">
        <f t="shared" si="2"/>
        <v>0</v>
      </c>
      <c r="E49" s="57"/>
      <c r="F49" s="57"/>
      <c r="G49" s="57"/>
      <c r="H49" s="57"/>
      <c r="I49" s="57"/>
      <c r="J49" s="57" t="s">
        <v>157</v>
      </c>
      <c r="K49" s="8">
        <f t="shared" si="0"/>
        <v>0</v>
      </c>
      <c r="L49" s="9" t="str">
        <f t="shared" si="3"/>
        <v>Нелегальные объекты захоронения ТКО не выявлены</v>
      </c>
      <c r="M49" s="9" t="str">
        <f t="shared" si="4"/>
        <v>Все потоки ТКО указаны в территориальной схеме</v>
      </c>
      <c r="N49" s="9" t="str">
        <f t="shared" si="5"/>
        <v>Объектов по 765 приказу нет</v>
      </c>
      <c r="O49" s="9" t="str">
        <f t="shared" si="6"/>
        <v>Захоронение осуществляется без превышения мощностей</v>
      </c>
      <c r="P49" s="9" t="str">
        <f t="shared" si="7"/>
        <v>Действующих мощностей хватит более, чем на 3 года</v>
      </c>
      <c r="Q49" s="8" t="str">
        <f t="shared" si="8"/>
        <v/>
      </c>
      <c r="R49" s="25" t="str">
        <f t="shared" si="9"/>
        <v>Дорожная карта не требуется</v>
      </c>
    </row>
    <row r="50" spans="2:18">
      <c r="B50" s="12" t="s">
        <v>38</v>
      </c>
      <c r="C50" s="20">
        <f t="shared" si="1"/>
        <v>2</v>
      </c>
      <c r="D50" s="20">
        <f t="shared" si="2"/>
        <v>2</v>
      </c>
      <c r="E50" s="57"/>
      <c r="F50" s="57">
        <v>2</v>
      </c>
      <c r="G50" s="57"/>
      <c r="H50" s="57"/>
      <c r="I50" s="57"/>
      <c r="J50" s="57" t="s">
        <v>156</v>
      </c>
      <c r="K50" s="8">
        <f t="shared" si="0"/>
        <v>2</v>
      </c>
      <c r="L50" s="9" t="str">
        <f t="shared" si="3"/>
        <v>Нелегальные объекты захоронения ТКО не выявлены</v>
      </c>
      <c r="M50" s="9" t="str">
        <f t="shared" si="4"/>
        <v>Для ряда территорий осутствует схема потоков ТКО</v>
      </c>
      <c r="N50" s="9" t="str">
        <f t="shared" si="5"/>
        <v>Объектов по 765 приказу нет</v>
      </c>
      <c r="O50" s="9" t="str">
        <f t="shared" si="6"/>
        <v>Захоронение осуществляется без превышения мощностей</v>
      </c>
      <c r="P50" s="9" t="str">
        <f t="shared" si="7"/>
        <v>Действующих мощностей хватит более, чем на 3 года</v>
      </c>
      <c r="Q50" s="8" t="str">
        <f t="shared" si="8"/>
        <v>белые пятна</v>
      </c>
      <c r="R50" s="25" t="str">
        <f t="shared" si="9"/>
        <v>Дорожная карта в разработке</v>
      </c>
    </row>
    <row r="51" spans="2:18">
      <c r="B51" s="12" t="s">
        <v>39</v>
      </c>
      <c r="C51" s="20">
        <f t="shared" si="1"/>
        <v>0</v>
      </c>
      <c r="D51" s="20">
        <f t="shared" si="2"/>
        <v>0</v>
      </c>
      <c r="E51" s="57"/>
      <c r="F51" s="57"/>
      <c r="G51" s="57"/>
      <c r="H51" s="57"/>
      <c r="I51" s="57"/>
      <c r="J51" s="57" t="s">
        <v>157</v>
      </c>
      <c r="K51" s="8">
        <f t="shared" si="0"/>
        <v>0</v>
      </c>
      <c r="L51" s="9" t="str">
        <f t="shared" si="3"/>
        <v>Нелегальные объекты захоронения ТКО не выявлены</v>
      </c>
      <c r="M51" s="9" t="str">
        <f t="shared" si="4"/>
        <v>Все потоки ТКО указаны в территориальной схеме</v>
      </c>
      <c r="N51" s="9" t="str">
        <f t="shared" si="5"/>
        <v>Объектов по 765 приказу нет</v>
      </c>
      <c r="O51" s="9" t="str">
        <f t="shared" si="6"/>
        <v>Захоронение осуществляется без превышения мощностей</v>
      </c>
      <c r="P51" s="9" t="str">
        <f t="shared" si="7"/>
        <v>Действующих мощностей хватит более, чем на 3 года</v>
      </c>
      <c r="Q51" s="8" t="str">
        <f t="shared" si="8"/>
        <v/>
      </c>
      <c r="R51" s="25" t="str">
        <f t="shared" si="9"/>
        <v>Дорожная карта не требуется</v>
      </c>
    </row>
    <row r="52" spans="2:18">
      <c r="B52" s="12" t="s">
        <v>40</v>
      </c>
      <c r="C52" s="20">
        <f t="shared" si="1"/>
        <v>0</v>
      </c>
      <c r="D52" s="20">
        <f t="shared" si="2"/>
        <v>0</v>
      </c>
      <c r="E52" s="57"/>
      <c r="F52" s="57"/>
      <c r="G52" s="57"/>
      <c r="H52" s="57"/>
      <c r="I52" s="57"/>
      <c r="J52" s="57" t="s">
        <v>157</v>
      </c>
      <c r="K52" s="8">
        <f t="shared" si="0"/>
        <v>0</v>
      </c>
      <c r="L52" s="9" t="str">
        <f t="shared" si="3"/>
        <v>Нелегальные объекты захоронения ТКО не выявлены</v>
      </c>
      <c r="M52" s="9" t="str">
        <f t="shared" si="4"/>
        <v>Все потоки ТКО указаны в территориальной схеме</v>
      </c>
      <c r="N52" s="9" t="str">
        <f t="shared" si="5"/>
        <v>Объектов по 765 приказу нет</v>
      </c>
      <c r="O52" s="9" t="str">
        <f t="shared" si="6"/>
        <v>Захоронение осуществляется без превышения мощностей</v>
      </c>
      <c r="P52" s="9" t="str">
        <f t="shared" si="7"/>
        <v>Действующих мощностей хватит более, чем на 3 года</v>
      </c>
      <c r="Q52" s="8" t="str">
        <f t="shared" si="8"/>
        <v/>
      </c>
      <c r="R52" s="25" t="str">
        <f t="shared" si="9"/>
        <v>Дорожная карта не требуется</v>
      </c>
    </row>
    <row r="53" spans="2:18">
      <c r="B53" s="12" t="s">
        <v>41</v>
      </c>
      <c r="C53" s="20">
        <f t="shared" si="1"/>
        <v>2</v>
      </c>
      <c r="D53" s="20">
        <f t="shared" si="2"/>
        <v>2</v>
      </c>
      <c r="E53" s="57"/>
      <c r="F53" s="57">
        <v>2</v>
      </c>
      <c r="G53" s="57"/>
      <c r="H53" s="57"/>
      <c r="I53" s="57"/>
      <c r="J53" s="57" t="s">
        <v>156</v>
      </c>
      <c r="K53" s="8">
        <f t="shared" si="0"/>
        <v>2</v>
      </c>
      <c r="L53" s="9" t="str">
        <f t="shared" si="3"/>
        <v>Нелегальные объекты захоронения ТКО не выявлены</v>
      </c>
      <c r="M53" s="9" t="str">
        <f t="shared" si="4"/>
        <v>Для ряда территорий осутствует схема потоков ТКО</v>
      </c>
      <c r="N53" s="9" t="str">
        <f t="shared" si="5"/>
        <v>Объектов по 765 приказу нет</v>
      </c>
      <c r="O53" s="9" t="str">
        <f t="shared" si="6"/>
        <v>Захоронение осуществляется без превышения мощностей</v>
      </c>
      <c r="P53" s="9" t="str">
        <f t="shared" si="7"/>
        <v>Действующих мощностей хватит более, чем на 3 года</v>
      </c>
      <c r="Q53" s="8" t="str">
        <f t="shared" si="8"/>
        <v>белые пятна</v>
      </c>
      <c r="R53" s="25" t="str">
        <f t="shared" si="9"/>
        <v>Дорожная карта в разработке</v>
      </c>
    </row>
    <row r="54" spans="2:18">
      <c r="B54" s="12" t="s">
        <v>42</v>
      </c>
      <c r="C54" s="20">
        <f t="shared" si="1"/>
        <v>0</v>
      </c>
      <c r="D54" s="20">
        <f t="shared" si="2"/>
        <v>0</v>
      </c>
      <c r="E54" s="57"/>
      <c r="F54" s="57"/>
      <c r="G54" s="57"/>
      <c r="H54" s="57"/>
      <c r="I54" s="57"/>
      <c r="J54" s="57" t="s">
        <v>157</v>
      </c>
      <c r="K54" s="8">
        <f t="shared" si="0"/>
        <v>0</v>
      </c>
      <c r="L54" s="9" t="str">
        <f t="shared" si="3"/>
        <v>Нелегальные объекты захоронения ТКО не выявлены</v>
      </c>
      <c r="M54" s="9" t="str">
        <f t="shared" si="4"/>
        <v>Все потоки ТКО указаны в территориальной схеме</v>
      </c>
      <c r="N54" s="9" t="str">
        <f t="shared" si="5"/>
        <v>Объектов по 765 приказу нет</v>
      </c>
      <c r="O54" s="9" t="str">
        <f t="shared" si="6"/>
        <v>Захоронение осуществляется без превышения мощностей</v>
      </c>
      <c r="P54" s="9" t="str">
        <f t="shared" si="7"/>
        <v>Действующих мощностей хватит более, чем на 3 года</v>
      </c>
      <c r="Q54" s="8" t="str">
        <f t="shared" si="8"/>
        <v/>
      </c>
      <c r="R54" s="25" t="str">
        <f t="shared" si="9"/>
        <v>Дорожная карта не требуется</v>
      </c>
    </row>
    <row r="55" spans="2:18">
      <c r="B55" s="12" t="s">
        <v>43</v>
      </c>
      <c r="C55" s="20">
        <f t="shared" si="1"/>
        <v>0</v>
      </c>
      <c r="D55" s="20">
        <f t="shared" si="2"/>
        <v>0</v>
      </c>
      <c r="E55" s="57"/>
      <c r="F55" s="57"/>
      <c r="G55" s="57"/>
      <c r="H55" s="57"/>
      <c r="I55" s="57"/>
      <c r="J55" s="57" t="s">
        <v>157</v>
      </c>
      <c r="K55" s="8">
        <f t="shared" si="0"/>
        <v>0</v>
      </c>
      <c r="L55" s="9" t="str">
        <f t="shared" si="3"/>
        <v>Нелегальные объекты захоронения ТКО не выявлены</v>
      </c>
      <c r="M55" s="9" t="str">
        <f t="shared" si="4"/>
        <v>Все потоки ТКО указаны в территориальной схеме</v>
      </c>
      <c r="N55" s="9" t="str">
        <f t="shared" si="5"/>
        <v>Объектов по 765 приказу нет</v>
      </c>
      <c r="O55" s="9" t="str">
        <f t="shared" si="6"/>
        <v>Захоронение осуществляется без превышения мощностей</v>
      </c>
      <c r="P55" s="9" t="str">
        <f t="shared" si="7"/>
        <v>Действующих мощностей хватит более, чем на 3 года</v>
      </c>
      <c r="Q55" s="8" t="str">
        <f t="shared" si="8"/>
        <v/>
      </c>
      <c r="R55" s="25" t="str">
        <f t="shared" si="9"/>
        <v>Дорожная карта не требуется</v>
      </c>
    </row>
    <row r="56" spans="2:18">
      <c r="B56" s="12" t="s">
        <v>44</v>
      </c>
      <c r="C56" s="20">
        <f t="shared" si="1"/>
        <v>2</v>
      </c>
      <c r="D56" s="20">
        <f t="shared" si="2"/>
        <v>2</v>
      </c>
      <c r="E56" s="57"/>
      <c r="F56" s="57"/>
      <c r="G56" s="57">
        <v>2</v>
      </c>
      <c r="H56" s="57"/>
      <c r="I56" s="57"/>
      <c r="J56" s="57" t="s">
        <v>158</v>
      </c>
      <c r="K56" s="8">
        <f t="shared" si="0"/>
        <v>0</v>
      </c>
      <c r="L56" s="9" t="str">
        <f t="shared" si="3"/>
        <v>Нелегальные объекты захоронения ТКО не выявлены</v>
      </c>
      <c r="M56" s="9" t="str">
        <f t="shared" si="4"/>
        <v>Все потоки ТКО указаны в территориальной схеме</v>
      </c>
      <c r="N56" s="9" t="str">
        <f t="shared" si="5"/>
        <v>Риски замещения объектов по 765 приказу высокие</v>
      </c>
      <c r="O56" s="9" t="str">
        <f t="shared" si="6"/>
        <v>Захоронение осуществляется без превышения мощностей</v>
      </c>
      <c r="P56" s="9" t="str">
        <f t="shared" si="7"/>
        <v>Действующих мощностей хватит более, чем на 3 года</v>
      </c>
      <c r="Q56" s="8" t="str">
        <f t="shared" si="8"/>
        <v>765 приказ</v>
      </c>
      <c r="R56" s="25" t="str">
        <f t="shared" si="9"/>
        <v>Дорожная карта подписана</v>
      </c>
    </row>
    <row r="57" spans="2:18">
      <c r="B57" s="12" t="s">
        <v>45</v>
      </c>
      <c r="C57" s="20">
        <f t="shared" si="1"/>
        <v>2</v>
      </c>
      <c r="D57" s="20">
        <f t="shared" si="2"/>
        <v>2</v>
      </c>
      <c r="E57" s="57"/>
      <c r="F57" s="57"/>
      <c r="G57" s="57">
        <v>2</v>
      </c>
      <c r="H57" s="57"/>
      <c r="I57" s="57"/>
      <c r="J57" s="57" t="s">
        <v>549</v>
      </c>
      <c r="K57" s="8">
        <f t="shared" si="0"/>
        <v>1</v>
      </c>
      <c r="L57" s="9" t="str">
        <f t="shared" si="3"/>
        <v>Нелегальные объекты захоронения ТКО не выявлены</v>
      </c>
      <c r="M57" s="9" t="str">
        <f t="shared" si="4"/>
        <v>Все потоки ТКО указаны в территориальной схеме</v>
      </c>
      <c r="N57" s="9" t="str">
        <f t="shared" si="5"/>
        <v>Риски замещения объектов по 765 приказу высокие</v>
      </c>
      <c r="O57" s="9" t="str">
        <f t="shared" si="6"/>
        <v>Захоронение осуществляется без превышения мощностей</v>
      </c>
      <c r="P57" s="9" t="str">
        <f t="shared" si="7"/>
        <v>Действующих мощностей хватит более, чем на 3 года</v>
      </c>
      <c r="Q57" s="8" t="str">
        <f t="shared" si="8"/>
        <v>765 приказ</v>
      </c>
      <c r="R57" s="25" t="str">
        <f t="shared" si="9"/>
        <v>Дорожная карта на обсуждении</v>
      </c>
    </row>
    <row r="58" spans="2:18">
      <c r="B58" s="12" t="s">
        <v>46</v>
      </c>
      <c r="C58" s="20">
        <f t="shared" si="1"/>
        <v>0</v>
      </c>
      <c r="D58" s="20">
        <f t="shared" si="2"/>
        <v>0</v>
      </c>
      <c r="E58" s="57"/>
      <c r="F58" s="57"/>
      <c r="G58" s="57"/>
      <c r="H58" s="57"/>
      <c r="I58" s="57"/>
      <c r="J58" s="57" t="s">
        <v>157</v>
      </c>
      <c r="K58" s="8">
        <f t="shared" si="0"/>
        <v>0</v>
      </c>
      <c r="L58" s="9" t="str">
        <f t="shared" si="3"/>
        <v>Нелегальные объекты захоронения ТКО не выявлены</v>
      </c>
      <c r="M58" s="9" t="str">
        <f t="shared" si="4"/>
        <v>Все потоки ТКО указаны в территориальной схеме</v>
      </c>
      <c r="N58" s="9" t="str">
        <f t="shared" si="5"/>
        <v>Объектов по 765 приказу нет</v>
      </c>
      <c r="O58" s="9" t="str">
        <f t="shared" si="6"/>
        <v>Захоронение осуществляется без превышения мощностей</v>
      </c>
      <c r="P58" s="9" t="str">
        <f t="shared" si="7"/>
        <v>Действующих мощностей хватит более, чем на 3 года</v>
      </c>
      <c r="Q58" s="8" t="str">
        <f t="shared" si="8"/>
        <v/>
      </c>
      <c r="R58" s="25" t="str">
        <f t="shared" si="9"/>
        <v>Дорожная карта не требуется</v>
      </c>
    </row>
    <row r="59" spans="2:18">
      <c r="B59" s="12" t="s">
        <v>47</v>
      </c>
      <c r="C59" s="20">
        <f t="shared" si="1"/>
        <v>1</v>
      </c>
      <c r="D59" s="20">
        <f t="shared" si="2"/>
        <v>1</v>
      </c>
      <c r="E59" s="57"/>
      <c r="F59" s="57"/>
      <c r="G59" s="57"/>
      <c r="H59" s="57">
        <v>1</v>
      </c>
      <c r="I59" s="57"/>
      <c r="J59" s="57" t="s">
        <v>157</v>
      </c>
      <c r="K59" s="8">
        <f t="shared" si="0"/>
        <v>0</v>
      </c>
      <c r="L59" s="9" t="str">
        <f t="shared" si="3"/>
        <v>Нелегальные объекты захоронения ТКО не выявлены</v>
      </c>
      <c r="M59" s="9" t="str">
        <f t="shared" si="4"/>
        <v>Все потоки ТКО указаны в территориальной схеме</v>
      </c>
      <c r="N59" s="9" t="str">
        <f t="shared" si="5"/>
        <v>Объектов по 765 приказу нет</v>
      </c>
      <c r="O59" s="9" t="str">
        <f t="shared" si="6"/>
        <v>Захоронение осуществляется с превышением мощностей</v>
      </c>
      <c r="P59" s="9" t="str">
        <f t="shared" si="7"/>
        <v>Действующих мощностей хватит более, чем на 3 года</v>
      </c>
      <c r="Q59" s="8" t="str">
        <f t="shared" si="8"/>
        <v>перегруз</v>
      </c>
      <c r="R59" s="25" t="str">
        <f t="shared" si="9"/>
        <v>Дорожная карта не требуется</v>
      </c>
    </row>
    <row r="60" spans="2:18">
      <c r="B60" s="12" t="s">
        <v>48</v>
      </c>
      <c r="C60" s="20">
        <f t="shared" si="1"/>
        <v>1</v>
      </c>
      <c r="D60" s="20">
        <f t="shared" si="2"/>
        <v>1</v>
      </c>
      <c r="E60" s="57"/>
      <c r="F60" s="57"/>
      <c r="G60" s="57"/>
      <c r="H60" s="57">
        <v>1</v>
      </c>
      <c r="I60" s="57"/>
      <c r="J60" s="57" t="s">
        <v>157</v>
      </c>
      <c r="K60" s="8">
        <f t="shared" si="0"/>
        <v>0</v>
      </c>
      <c r="L60" s="9" t="str">
        <f t="shared" si="3"/>
        <v>Нелегальные объекты захоронения ТКО не выявлены</v>
      </c>
      <c r="M60" s="9" t="str">
        <f t="shared" si="4"/>
        <v>Все потоки ТКО указаны в территориальной схеме</v>
      </c>
      <c r="N60" s="9" t="str">
        <f t="shared" si="5"/>
        <v>Объектов по 765 приказу нет</v>
      </c>
      <c r="O60" s="9" t="str">
        <f t="shared" si="6"/>
        <v>Захоронение осуществляется с превышением мощностей</v>
      </c>
      <c r="P60" s="9" t="str">
        <f t="shared" si="7"/>
        <v>Действующих мощностей хватит более, чем на 3 года</v>
      </c>
      <c r="Q60" s="8" t="str">
        <f t="shared" si="8"/>
        <v>перегруз</v>
      </c>
      <c r="R60" s="25" t="str">
        <f t="shared" si="9"/>
        <v>Дорожная карта не требуется</v>
      </c>
    </row>
    <row r="61" spans="2:18">
      <c r="B61" s="12" t="s">
        <v>49</v>
      </c>
      <c r="C61" s="20">
        <f t="shared" si="1"/>
        <v>2</v>
      </c>
      <c r="D61" s="20">
        <f t="shared" si="2"/>
        <v>2</v>
      </c>
      <c r="E61" s="57"/>
      <c r="F61" s="57"/>
      <c r="G61" s="57">
        <v>2</v>
      </c>
      <c r="H61" s="57"/>
      <c r="I61" s="57"/>
      <c r="J61" s="57" t="s">
        <v>158</v>
      </c>
      <c r="K61" s="8">
        <f t="shared" si="0"/>
        <v>0</v>
      </c>
      <c r="L61" s="9" t="str">
        <f t="shared" si="3"/>
        <v>Нелегальные объекты захоронения ТКО не выявлены</v>
      </c>
      <c r="M61" s="9" t="str">
        <f t="shared" si="4"/>
        <v>Все потоки ТКО указаны в территориальной схеме</v>
      </c>
      <c r="N61" s="9" t="str">
        <f t="shared" si="5"/>
        <v>Риски замещения объектов по 765 приказу высокие</v>
      </c>
      <c r="O61" s="9" t="str">
        <f t="shared" si="6"/>
        <v>Захоронение осуществляется без превышения мощностей</v>
      </c>
      <c r="P61" s="9" t="str">
        <f t="shared" si="7"/>
        <v>Действующих мощностей хватит более, чем на 3 года</v>
      </c>
      <c r="Q61" s="8" t="str">
        <f t="shared" si="8"/>
        <v>765 приказ</v>
      </c>
      <c r="R61" s="25" t="str">
        <f t="shared" si="9"/>
        <v>Дорожная карта подписана</v>
      </c>
    </row>
    <row r="62" spans="2:18">
      <c r="B62" s="12" t="s">
        <v>50</v>
      </c>
      <c r="C62" s="20">
        <f t="shared" si="1"/>
        <v>2</v>
      </c>
      <c r="D62" s="20">
        <f t="shared" si="2"/>
        <v>2</v>
      </c>
      <c r="E62" s="57"/>
      <c r="F62" s="57"/>
      <c r="G62" s="57">
        <v>2</v>
      </c>
      <c r="H62" s="57"/>
      <c r="I62" s="57"/>
      <c r="J62" s="57" t="s">
        <v>158</v>
      </c>
      <c r="K62" s="8">
        <f t="shared" si="0"/>
        <v>0</v>
      </c>
      <c r="L62" s="9" t="str">
        <f t="shared" si="3"/>
        <v>Нелегальные объекты захоронения ТКО не выявлены</v>
      </c>
      <c r="M62" s="9" t="str">
        <f t="shared" si="4"/>
        <v>Все потоки ТКО указаны в территориальной схеме</v>
      </c>
      <c r="N62" s="9" t="str">
        <f t="shared" si="5"/>
        <v>Риски замещения объектов по 765 приказу высокие</v>
      </c>
      <c r="O62" s="9" t="str">
        <f t="shared" si="6"/>
        <v>Захоронение осуществляется без превышения мощностей</v>
      </c>
      <c r="P62" s="9" t="str">
        <f t="shared" si="7"/>
        <v>Действующих мощностей хватит более, чем на 3 года</v>
      </c>
      <c r="Q62" s="8" t="str">
        <f t="shared" si="8"/>
        <v>765 приказ</v>
      </c>
      <c r="R62" s="25" t="str">
        <f t="shared" si="9"/>
        <v>Дорожная карта подписана</v>
      </c>
    </row>
    <row r="63" spans="2:18">
      <c r="B63" s="12" t="s">
        <v>51</v>
      </c>
      <c r="C63" s="20">
        <f t="shared" si="1"/>
        <v>0</v>
      </c>
      <c r="D63" s="20">
        <f t="shared" si="2"/>
        <v>0</v>
      </c>
      <c r="E63" s="57"/>
      <c r="F63" s="57"/>
      <c r="G63" s="57"/>
      <c r="H63" s="57"/>
      <c r="I63" s="57"/>
      <c r="J63" s="57" t="s">
        <v>157</v>
      </c>
      <c r="K63" s="8">
        <f t="shared" si="0"/>
        <v>0</v>
      </c>
      <c r="L63" s="9" t="str">
        <f t="shared" si="3"/>
        <v>Нелегальные объекты захоронения ТКО не выявлены</v>
      </c>
      <c r="M63" s="9" t="str">
        <f t="shared" si="4"/>
        <v>Все потоки ТКО указаны в территориальной схеме</v>
      </c>
      <c r="N63" s="9" t="str">
        <f t="shared" si="5"/>
        <v>Объектов по 765 приказу нет</v>
      </c>
      <c r="O63" s="9" t="str">
        <f t="shared" si="6"/>
        <v>Захоронение осуществляется без превышения мощностей</v>
      </c>
      <c r="P63" s="9" t="str">
        <f t="shared" si="7"/>
        <v>Действующих мощностей хватит более, чем на 3 года</v>
      </c>
      <c r="Q63" s="8" t="str">
        <f t="shared" si="8"/>
        <v/>
      </c>
      <c r="R63" s="25" t="str">
        <f t="shared" si="9"/>
        <v>Дорожная карта не требуется</v>
      </c>
    </row>
    <row r="64" spans="2:18">
      <c r="B64" s="12" t="s">
        <v>52</v>
      </c>
      <c r="C64" s="20">
        <f t="shared" si="1"/>
        <v>0</v>
      </c>
      <c r="D64" s="20">
        <f t="shared" si="2"/>
        <v>0</v>
      </c>
      <c r="E64" s="57"/>
      <c r="F64" s="57"/>
      <c r="G64" s="57"/>
      <c r="H64" s="57"/>
      <c r="I64" s="57"/>
      <c r="J64" s="57" t="s">
        <v>157</v>
      </c>
      <c r="K64" s="8">
        <f t="shared" si="0"/>
        <v>0</v>
      </c>
      <c r="L64" s="9" t="str">
        <f t="shared" si="3"/>
        <v>Нелегальные объекты захоронения ТКО не выявлены</v>
      </c>
      <c r="M64" s="9" t="str">
        <f t="shared" si="4"/>
        <v>Все потоки ТКО указаны в территориальной схеме</v>
      </c>
      <c r="N64" s="9" t="str">
        <f t="shared" si="5"/>
        <v>Объектов по 765 приказу нет</v>
      </c>
      <c r="O64" s="9" t="str">
        <f t="shared" si="6"/>
        <v>Захоронение осуществляется без превышения мощностей</v>
      </c>
      <c r="P64" s="9" t="str">
        <f t="shared" si="7"/>
        <v>Действующих мощностей хватит более, чем на 3 года</v>
      </c>
      <c r="Q64" s="8" t="str">
        <f t="shared" si="8"/>
        <v/>
      </c>
      <c r="R64" s="25" t="str">
        <f t="shared" si="9"/>
        <v>Дорожная карта не требуется</v>
      </c>
    </row>
    <row r="65" spans="2:18">
      <c r="B65" s="12" t="s">
        <v>53</v>
      </c>
      <c r="C65" s="20">
        <f t="shared" si="1"/>
        <v>2</v>
      </c>
      <c r="D65" s="20">
        <f t="shared" si="2"/>
        <v>2</v>
      </c>
      <c r="E65" s="57"/>
      <c r="F65" s="57"/>
      <c r="G65" s="57">
        <v>2</v>
      </c>
      <c r="H65" s="57"/>
      <c r="I65" s="57"/>
      <c r="J65" s="57" t="s">
        <v>158</v>
      </c>
      <c r="K65" s="8">
        <f t="shared" si="0"/>
        <v>0</v>
      </c>
      <c r="L65" s="9" t="str">
        <f t="shared" si="3"/>
        <v>Нелегальные объекты захоронения ТКО не выявлены</v>
      </c>
      <c r="M65" s="9" t="str">
        <f t="shared" si="4"/>
        <v>Все потоки ТКО указаны в территориальной схеме</v>
      </c>
      <c r="N65" s="9" t="str">
        <f t="shared" si="5"/>
        <v>Риски замещения объектов по 765 приказу высокие</v>
      </c>
      <c r="O65" s="9" t="str">
        <f t="shared" si="6"/>
        <v>Захоронение осуществляется без превышения мощностей</v>
      </c>
      <c r="P65" s="9" t="str">
        <f t="shared" si="7"/>
        <v>Действующих мощностей хватит более, чем на 3 года</v>
      </c>
      <c r="Q65" s="8" t="str">
        <f t="shared" si="8"/>
        <v>765 приказ</v>
      </c>
      <c r="R65" s="25" t="str">
        <f t="shared" si="9"/>
        <v>Дорожная карта подписана</v>
      </c>
    </row>
    <row r="66" spans="2:18">
      <c r="B66" s="12" t="s">
        <v>3</v>
      </c>
      <c r="C66" s="20">
        <f t="shared" si="1"/>
        <v>0</v>
      </c>
      <c r="D66" s="20">
        <f t="shared" si="2"/>
        <v>0</v>
      </c>
      <c r="E66" s="57"/>
      <c r="F66" s="57"/>
      <c r="G66" s="57"/>
      <c r="H66" s="57"/>
      <c r="I66" s="57"/>
      <c r="J66" s="57" t="s">
        <v>157</v>
      </c>
      <c r="K66" s="8">
        <f t="shared" si="0"/>
        <v>0</v>
      </c>
      <c r="L66" s="9" t="str">
        <f t="shared" si="3"/>
        <v>Нелегальные объекты захоронения ТКО не выявлены</v>
      </c>
      <c r="M66" s="9" t="str">
        <f t="shared" si="4"/>
        <v>Все потоки ТКО указаны в территориальной схеме</v>
      </c>
      <c r="N66" s="9" t="str">
        <f t="shared" si="5"/>
        <v>Объектов по 765 приказу нет</v>
      </c>
      <c r="O66" s="9" t="str">
        <f t="shared" si="6"/>
        <v>Захоронение осуществляется без превышения мощностей</v>
      </c>
      <c r="P66" s="9" t="str">
        <f t="shared" si="7"/>
        <v>Действующих мощностей хватит более, чем на 3 года</v>
      </c>
      <c r="Q66" s="8" t="str">
        <f t="shared" si="8"/>
        <v/>
      </c>
      <c r="R66" s="25" t="str">
        <f t="shared" si="9"/>
        <v>Дорожная карта не требуется</v>
      </c>
    </row>
    <row r="67" spans="2:18">
      <c r="B67" s="12" t="s">
        <v>54</v>
      </c>
      <c r="C67" s="20">
        <f t="shared" si="1"/>
        <v>2</v>
      </c>
      <c r="D67" s="20">
        <f t="shared" si="2"/>
        <v>2</v>
      </c>
      <c r="E67" s="57">
        <v>2</v>
      </c>
      <c r="F67" s="57"/>
      <c r="G67" s="57"/>
      <c r="H67" s="57">
        <v>1</v>
      </c>
      <c r="I67" s="57"/>
      <c r="J67" s="57" t="s">
        <v>156</v>
      </c>
      <c r="K67" s="8">
        <f t="shared" si="0"/>
        <v>2</v>
      </c>
      <c r="L67" s="9" t="str">
        <f t="shared" si="3"/>
        <v>Имеются нелегальные объекты захоронения ТКО</v>
      </c>
      <c r="M67" s="9" t="str">
        <f t="shared" si="4"/>
        <v>Все потоки ТКО указаны в территориальной схеме</v>
      </c>
      <c r="N67" s="9" t="str">
        <f t="shared" si="5"/>
        <v>Объектов по 765 приказу нет</v>
      </c>
      <c r="O67" s="9" t="str">
        <f t="shared" si="6"/>
        <v>Захоронение осуществляется с превышением мощностей</v>
      </c>
      <c r="P67" s="9" t="str">
        <f t="shared" si="7"/>
        <v>Действующих мощностей хватит более, чем на 3 года</v>
      </c>
      <c r="Q67" s="8" t="str">
        <f t="shared" si="8"/>
        <v>свалки</v>
      </c>
      <c r="R67" s="25" t="str">
        <f t="shared" si="9"/>
        <v>Дорожная карта в разработке</v>
      </c>
    </row>
    <row r="68" spans="2:18">
      <c r="B68" s="12" t="s">
        <v>55</v>
      </c>
      <c r="C68" s="20">
        <f t="shared" si="1"/>
        <v>1</v>
      </c>
      <c r="D68" s="20">
        <f t="shared" si="2"/>
        <v>1</v>
      </c>
      <c r="E68" s="57"/>
      <c r="F68" s="57"/>
      <c r="G68" s="57"/>
      <c r="H68" s="57">
        <v>1</v>
      </c>
      <c r="I68" s="57">
        <v>1</v>
      </c>
      <c r="J68" s="57" t="s">
        <v>157</v>
      </c>
      <c r="K68" s="8">
        <f t="shared" si="0"/>
        <v>0</v>
      </c>
      <c r="L68" s="9" t="str">
        <f t="shared" si="3"/>
        <v>Нелегальные объекты захоронения ТКО не выявлены</v>
      </c>
      <c r="M68" s="9" t="str">
        <f t="shared" si="4"/>
        <v>Все потоки ТКО указаны в территориальной схеме</v>
      </c>
      <c r="N68" s="9" t="str">
        <f t="shared" si="5"/>
        <v>Объектов по 765 приказу нет</v>
      </c>
      <c r="O68" s="9" t="str">
        <f t="shared" si="6"/>
        <v>Захоронение осуществляется с превышением мощностей</v>
      </c>
      <c r="P68" s="9" t="str">
        <f t="shared" si="7"/>
        <v>Действующие мощности будут исчерпаны за 3 года</v>
      </c>
      <c r="Q68" s="8" t="str">
        <f t="shared" si="8"/>
        <v>перегруз</v>
      </c>
      <c r="R68" s="25" t="str">
        <f t="shared" si="9"/>
        <v>Дорожная карта не требуется</v>
      </c>
    </row>
    <row r="69" spans="2:18">
      <c r="B69" s="12" t="s">
        <v>56</v>
      </c>
      <c r="C69" s="20">
        <f t="shared" si="1"/>
        <v>2</v>
      </c>
      <c r="D69" s="20">
        <f t="shared" si="2"/>
        <v>2</v>
      </c>
      <c r="E69" s="57">
        <v>2</v>
      </c>
      <c r="F69" s="57"/>
      <c r="G69" s="57"/>
      <c r="H69" s="57">
        <v>1</v>
      </c>
      <c r="I69" s="57"/>
      <c r="J69" s="57" t="s">
        <v>156</v>
      </c>
      <c r="K69" s="8">
        <f t="shared" si="0"/>
        <v>2</v>
      </c>
      <c r="L69" s="9" t="str">
        <f t="shared" si="3"/>
        <v>Имеются нелегальные объекты захоронения ТКО</v>
      </c>
      <c r="M69" s="9" t="str">
        <f t="shared" si="4"/>
        <v>Все потоки ТКО указаны в территориальной схеме</v>
      </c>
      <c r="N69" s="9" t="str">
        <f t="shared" si="5"/>
        <v>Объектов по 765 приказу нет</v>
      </c>
      <c r="O69" s="9" t="str">
        <f t="shared" si="6"/>
        <v>Захоронение осуществляется с превышением мощностей</v>
      </c>
      <c r="P69" s="9" t="str">
        <f t="shared" si="7"/>
        <v>Действующих мощностей хватит более, чем на 3 года</v>
      </c>
      <c r="Q69" s="8" t="str">
        <f t="shared" si="8"/>
        <v>свалки</v>
      </c>
      <c r="R69" s="25" t="str">
        <f t="shared" si="9"/>
        <v>Дорожная карта в разработке</v>
      </c>
    </row>
    <row r="70" spans="2:18">
      <c r="B70" s="12" t="s">
        <v>57</v>
      </c>
      <c r="C70" s="20">
        <f t="shared" si="1"/>
        <v>0</v>
      </c>
      <c r="D70" s="20">
        <f t="shared" si="2"/>
        <v>0</v>
      </c>
      <c r="E70" s="57"/>
      <c r="F70" s="57"/>
      <c r="G70" s="57"/>
      <c r="H70" s="57"/>
      <c r="I70" s="57"/>
      <c r="J70" s="57" t="s">
        <v>157</v>
      </c>
      <c r="K70" s="8">
        <f t="shared" si="0"/>
        <v>0</v>
      </c>
      <c r="L70" s="9" t="str">
        <f t="shared" si="3"/>
        <v>Нелегальные объекты захоронения ТКО не выявлены</v>
      </c>
      <c r="M70" s="9" t="str">
        <f t="shared" si="4"/>
        <v>Все потоки ТКО указаны в территориальной схеме</v>
      </c>
      <c r="N70" s="9" t="str">
        <f t="shared" si="5"/>
        <v>Объектов по 765 приказу нет</v>
      </c>
      <c r="O70" s="9" t="str">
        <f t="shared" si="6"/>
        <v>Захоронение осуществляется без превышения мощностей</v>
      </c>
      <c r="P70" s="9" t="str">
        <f t="shared" si="7"/>
        <v>Действующих мощностей хватит более, чем на 3 года</v>
      </c>
      <c r="Q70" s="8" t="str">
        <f t="shared" si="8"/>
        <v/>
      </c>
      <c r="R70" s="25" t="str">
        <f t="shared" si="9"/>
        <v>Дорожная карта не требуется</v>
      </c>
    </row>
    <row r="71" spans="2:18">
      <c r="B71" s="12" t="s">
        <v>58</v>
      </c>
      <c r="C71" s="20">
        <f t="shared" si="1"/>
        <v>0</v>
      </c>
      <c r="D71" s="20">
        <f t="shared" si="2"/>
        <v>0</v>
      </c>
      <c r="E71" s="57"/>
      <c r="F71" s="57"/>
      <c r="G71" s="57"/>
      <c r="H71" s="57"/>
      <c r="I71" s="57"/>
      <c r="J71" s="57" t="s">
        <v>157</v>
      </c>
      <c r="K71" s="8">
        <f t="shared" si="0"/>
        <v>0</v>
      </c>
      <c r="L71" s="9" t="str">
        <f t="shared" si="3"/>
        <v>Нелегальные объекты захоронения ТКО не выявлены</v>
      </c>
      <c r="M71" s="9" t="str">
        <f t="shared" si="4"/>
        <v>Все потоки ТКО указаны в территориальной схеме</v>
      </c>
      <c r="N71" s="9" t="str">
        <f t="shared" si="5"/>
        <v>Объектов по 765 приказу нет</v>
      </c>
      <c r="O71" s="9" t="str">
        <f t="shared" si="6"/>
        <v>Захоронение осуществляется без превышения мощностей</v>
      </c>
      <c r="P71" s="9" t="str">
        <f t="shared" si="7"/>
        <v>Действующих мощностей хватит более, чем на 3 года</v>
      </c>
      <c r="Q71" s="8" t="str">
        <f t="shared" si="8"/>
        <v/>
      </c>
      <c r="R71" s="25" t="str">
        <f t="shared" si="9"/>
        <v>Дорожная карта не требуется</v>
      </c>
    </row>
    <row r="72" spans="2:18">
      <c r="B72" s="12" t="s">
        <v>59</v>
      </c>
      <c r="C72" s="20">
        <f t="shared" si="1"/>
        <v>0</v>
      </c>
      <c r="D72" s="20">
        <f t="shared" si="2"/>
        <v>0</v>
      </c>
      <c r="E72" s="57"/>
      <c r="F72" s="57"/>
      <c r="G72" s="57"/>
      <c r="H72" s="57"/>
      <c r="I72" s="57"/>
      <c r="J72" s="57" t="s">
        <v>157</v>
      </c>
      <c r="K72" s="8">
        <f t="shared" si="0"/>
        <v>0</v>
      </c>
      <c r="L72" s="9" t="str">
        <f t="shared" si="3"/>
        <v>Нелегальные объекты захоронения ТКО не выявлены</v>
      </c>
      <c r="M72" s="9" t="str">
        <f t="shared" si="4"/>
        <v>Все потоки ТКО указаны в территориальной схеме</v>
      </c>
      <c r="N72" s="9" t="str">
        <f t="shared" si="5"/>
        <v>Объектов по 765 приказу нет</v>
      </c>
      <c r="O72" s="9" t="str">
        <f t="shared" si="6"/>
        <v>Захоронение осуществляется без превышения мощностей</v>
      </c>
      <c r="P72" s="9" t="str">
        <f t="shared" si="7"/>
        <v>Действующих мощностей хватит более, чем на 3 года</v>
      </c>
      <c r="Q72" s="8" t="str">
        <f t="shared" si="8"/>
        <v/>
      </c>
      <c r="R72" s="25" t="str">
        <f t="shared" si="9"/>
        <v>Дорожная карта не требуется</v>
      </c>
    </row>
    <row r="73" spans="2:18">
      <c r="B73" s="12" t="s">
        <v>60</v>
      </c>
      <c r="C73" s="20">
        <f t="shared" si="1"/>
        <v>1</v>
      </c>
      <c r="D73" s="20">
        <f t="shared" si="2"/>
        <v>1</v>
      </c>
      <c r="E73" s="57"/>
      <c r="F73" s="57"/>
      <c r="G73" s="57"/>
      <c r="H73" s="57">
        <v>1</v>
      </c>
      <c r="I73" s="57"/>
      <c r="J73" s="57" t="s">
        <v>157</v>
      </c>
      <c r="K73" s="8">
        <f t="shared" si="0"/>
        <v>0</v>
      </c>
      <c r="L73" s="9" t="str">
        <f t="shared" si="3"/>
        <v>Нелегальные объекты захоронения ТКО не выявлены</v>
      </c>
      <c r="M73" s="9" t="str">
        <f t="shared" si="4"/>
        <v>Все потоки ТКО указаны в территориальной схеме</v>
      </c>
      <c r="N73" s="9" t="str">
        <f t="shared" si="5"/>
        <v>Объектов по 765 приказу нет</v>
      </c>
      <c r="O73" s="9" t="str">
        <f t="shared" si="6"/>
        <v>Захоронение осуществляется с превышением мощностей</v>
      </c>
      <c r="P73" s="9" t="str">
        <f t="shared" si="7"/>
        <v>Действующих мощностей хватит более, чем на 3 года</v>
      </c>
      <c r="Q73" s="8" t="str">
        <f t="shared" si="8"/>
        <v>перегруз</v>
      </c>
      <c r="R73" s="25" t="str">
        <f t="shared" si="9"/>
        <v>Дорожная карта не требуется</v>
      </c>
    </row>
    <row r="74" spans="2:18">
      <c r="B74" s="12" t="s">
        <v>61</v>
      </c>
      <c r="C74" s="20">
        <f t="shared" si="1"/>
        <v>0</v>
      </c>
      <c r="D74" s="20">
        <f t="shared" si="2"/>
        <v>0</v>
      </c>
      <c r="E74" s="57"/>
      <c r="F74" s="57"/>
      <c r="G74" s="57"/>
      <c r="H74" s="57"/>
      <c r="I74" s="57"/>
      <c r="J74" s="57" t="s">
        <v>157</v>
      </c>
      <c r="K74" s="8">
        <f t="shared" si="0"/>
        <v>0</v>
      </c>
      <c r="L74" s="9" t="str">
        <f t="shared" si="3"/>
        <v>Нелегальные объекты захоронения ТКО не выявлены</v>
      </c>
      <c r="M74" s="9" t="str">
        <f t="shared" si="4"/>
        <v>Все потоки ТКО указаны в территориальной схеме</v>
      </c>
      <c r="N74" s="9" t="str">
        <f t="shared" si="5"/>
        <v>Объектов по 765 приказу нет</v>
      </c>
      <c r="O74" s="9" t="str">
        <f t="shared" si="6"/>
        <v>Захоронение осуществляется без превышения мощностей</v>
      </c>
      <c r="P74" s="9" t="str">
        <f t="shared" si="7"/>
        <v>Действующих мощностей хватит более, чем на 3 года</v>
      </c>
      <c r="Q74" s="8" t="str">
        <f t="shared" si="8"/>
        <v/>
      </c>
      <c r="R74" s="25" t="str">
        <f t="shared" si="9"/>
        <v>Дорожная карта не требуется</v>
      </c>
    </row>
    <row r="75" spans="2:18">
      <c r="B75" s="12" t="s">
        <v>62</v>
      </c>
      <c r="C75" s="20">
        <f t="shared" si="1"/>
        <v>1</v>
      </c>
      <c r="D75" s="20">
        <f t="shared" si="2"/>
        <v>1</v>
      </c>
      <c r="E75" s="57"/>
      <c r="F75" s="57"/>
      <c r="G75" s="57"/>
      <c r="H75" s="57">
        <v>1</v>
      </c>
      <c r="I75" s="57">
        <v>1</v>
      </c>
      <c r="J75" s="57" t="s">
        <v>157</v>
      </c>
      <c r="K75" s="8">
        <f t="shared" si="0"/>
        <v>0</v>
      </c>
      <c r="L75" s="9" t="str">
        <f t="shared" si="3"/>
        <v>Нелегальные объекты захоронения ТКО не выявлены</v>
      </c>
      <c r="M75" s="9" t="str">
        <f t="shared" si="4"/>
        <v>Все потоки ТКО указаны в территориальной схеме</v>
      </c>
      <c r="N75" s="9" t="str">
        <f t="shared" si="5"/>
        <v>Объектов по 765 приказу нет</v>
      </c>
      <c r="O75" s="9" t="str">
        <f t="shared" si="6"/>
        <v>Захоронение осуществляется с превышением мощностей</v>
      </c>
      <c r="P75" s="9" t="str">
        <f t="shared" si="7"/>
        <v>Действующие мощности будут исчерпаны за 3 года</v>
      </c>
      <c r="Q75" s="8" t="str">
        <f t="shared" si="8"/>
        <v>перегруз</v>
      </c>
      <c r="R75" s="25" t="str">
        <f t="shared" si="9"/>
        <v>Дорожная карта не требуется</v>
      </c>
    </row>
    <row r="76" spans="2:18">
      <c r="B76" s="12" t="s">
        <v>63</v>
      </c>
      <c r="C76" s="20">
        <f t="shared" si="1"/>
        <v>2</v>
      </c>
      <c r="D76" s="20">
        <f t="shared" si="2"/>
        <v>2</v>
      </c>
      <c r="E76" s="57"/>
      <c r="F76" s="57">
        <v>2</v>
      </c>
      <c r="G76" s="57"/>
      <c r="H76" s="57"/>
      <c r="I76" s="57"/>
      <c r="J76" s="57" t="s">
        <v>156</v>
      </c>
      <c r="K76" s="8">
        <f t="shared" si="0"/>
        <v>2</v>
      </c>
      <c r="L76" s="9" t="str">
        <f t="shared" si="3"/>
        <v>Нелегальные объекты захоронения ТКО не выявлены</v>
      </c>
      <c r="M76" s="9" t="str">
        <f t="shared" si="4"/>
        <v>Для ряда территорий осутствует схема потоков ТКО</v>
      </c>
      <c r="N76" s="9" t="str">
        <f t="shared" si="5"/>
        <v>Объектов по 765 приказу нет</v>
      </c>
      <c r="O76" s="9" t="str">
        <f t="shared" si="6"/>
        <v>Захоронение осуществляется без превышения мощностей</v>
      </c>
      <c r="P76" s="9" t="str">
        <f t="shared" si="7"/>
        <v>Действующих мощностей хватит более, чем на 3 года</v>
      </c>
      <c r="Q76" s="8" t="str">
        <f t="shared" si="8"/>
        <v>белые пятна</v>
      </c>
      <c r="R76" s="25" t="str">
        <f t="shared" si="9"/>
        <v>Дорожная карта в разработке</v>
      </c>
    </row>
    <row r="77" spans="2:18">
      <c r="B77" s="12" t="s">
        <v>64</v>
      </c>
      <c r="C77" s="20">
        <f t="shared" si="1"/>
        <v>2</v>
      </c>
      <c r="D77" s="20">
        <f t="shared" si="2"/>
        <v>2</v>
      </c>
      <c r="E77" s="57"/>
      <c r="F77" s="57">
        <v>2</v>
      </c>
      <c r="G77" s="57"/>
      <c r="H77" s="57"/>
      <c r="I77" s="57">
        <v>1</v>
      </c>
      <c r="J77" s="57" t="s">
        <v>156</v>
      </c>
      <c r="K77" s="8">
        <f t="shared" si="0"/>
        <v>2</v>
      </c>
      <c r="L77" s="9" t="str">
        <f t="shared" si="3"/>
        <v>Нелегальные объекты захоронения ТКО не выявлены</v>
      </c>
      <c r="M77" s="9" t="str">
        <f t="shared" si="4"/>
        <v>Для ряда территорий осутствует схема потоков ТКО</v>
      </c>
      <c r="N77" s="9" t="str">
        <f t="shared" si="5"/>
        <v>Объектов по 765 приказу нет</v>
      </c>
      <c r="O77" s="9" t="str">
        <f t="shared" si="6"/>
        <v>Захоронение осуществляется без превышения мощностей</v>
      </c>
      <c r="P77" s="9" t="str">
        <f t="shared" si="7"/>
        <v>Действующие мощности будут исчерпаны за 3 года</v>
      </c>
      <c r="Q77" s="8" t="str">
        <f t="shared" si="8"/>
        <v>белые пятна</v>
      </c>
      <c r="R77" s="25" t="str">
        <f t="shared" si="9"/>
        <v>Дорожная карта в разработке</v>
      </c>
    </row>
    <row r="78" spans="2:18">
      <c r="B78" s="12" t="s">
        <v>65</v>
      </c>
      <c r="C78" s="20">
        <f t="shared" si="1"/>
        <v>0</v>
      </c>
      <c r="D78" s="20">
        <f t="shared" si="2"/>
        <v>0</v>
      </c>
      <c r="E78" s="57"/>
      <c r="F78" s="57"/>
      <c r="G78" s="57"/>
      <c r="H78" s="57"/>
      <c r="I78" s="57"/>
      <c r="J78" s="57" t="s">
        <v>157</v>
      </c>
      <c r="K78" s="8">
        <f t="shared" si="0"/>
        <v>0</v>
      </c>
      <c r="L78" s="9" t="str">
        <f t="shared" si="3"/>
        <v>Нелегальные объекты захоронения ТКО не выявлены</v>
      </c>
      <c r="M78" s="9" t="str">
        <f t="shared" si="4"/>
        <v>Все потоки ТКО указаны в территориальной схеме</v>
      </c>
      <c r="N78" s="9" t="str">
        <f t="shared" si="5"/>
        <v>Объектов по 765 приказу нет</v>
      </c>
      <c r="O78" s="9" t="str">
        <f t="shared" si="6"/>
        <v>Захоронение осуществляется без превышения мощностей</v>
      </c>
      <c r="P78" s="9" t="str">
        <f t="shared" si="7"/>
        <v>Действующих мощностей хватит более, чем на 3 года</v>
      </c>
      <c r="Q78" s="8" t="str">
        <f t="shared" si="8"/>
        <v/>
      </c>
      <c r="R78" s="25" t="str">
        <f t="shared" si="9"/>
        <v>Дорожная карта не требуется</v>
      </c>
    </row>
    <row r="79" spans="2:18">
      <c r="B79" s="12" t="s">
        <v>66</v>
      </c>
      <c r="C79" s="20">
        <f t="shared" si="1"/>
        <v>2</v>
      </c>
      <c r="D79" s="20">
        <f t="shared" si="2"/>
        <v>2</v>
      </c>
      <c r="E79" s="57"/>
      <c r="F79" s="57">
        <v>2</v>
      </c>
      <c r="G79" s="57"/>
      <c r="H79" s="57"/>
      <c r="I79" s="57">
        <v>1</v>
      </c>
      <c r="J79" s="57" t="s">
        <v>156</v>
      </c>
      <c r="K79" s="8">
        <f t="shared" si="0"/>
        <v>2</v>
      </c>
      <c r="L79" s="9" t="str">
        <f t="shared" si="3"/>
        <v>Нелегальные объекты захоронения ТКО не выявлены</v>
      </c>
      <c r="M79" s="9" t="str">
        <f t="shared" si="4"/>
        <v>Для ряда территорий осутствует схема потоков ТКО</v>
      </c>
      <c r="N79" s="9" t="str">
        <f t="shared" si="5"/>
        <v>Объектов по 765 приказу нет</v>
      </c>
      <c r="O79" s="9" t="str">
        <f t="shared" si="6"/>
        <v>Захоронение осуществляется без превышения мощностей</v>
      </c>
      <c r="P79" s="9" t="str">
        <f t="shared" si="7"/>
        <v>Действующие мощности будут исчерпаны за 3 года</v>
      </c>
      <c r="Q79" s="8" t="str">
        <f t="shared" si="8"/>
        <v>белые пятна</v>
      </c>
      <c r="R79" s="25" t="str">
        <f t="shared" si="9"/>
        <v>Дорожная карта в разработке</v>
      </c>
    </row>
    <row r="80" spans="2:18">
      <c r="B80" s="12" t="s">
        <v>67</v>
      </c>
      <c r="C80" s="20">
        <f t="shared" si="1"/>
        <v>2</v>
      </c>
      <c r="D80" s="20">
        <f t="shared" si="2"/>
        <v>2</v>
      </c>
      <c r="E80" s="57"/>
      <c r="F80" s="57"/>
      <c r="G80" s="57">
        <v>2</v>
      </c>
      <c r="H80" s="57"/>
      <c r="I80" s="57"/>
      <c r="J80" s="57" t="s">
        <v>158</v>
      </c>
      <c r="K80" s="8">
        <f t="shared" ref="K80:K104" si="10">IF(J80=$J$107,2,IF(J80=$J$108,1,0))</f>
        <v>0</v>
      </c>
      <c r="L80" s="9" t="str">
        <f t="shared" si="3"/>
        <v>Нелегальные объекты захоронения ТКО не выявлены</v>
      </c>
      <c r="M80" s="9" t="str">
        <f t="shared" si="4"/>
        <v>Все потоки ТКО указаны в территориальной схеме</v>
      </c>
      <c r="N80" s="9" t="str">
        <f t="shared" si="5"/>
        <v>Риски замещения объектов по 765 приказу высокие</v>
      </c>
      <c r="O80" s="9" t="str">
        <f t="shared" si="6"/>
        <v>Захоронение осуществляется без превышения мощностей</v>
      </c>
      <c r="P80" s="9" t="str">
        <f t="shared" si="7"/>
        <v>Действующих мощностей хватит более, чем на 3 года</v>
      </c>
      <c r="Q80" s="8" t="str">
        <f t="shared" si="8"/>
        <v>765 приказ</v>
      </c>
      <c r="R80" s="25" t="str">
        <f t="shared" si="9"/>
        <v>Дорожная карта подписана</v>
      </c>
    </row>
    <row r="81" spans="2:18">
      <c r="B81" s="12" t="s">
        <v>68</v>
      </c>
      <c r="C81" s="20">
        <f t="shared" ref="C81:C104" si="11">IF(D81&gt;$D$8,2,IF(D81&gt;$D$9,1,0))</f>
        <v>2</v>
      </c>
      <c r="D81" s="20">
        <f t="shared" ref="D81:D104" si="12">MAX(E81,F81,G81,H81)</f>
        <v>2</v>
      </c>
      <c r="E81" s="57"/>
      <c r="F81" s="57"/>
      <c r="G81" s="57">
        <v>2</v>
      </c>
      <c r="H81" s="57"/>
      <c r="I81" s="57"/>
      <c r="J81" s="57" t="s">
        <v>158</v>
      </c>
      <c r="K81" s="8">
        <f t="shared" si="10"/>
        <v>0</v>
      </c>
      <c r="L81" s="9" t="str">
        <f t="shared" ref="L81:L104" si="13">IF(E81&gt;0,"Имеются нелегальные объекты захоронения ТКО","Нелегальные объекты захоронения ТКО не выявлены")</f>
        <v>Нелегальные объекты захоронения ТКО не выявлены</v>
      </c>
      <c r="M81" s="9" t="str">
        <f t="shared" ref="M81:M104" si="14">IF(F81&gt;0,"Для ряда территорий осутствует схема потоков ТКО","Все потоки ТКО указаны в территориальной схеме")</f>
        <v>Все потоки ТКО указаны в территориальной схеме</v>
      </c>
      <c r="N81" s="9" t="str">
        <f t="shared" ref="N81:N104" si="15">IF(G81=2,"Риски замещения объектов по 765 приказу высокие",IF(G81=1,"Риски замещения объектов по 765 приказу средние","Объектов по 765 приказу нет"))</f>
        <v>Риски замещения объектов по 765 приказу высокие</v>
      </c>
      <c r="O81" s="9" t="str">
        <f t="shared" ref="O81:O104" si="16">IF(H81&gt;0,"Захоронение осуществляется с превышением мощностей","Захоронение осуществляется без превышения мощностей")</f>
        <v>Захоронение осуществляется без превышения мощностей</v>
      </c>
      <c r="P81" s="9" t="str">
        <f t="shared" ref="P81:P104" si="17">IF(I81&gt;0,"Действующие мощности будут исчерпаны за 3 года","Действующих мощностей хватит более, чем на 3 года")</f>
        <v>Действующих мощностей хватит более, чем на 3 года</v>
      </c>
      <c r="Q81" s="8" t="str">
        <f t="shared" ref="Q81:Q104" si="18">IF(E81&gt;0,"свалки",IF(F81&gt;0,"белые пятна",IF(G81&gt;0,"765 приказ",IF(H81&gt;0,"перегруз",""))))</f>
        <v>765 приказ</v>
      </c>
      <c r="R81" s="25" t="str">
        <f t="shared" ref="R81:R104" si="19">_xlfn.TEXTJOIN(,0,"Дорожная карта ",J81)</f>
        <v>Дорожная карта подписана</v>
      </c>
    </row>
    <row r="82" spans="2:18">
      <c r="B82" s="12" t="s">
        <v>69</v>
      </c>
      <c r="C82" s="20">
        <f t="shared" si="11"/>
        <v>2</v>
      </c>
      <c r="D82" s="20">
        <f t="shared" si="12"/>
        <v>2</v>
      </c>
      <c r="E82" s="57">
        <v>2</v>
      </c>
      <c r="F82" s="57"/>
      <c r="G82" s="57"/>
      <c r="H82" s="57"/>
      <c r="I82" s="57"/>
      <c r="J82" s="57" t="s">
        <v>156</v>
      </c>
      <c r="K82" s="8">
        <f t="shared" si="10"/>
        <v>2</v>
      </c>
      <c r="L82" s="9" t="str">
        <f t="shared" si="13"/>
        <v>Имеются нелегальные объекты захоронения ТКО</v>
      </c>
      <c r="M82" s="9" t="str">
        <f t="shared" si="14"/>
        <v>Все потоки ТКО указаны в территориальной схеме</v>
      </c>
      <c r="N82" s="9" t="str">
        <f t="shared" si="15"/>
        <v>Объектов по 765 приказу нет</v>
      </c>
      <c r="O82" s="9" t="str">
        <f t="shared" si="16"/>
        <v>Захоронение осуществляется без превышения мощностей</v>
      </c>
      <c r="P82" s="9" t="str">
        <f t="shared" si="17"/>
        <v>Действующих мощностей хватит более, чем на 3 года</v>
      </c>
      <c r="Q82" s="8" t="str">
        <f t="shared" si="18"/>
        <v>свалки</v>
      </c>
      <c r="R82" s="25" t="str">
        <f t="shared" si="19"/>
        <v>Дорожная карта в разработке</v>
      </c>
    </row>
    <row r="83" spans="2:18">
      <c r="B83" s="12" t="s">
        <v>70</v>
      </c>
      <c r="C83" s="20">
        <f t="shared" si="11"/>
        <v>0</v>
      </c>
      <c r="D83" s="20">
        <f t="shared" si="12"/>
        <v>0</v>
      </c>
      <c r="E83" s="57"/>
      <c r="F83" s="57"/>
      <c r="G83" s="57"/>
      <c r="H83" s="57"/>
      <c r="I83" s="57"/>
      <c r="J83" s="57" t="s">
        <v>157</v>
      </c>
      <c r="K83" s="8">
        <f t="shared" si="10"/>
        <v>0</v>
      </c>
      <c r="L83" s="9" t="str">
        <f t="shared" si="13"/>
        <v>Нелегальные объекты захоронения ТКО не выявлены</v>
      </c>
      <c r="M83" s="9" t="str">
        <f t="shared" si="14"/>
        <v>Все потоки ТКО указаны в территориальной схеме</v>
      </c>
      <c r="N83" s="9" t="str">
        <f t="shared" si="15"/>
        <v>Объектов по 765 приказу нет</v>
      </c>
      <c r="O83" s="9" t="str">
        <f t="shared" si="16"/>
        <v>Захоронение осуществляется без превышения мощностей</v>
      </c>
      <c r="P83" s="9" t="str">
        <f t="shared" si="17"/>
        <v>Действующих мощностей хватит более, чем на 3 года</v>
      </c>
      <c r="Q83" s="8" t="str">
        <f t="shared" si="18"/>
        <v/>
      </c>
      <c r="R83" s="25" t="str">
        <f t="shared" si="19"/>
        <v>Дорожная карта не требуется</v>
      </c>
    </row>
    <row r="84" spans="2:18">
      <c r="B84" s="12" t="s">
        <v>71</v>
      </c>
      <c r="C84" s="20">
        <f t="shared" si="11"/>
        <v>0</v>
      </c>
      <c r="D84" s="20">
        <f t="shared" si="12"/>
        <v>0</v>
      </c>
      <c r="E84" s="57"/>
      <c r="F84" s="57"/>
      <c r="G84" s="57"/>
      <c r="H84" s="57"/>
      <c r="I84" s="57"/>
      <c r="J84" s="57" t="s">
        <v>157</v>
      </c>
      <c r="K84" s="8">
        <f t="shared" si="10"/>
        <v>0</v>
      </c>
      <c r="L84" s="9" t="str">
        <f t="shared" si="13"/>
        <v>Нелегальные объекты захоронения ТКО не выявлены</v>
      </c>
      <c r="M84" s="9" t="str">
        <f t="shared" si="14"/>
        <v>Все потоки ТКО указаны в территориальной схеме</v>
      </c>
      <c r="N84" s="9" t="str">
        <f t="shared" si="15"/>
        <v>Объектов по 765 приказу нет</v>
      </c>
      <c r="O84" s="9" t="str">
        <f t="shared" si="16"/>
        <v>Захоронение осуществляется без превышения мощностей</v>
      </c>
      <c r="P84" s="9" t="str">
        <f t="shared" si="17"/>
        <v>Действующих мощностей хватит более, чем на 3 года</v>
      </c>
      <c r="Q84" s="8" t="str">
        <f t="shared" si="18"/>
        <v/>
      </c>
      <c r="R84" s="25" t="str">
        <f t="shared" si="19"/>
        <v>Дорожная карта не требуется</v>
      </c>
    </row>
    <row r="85" spans="2:18" ht="26.55" customHeight="1">
      <c r="B85" s="12" t="s">
        <v>72</v>
      </c>
      <c r="C85" s="20">
        <f t="shared" si="11"/>
        <v>2</v>
      </c>
      <c r="D85" s="20">
        <f t="shared" si="12"/>
        <v>2</v>
      </c>
      <c r="E85" s="57"/>
      <c r="F85" s="57">
        <v>2</v>
      </c>
      <c r="G85" s="57">
        <v>1</v>
      </c>
      <c r="H85" s="57"/>
      <c r="I85" s="57"/>
      <c r="J85" s="57" t="s">
        <v>158</v>
      </c>
      <c r="K85" s="8">
        <f t="shared" si="10"/>
        <v>0</v>
      </c>
      <c r="L85" s="9" t="str">
        <f t="shared" si="13"/>
        <v>Нелегальные объекты захоронения ТКО не выявлены</v>
      </c>
      <c r="M85" s="9" t="str">
        <f t="shared" si="14"/>
        <v>Для ряда территорий осутствует схема потоков ТКО</v>
      </c>
      <c r="N85" s="9" t="str">
        <f t="shared" si="15"/>
        <v>Риски замещения объектов по 765 приказу средние</v>
      </c>
      <c r="O85" s="9" t="str">
        <f t="shared" si="16"/>
        <v>Захоронение осуществляется без превышения мощностей</v>
      </c>
      <c r="P85" s="9" t="str">
        <f t="shared" si="17"/>
        <v>Действующих мощностей хватит более, чем на 3 года</v>
      </c>
      <c r="Q85" s="8" t="str">
        <f t="shared" si="18"/>
        <v>белые пятна</v>
      </c>
      <c r="R85" s="25" t="str">
        <f t="shared" si="19"/>
        <v>Дорожная карта подписана</v>
      </c>
    </row>
    <row r="86" spans="2:18">
      <c r="B86" s="12" t="s">
        <v>73</v>
      </c>
      <c r="C86" s="20">
        <f t="shared" si="11"/>
        <v>1</v>
      </c>
      <c r="D86" s="20">
        <f t="shared" si="12"/>
        <v>1</v>
      </c>
      <c r="E86" s="57"/>
      <c r="F86" s="57"/>
      <c r="G86" s="57">
        <v>1</v>
      </c>
      <c r="H86" s="57">
        <v>1</v>
      </c>
      <c r="I86" s="57"/>
      <c r="J86" s="57" t="s">
        <v>158</v>
      </c>
      <c r="K86" s="8">
        <f t="shared" si="10"/>
        <v>0</v>
      </c>
      <c r="L86" s="9" t="str">
        <f t="shared" si="13"/>
        <v>Нелегальные объекты захоронения ТКО не выявлены</v>
      </c>
      <c r="M86" s="9" t="str">
        <f t="shared" si="14"/>
        <v>Все потоки ТКО указаны в территориальной схеме</v>
      </c>
      <c r="N86" s="9" t="str">
        <f t="shared" si="15"/>
        <v>Риски замещения объектов по 765 приказу средние</v>
      </c>
      <c r="O86" s="9" t="str">
        <f t="shared" si="16"/>
        <v>Захоронение осуществляется с превышением мощностей</v>
      </c>
      <c r="P86" s="9" t="str">
        <f t="shared" si="17"/>
        <v>Действующих мощностей хватит более, чем на 3 года</v>
      </c>
      <c r="Q86" s="8" t="str">
        <f t="shared" si="18"/>
        <v>765 приказ</v>
      </c>
      <c r="R86" s="25" t="str">
        <f t="shared" si="19"/>
        <v>Дорожная карта подписана</v>
      </c>
    </row>
    <row r="87" spans="2:18">
      <c r="B87" s="12" t="s">
        <v>74</v>
      </c>
      <c r="C87" s="20">
        <f t="shared" si="11"/>
        <v>0</v>
      </c>
      <c r="D87" s="20">
        <f t="shared" si="12"/>
        <v>0</v>
      </c>
      <c r="E87" s="57"/>
      <c r="F87" s="57"/>
      <c r="G87" s="57"/>
      <c r="H87" s="57"/>
      <c r="I87" s="57"/>
      <c r="J87" s="57" t="s">
        <v>157</v>
      </c>
      <c r="K87" s="8">
        <f t="shared" si="10"/>
        <v>0</v>
      </c>
      <c r="L87" s="9" t="str">
        <f t="shared" si="13"/>
        <v>Нелегальные объекты захоронения ТКО не выявлены</v>
      </c>
      <c r="M87" s="9" t="str">
        <f t="shared" si="14"/>
        <v>Все потоки ТКО указаны в территориальной схеме</v>
      </c>
      <c r="N87" s="9" t="str">
        <f t="shared" si="15"/>
        <v>Объектов по 765 приказу нет</v>
      </c>
      <c r="O87" s="9" t="str">
        <f t="shared" si="16"/>
        <v>Захоронение осуществляется без превышения мощностей</v>
      </c>
      <c r="P87" s="9" t="str">
        <f t="shared" si="17"/>
        <v>Действующих мощностей хватит более, чем на 3 года</v>
      </c>
      <c r="Q87" s="8" t="str">
        <f t="shared" si="18"/>
        <v/>
      </c>
      <c r="R87" s="25" t="str">
        <f t="shared" si="19"/>
        <v>Дорожная карта не требуется</v>
      </c>
    </row>
    <row r="88" spans="2:18">
      <c r="B88" s="12" t="s">
        <v>75</v>
      </c>
      <c r="C88" s="20">
        <f t="shared" si="11"/>
        <v>0</v>
      </c>
      <c r="D88" s="20">
        <f t="shared" si="12"/>
        <v>0</v>
      </c>
      <c r="E88" s="57"/>
      <c r="F88" s="57"/>
      <c r="G88" s="57"/>
      <c r="H88" s="57"/>
      <c r="I88" s="57"/>
      <c r="J88" s="57" t="s">
        <v>157</v>
      </c>
      <c r="K88" s="8">
        <f t="shared" si="10"/>
        <v>0</v>
      </c>
      <c r="L88" s="9" t="str">
        <f t="shared" si="13"/>
        <v>Нелегальные объекты захоронения ТКО не выявлены</v>
      </c>
      <c r="M88" s="9" t="str">
        <f t="shared" si="14"/>
        <v>Все потоки ТКО указаны в территориальной схеме</v>
      </c>
      <c r="N88" s="9" t="str">
        <f t="shared" si="15"/>
        <v>Объектов по 765 приказу нет</v>
      </c>
      <c r="O88" s="9" t="str">
        <f t="shared" si="16"/>
        <v>Захоронение осуществляется без превышения мощностей</v>
      </c>
      <c r="P88" s="9" t="str">
        <f t="shared" si="17"/>
        <v>Действующих мощностей хватит более, чем на 3 года</v>
      </c>
      <c r="Q88" s="8" t="str">
        <f t="shared" si="18"/>
        <v/>
      </c>
      <c r="R88" s="25" t="str">
        <f t="shared" si="19"/>
        <v>Дорожная карта не требуется</v>
      </c>
    </row>
    <row r="89" spans="2:18">
      <c r="B89" s="12" t="s">
        <v>76</v>
      </c>
      <c r="C89" s="20">
        <f>IF(D89&gt;$D$8,2,IF(D89&gt;$D$9,1,0))</f>
        <v>2</v>
      </c>
      <c r="D89" s="20">
        <f>MAX(E89,F89,G89,H89)</f>
        <v>2</v>
      </c>
      <c r="E89" s="57"/>
      <c r="F89" s="57"/>
      <c r="G89" s="57"/>
      <c r="H89" s="57">
        <v>2</v>
      </c>
      <c r="I89" s="57">
        <v>1</v>
      </c>
      <c r="J89" s="57" t="s">
        <v>156</v>
      </c>
      <c r="K89" s="8">
        <f>IF(J89=$J$107,2,IF(J89=$J$108,1,0))</f>
        <v>2</v>
      </c>
      <c r="L89" s="9" t="str">
        <f t="shared" si="13"/>
        <v>Нелегальные объекты захоронения ТКО не выявлены</v>
      </c>
      <c r="M89" s="9" t="str">
        <f t="shared" si="14"/>
        <v>Все потоки ТКО указаны в территориальной схеме</v>
      </c>
      <c r="N89" s="9" t="str">
        <f t="shared" si="15"/>
        <v>Объектов по 765 приказу нет</v>
      </c>
      <c r="O89" s="9" t="str">
        <f t="shared" si="16"/>
        <v>Захоронение осуществляется с превышением мощностей</v>
      </c>
      <c r="P89" s="9" t="str">
        <f t="shared" si="17"/>
        <v>Действующие мощности будут исчерпаны за 3 года</v>
      </c>
      <c r="R89" s="25" t="str">
        <f t="shared" si="19"/>
        <v>Дорожная карта в разработке</v>
      </c>
    </row>
    <row r="90" spans="2:18">
      <c r="B90" s="12" t="s">
        <v>77</v>
      </c>
      <c r="C90" s="20">
        <f t="shared" si="11"/>
        <v>2</v>
      </c>
      <c r="D90" s="20">
        <f t="shared" si="12"/>
        <v>2</v>
      </c>
      <c r="E90" s="57"/>
      <c r="F90" s="57"/>
      <c r="G90" s="57">
        <v>2</v>
      </c>
      <c r="H90" s="57"/>
      <c r="I90" s="57"/>
      <c r="J90" s="57" t="s">
        <v>156</v>
      </c>
      <c r="K90" s="8">
        <f t="shared" si="10"/>
        <v>2</v>
      </c>
      <c r="L90" s="9" t="str">
        <f t="shared" si="13"/>
        <v>Нелегальные объекты захоронения ТКО не выявлены</v>
      </c>
      <c r="M90" s="9" t="str">
        <f t="shared" si="14"/>
        <v>Все потоки ТКО указаны в территориальной схеме</v>
      </c>
      <c r="N90" s="9" t="str">
        <f t="shared" si="15"/>
        <v>Риски замещения объектов по 765 приказу высокие</v>
      </c>
      <c r="O90" s="9" t="str">
        <f t="shared" si="16"/>
        <v>Захоронение осуществляется без превышения мощностей</v>
      </c>
      <c r="P90" s="9" t="str">
        <f t="shared" si="17"/>
        <v>Действующих мощностей хватит более, чем на 3 года</v>
      </c>
      <c r="Q90" s="8" t="str">
        <f t="shared" si="18"/>
        <v>765 приказ</v>
      </c>
      <c r="R90" s="25" t="str">
        <f t="shared" si="19"/>
        <v>Дорожная карта в разработке</v>
      </c>
    </row>
    <row r="91" spans="2:18">
      <c r="B91" s="12" t="s">
        <v>78</v>
      </c>
      <c r="C91" s="20">
        <f t="shared" si="11"/>
        <v>0</v>
      </c>
      <c r="D91" s="20">
        <f t="shared" si="12"/>
        <v>0</v>
      </c>
      <c r="E91" s="57"/>
      <c r="F91" s="57"/>
      <c r="G91" s="57"/>
      <c r="H91" s="57"/>
      <c r="I91" s="57"/>
      <c r="J91" s="57" t="s">
        <v>157</v>
      </c>
      <c r="K91" s="8">
        <f t="shared" si="10"/>
        <v>0</v>
      </c>
      <c r="L91" s="9" t="str">
        <f t="shared" si="13"/>
        <v>Нелегальные объекты захоронения ТКО не выявлены</v>
      </c>
      <c r="M91" s="9" t="str">
        <f t="shared" si="14"/>
        <v>Все потоки ТКО указаны в территориальной схеме</v>
      </c>
      <c r="N91" s="9" t="str">
        <f t="shared" si="15"/>
        <v>Объектов по 765 приказу нет</v>
      </c>
      <c r="O91" s="9" t="str">
        <f t="shared" si="16"/>
        <v>Захоронение осуществляется без превышения мощностей</v>
      </c>
      <c r="P91" s="9" t="str">
        <f t="shared" si="17"/>
        <v>Действующих мощностей хватит более, чем на 3 года</v>
      </c>
      <c r="Q91" s="8" t="str">
        <f t="shared" si="18"/>
        <v/>
      </c>
      <c r="R91" s="25" t="str">
        <f t="shared" si="19"/>
        <v>Дорожная карта не требуется</v>
      </c>
    </row>
    <row r="92" spans="2:18">
      <c r="B92" s="12" t="s">
        <v>79</v>
      </c>
      <c r="C92" s="20">
        <f t="shared" si="11"/>
        <v>0</v>
      </c>
      <c r="D92" s="20">
        <f t="shared" si="12"/>
        <v>0</v>
      </c>
      <c r="E92" s="57"/>
      <c r="F92" s="57"/>
      <c r="G92" s="57"/>
      <c r="H92" s="57"/>
      <c r="I92" s="57"/>
      <c r="J92" s="57" t="s">
        <v>157</v>
      </c>
      <c r="K92" s="8">
        <f t="shared" si="10"/>
        <v>0</v>
      </c>
      <c r="L92" s="9" t="str">
        <f t="shared" si="13"/>
        <v>Нелегальные объекты захоронения ТКО не выявлены</v>
      </c>
      <c r="M92" s="9" t="str">
        <f t="shared" si="14"/>
        <v>Все потоки ТКО указаны в территориальной схеме</v>
      </c>
      <c r="N92" s="9" t="str">
        <f t="shared" si="15"/>
        <v>Объектов по 765 приказу нет</v>
      </c>
      <c r="O92" s="9" t="str">
        <f t="shared" si="16"/>
        <v>Захоронение осуществляется без превышения мощностей</v>
      </c>
      <c r="P92" s="9" t="str">
        <f t="shared" si="17"/>
        <v>Действующих мощностей хватит более, чем на 3 года</v>
      </c>
      <c r="Q92" s="8" t="str">
        <f t="shared" si="18"/>
        <v/>
      </c>
      <c r="R92" s="25" t="str">
        <f t="shared" si="19"/>
        <v>Дорожная карта не требуется</v>
      </c>
    </row>
    <row r="93" spans="2:18">
      <c r="B93" s="12" t="s">
        <v>80</v>
      </c>
      <c r="C93" s="20">
        <f t="shared" si="11"/>
        <v>0</v>
      </c>
      <c r="D93" s="20">
        <f t="shared" si="12"/>
        <v>0</v>
      </c>
      <c r="E93" s="57"/>
      <c r="F93" s="57"/>
      <c r="G93" s="57"/>
      <c r="H93" s="57"/>
      <c r="I93" s="57"/>
      <c r="J93" s="57" t="s">
        <v>157</v>
      </c>
      <c r="K93" s="8">
        <f t="shared" si="10"/>
        <v>0</v>
      </c>
      <c r="L93" s="9" t="str">
        <f t="shared" si="13"/>
        <v>Нелегальные объекты захоронения ТКО не выявлены</v>
      </c>
      <c r="M93" s="9" t="str">
        <f t="shared" si="14"/>
        <v>Все потоки ТКО указаны в территориальной схеме</v>
      </c>
      <c r="N93" s="9" t="str">
        <f t="shared" si="15"/>
        <v>Объектов по 765 приказу нет</v>
      </c>
      <c r="O93" s="9" t="str">
        <f t="shared" si="16"/>
        <v>Захоронение осуществляется без превышения мощностей</v>
      </c>
      <c r="P93" s="9" t="str">
        <f t="shared" si="17"/>
        <v>Действующих мощностей хватит более, чем на 3 года</v>
      </c>
      <c r="Q93" s="8" t="str">
        <f t="shared" si="18"/>
        <v/>
      </c>
      <c r="R93" s="25" t="str">
        <f t="shared" si="19"/>
        <v>Дорожная карта не требуется</v>
      </c>
    </row>
    <row r="94" spans="2:18">
      <c r="B94" s="12" t="s">
        <v>81</v>
      </c>
      <c r="C94" s="20">
        <f t="shared" si="11"/>
        <v>0</v>
      </c>
      <c r="D94" s="20">
        <f t="shared" si="12"/>
        <v>0</v>
      </c>
      <c r="E94" s="57"/>
      <c r="F94" s="57"/>
      <c r="G94" s="57"/>
      <c r="H94" s="57"/>
      <c r="I94" s="57"/>
      <c r="J94" s="57" t="s">
        <v>157</v>
      </c>
      <c r="K94" s="8">
        <f t="shared" si="10"/>
        <v>0</v>
      </c>
      <c r="L94" s="9" t="str">
        <f t="shared" si="13"/>
        <v>Нелегальные объекты захоронения ТКО не выявлены</v>
      </c>
      <c r="M94" s="9" t="str">
        <f t="shared" si="14"/>
        <v>Все потоки ТКО указаны в территориальной схеме</v>
      </c>
      <c r="N94" s="9" t="str">
        <f t="shared" si="15"/>
        <v>Объектов по 765 приказу нет</v>
      </c>
      <c r="O94" s="9" t="str">
        <f t="shared" si="16"/>
        <v>Захоронение осуществляется без превышения мощностей</v>
      </c>
      <c r="P94" s="9" t="str">
        <f t="shared" si="17"/>
        <v>Действующих мощностей хватит более, чем на 3 года</v>
      </c>
      <c r="Q94" s="8" t="str">
        <f t="shared" si="18"/>
        <v/>
      </c>
      <c r="R94" s="25" t="str">
        <f t="shared" si="19"/>
        <v>Дорожная карта не требуется</v>
      </c>
    </row>
    <row r="95" spans="2:18">
      <c r="B95" s="12" t="s">
        <v>82</v>
      </c>
      <c r="C95" s="20">
        <f t="shared" si="11"/>
        <v>1</v>
      </c>
      <c r="D95" s="20">
        <f t="shared" si="12"/>
        <v>1</v>
      </c>
      <c r="E95" s="57"/>
      <c r="F95" s="57"/>
      <c r="G95" s="57"/>
      <c r="H95" s="57">
        <v>1</v>
      </c>
      <c r="I95" s="57"/>
      <c r="J95" s="57" t="s">
        <v>157</v>
      </c>
      <c r="K95" s="8">
        <f t="shared" si="10"/>
        <v>0</v>
      </c>
      <c r="L95" s="9" t="str">
        <f t="shared" si="13"/>
        <v>Нелегальные объекты захоронения ТКО не выявлены</v>
      </c>
      <c r="M95" s="9" t="str">
        <f t="shared" si="14"/>
        <v>Все потоки ТКО указаны в территориальной схеме</v>
      </c>
      <c r="N95" s="9" t="str">
        <f t="shared" si="15"/>
        <v>Объектов по 765 приказу нет</v>
      </c>
      <c r="O95" s="9" t="str">
        <f t="shared" si="16"/>
        <v>Захоронение осуществляется с превышением мощностей</v>
      </c>
      <c r="P95" s="9" t="str">
        <f t="shared" si="17"/>
        <v>Действующих мощностей хватит более, чем на 3 года</v>
      </c>
      <c r="Q95" s="8" t="str">
        <f t="shared" si="18"/>
        <v>перегруз</v>
      </c>
      <c r="R95" s="25" t="str">
        <f t="shared" si="19"/>
        <v>Дорожная карта не требуется</v>
      </c>
    </row>
    <row r="96" spans="2:18">
      <c r="B96" s="12" t="s">
        <v>83</v>
      </c>
      <c r="C96" s="20">
        <f t="shared" si="11"/>
        <v>2</v>
      </c>
      <c r="D96" s="20">
        <f t="shared" si="12"/>
        <v>2</v>
      </c>
      <c r="E96" s="57"/>
      <c r="F96" s="57">
        <v>2</v>
      </c>
      <c r="G96" s="57">
        <v>2</v>
      </c>
      <c r="H96" s="57"/>
      <c r="I96" s="57"/>
      <c r="J96" s="57" t="s">
        <v>158</v>
      </c>
      <c r="K96" s="8">
        <f t="shared" si="10"/>
        <v>0</v>
      </c>
      <c r="L96" s="9" t="str">
        <f t="shared" si="13"/>
        <v>Нелегальные объекты захоронения ТКО не выявлены</v>
      </c>
      <c r="M96" s="9" t="str">
        <f t="shared" si="14"/>
        <v>Для ряда территорий осутствует схема потоков ТКО</v>
      </c>
      <c r="N96" s="9" t="str">
        <f t="shared" si="15"/>
        <v>Риски замещения объектов по 765 приказу высокие</v>
      </c>
      <c r="O96" s="9" t="str">
        <f t="shared" si="16"/>
        <v>Захоронение осуществляется без превышения мощностей</v>
      </c>
      <c r="P96" s="9" t="str">
        <f t="shared" si="17"/>
        <v>Действующих мощностей хватит более, чем на 3 года</v>
      </c>
      <c r="Q96" s="8" t="str">
        <f t="shared" si="18"/>
        <v>белые пятна</v>
      </c>
      <c r="R96" s="25" t="str">
        <f t="shared" si="19"/>
        <v>Дорожная карта подписана</v>
      </c>
    </row>
    <row r="97" spans="2:18">
      <c r="B97" s="12" t="s">
        <v>84</v>
      </c>
      <c r="C97" s="20">
        <f t="shared" si="11"/>
        <v>0</v>
      </c>
      <c r="D97" s="20">
        <f t="shared" si="12"/>
        <v>0</v>
      </c>
      <c r="E97" s="57"/>
      <c r="F97" s="57"/>
      <c r="G97" s="57"/>
      <c r="H97" s="57"/>
      <c r="I97" s="57"/>
      <c r="J97" s="57" t="s">
        <v>157</v>
      </c>
      <c r="K97" s="8">
        <f t="shared" si="10"/>
        <v>0</v>
      </c>
      <c r="L97" s="9" t="str">
        <f t="shared" si="13"/>
        <v>Нелегальные объекты захоронения ТКО не выявлены</v>
      </c>
      <c r="M97" s="9" t="str">
        <f t="shared" si="14"/>
        <v>Все потоки ТКО указаны в территориальной схеме</v>
      </c>
      <c r="N97" s="9" t="str">
        <f t="shared" si="15"/>
        <v>Объектов по 765 приказу нет</v>
      </c>
      <c r="O97" s="9" t="str">
        <f t="shared" si="16"/>
        <v>Захоронение осуществляется без превышения мощностей</v>
      </c>
      <c r="P97" s="9" t="str">
        <f t="shared" si="17"/>
        <v>Действующих мощностей хватит более, чем на 3 года</v>
      </c>
      <c r="Q97" s="8" t="str">
        <f t="shared" si="18"/>
        <v/>
      </c>
      <c r="R97" s="25" t="str">
        <f t="shared" si="19"/>
        <v>Дорожная карта не требуется</v>
      </c>
    </row>
    <row r="98" spans="2:18">
      <c r="B98" s="12" t="s">
        <v>166</v>
      </c>
      <c r="C98" s="20">
        <f t="shared" si="11"/>
        <v>0</v>
      </c>
      <c r="D98" s="20">
        <f t="shared" si="12"/>
        <v>0</v>
      </c>
      <c r="E98" s="57"/>
      <c r="F98" s="57"/>
      <c r="G98" s="57"/>
      <c r="H98" s="57"/>
      <c r="I98" s="57"/>
      <c r="J98" s="57" t="s">
        <v>157</v>
      </c>
      <c r="K98" s="8">
        <f t="shared" si="10"/>
        <v>0</v>
      </c>
      <c r="L98" s="9" t="str">
        <f t="shared" si="13"/>
        <v>Нелегальные объекты захоронения ТКО не выявлены</v>
      </c>
      <c r="M98" s="9" t="str">
        <f t="shared" si="14"/>
        <v>Все потоки ТКО указаны в территориальной схеме</v>
      </c>
      <c r="N98" s="9" t="str">
        <f t="shared" si="15"/>
        <v>Объектов по 765 приказу нет</v>
      </c>
      <c r="O98" s="9" t="str">
        <f t="shared" si="16"/>
        <v>Захоронение осуществляется без превышения мощностей</v>
      </c>
      <c r="P98" s="9" t="str">
        <f t="shared" si="17"/>
        <v>Действующих мощностей хватит более, чем на 3 года</v>
      </c>
      <c r="Q98" s="8" t="str">
        <f t="shared" si="18"/>
        <v/>
      </c>
      <c r="R98" s="25" t="str">
        <f t="shared" si="19"/>
        <v>Дорожная карта не требуется</v>
      </c>
    </row>
    <row r="99" spans="2:18">
      <c r="B99" s="12" t="s">
        <v>85</v>
      </c>
      <c r="C99" s="20">
        <f t="shared" si="11"/>
        <v>0</v>
      </c>
      <c r="D99" s="20">
        <f t="shared" si="12"/>
        <v>0</v>
      </c>
      <c r="E99" s="57"/>
      <c r="F99" s="57"/>
      <c r="G99" s="57"/>
      <c r="H99" s="57"/>
      <c r="I99" s="57"/>
      <c r="J99" s="57" t="s">
        <v>157</v>
      </c>
      <c r="K99" s="8">
        <f t="shared" si="10"/>
        <v>0</v>
      </c>
      <c r="L99" s="9" t="str">
        <f t="shared" si="13"/>
        <v>Нелегальные объекты захоронения ТКО не выявлены</v>
      </c>
      <c r="M99" s="9" t="str">
        <f t="shared" si="14"/>
        <v>Все потоки ТКО указаны в территориальной схеме</v>
      </c>
      <c r="N99" s="9" t="str">
        <f t="shared" si="15"/>
        <v>Объектов по 765 приказу нет</v>
      </c>
      <c r="O99" s="9" t="str">
        <f t="shared" si="16"/>
        <v>Захоронение осуществляется без превышения мощностей</v>
      </c>
      <c r="P99" s="9" t="str">
        <f t="shared" si="17"/>
        <v>Действующих мощностей хватит более, чем на 3 года</v>
      </c>
      <c r="Q99" s="8" t="str">
        <f t="shared" si="18"/>
        <v/>
      </c>
      <c r="R99" s="25" t="str">
        <f t="shared" si="19"/>
        <v>Дорожная карта не требуется</v>
      </c>
    </row>
    <row r="100" spans="2:18">
      <c r="B100" s="12" t="s">
        <v>86</v>
      </c>
      <c r="C100" s="20">
        <f t="shared" si="11"/>
        <v>0</v>
      </c>
      <c r="D100" s="20">
        <f t="shared" si="12"/>
        <v>0</v>
      </c>
      <c r="E100" s="57"/>
      <c r="F100" s="57"/>
      <c r="G100" s="57"/>
      <c r="H100" s="57"/>
      <c r="I100" s="57"/>
      <c r="J100" s="57" t="s">
        <v>157</v>
      </c>
      <c r="K100" s="8">
        <f t="shared" si="10"/>
        <v>0</v>
      </c>
      <c r="L100" s="9" t="str">
        <f t="shared" si="13"/>
        <v>Нелегальные объекты захоронения ТКО не выявлены</v>
      </c>
      <c r="M100" s="9" t="str">
        <f t="shared" si="14"/>
        <v>Все потоки ТКО указаны в территориальной схеме</v>
      </c>
      <c r="N100" s="9" t="str">
        <f t="shared" si="15"/>
        <v>Объектов по 765 приказу нет</v>
      </c>
      <c r="O100" s="9" t="str">
        <f t="shared" si="16"/>
        <v>Захоронение осуществляется без превышения мощностей</v>
      </c>
      <c r="P100" s="9" t="str">
        <f t="shared" si="17"/>
        <v>Действующих мощностей хватит более, чем на 3 года</v>
      </c>
      <c r="Q100" s="8" t="str">
        <f t="shared" si="18"/>
        <v/>
      </c>
      <c r="R100" s="25" t="str">
        <f t="shared" si="19"/>
        <v>Дорожная карта не требуется</v>
      </c>
    </row>
    <row r="101" spans="2:18">
      <c r="B101" s="12" t="s">
        <v>87</v>
      </c>
      <c r="C101" s="20">
        <f t="shared" si="11"/>
        <v>0</v>
      </c>
      <c r="D101" s="20">
        <f t="shared" si="12"/>
        <v>0</v>
      </c>
      <c r="E101" s="57"/>
      <c r="F101" s="57"/>
      <c r="G101" s="57"/>
      <c r="H101" s="57"/>
      <c r="I101" s="57"/>
      <c r="J101" s="57" t="s">
        <v>157</v>
      </c>
      <c r="K101" s="8">
        <f t="shared" si="10"/>
        <v>0</v>
      </c>
      <c r="L101" s="9" t="str">
        <f t="shared" si="13"/>
        <v>Нелегальные объекты захоронения ТКО не выявлены</v>
      </c>
      <c r="M101" s="9" t="str">
        <f t="shared" si="14"/>
        <v>Все потоки ТКО указаны в территориальной схеме</v>
      </c>
      <c r="N101" s="9" t="str">
        <f t="shared" si="15"/>
        <v>Объектов по 765 приказу нет</v>
      </c>
      <c r="O101" s="9" t="str">
        <f t="shared" si="16"/>
        <v>Захоронение осуществляется без превышения мощностей</v>
      </c>
      <c r="P101" s="9" t="str">
        <f t="shared" si="17"/>
        <v>Действующих мощностей хватит более, чем на 3 года</v>
      </c>
      <c r="Q101" s="8" t="str">
        <f t="shared" si="18"/>
        <v/>
      </c>
      <c r="R101" s="25" t="str">
        <f t="shared" si="19"/>
        <v>Дорожная карта не требуется</v>
      </c>
    </row>
    <row r="102" spans="2:18">
      <c r="B102" s="12" t="s">
        <v>88</v>
      </c>
      <c r="C102" s="20">
        <f t="shared" si="11"/>
        <v>2</v>
      </c>
      <c r="D102" s="20">
        <f t="shared" si="12"/>
        <v>2</v>
      </c>
      <c r="E102" s="57">
        <v>2</v>
      </c>
      <c r="F102" s="57"/>
      <c r="G102" s="57"/>
      <c r="H102" s="57">
        <v>1</v>
      </c>
      <c r="I102" s="57">
        <v>1</v>
      </c>
      <c r="J102" s="57" t="s">
        <v>156</v>
      </c>
      <c r="K102" s="8">
        <f t="shared" si="10"/>
        <v>2</v>
      </c>
      <c r="L102" s="9" t="str">
        <f t="shared" si="13"/>
        <v>Имеются нелегальные объекты захоронения ТКО</v>
      </c>
      <c r="M102" s="9" t="str">
        <f t="shared" si="14"/>
        <v>Все потоки ТКО указаны в территориальной схеме</v>
      </c>
      <c r="N102" s="9" t="str">
        <f t="shared" si="15"/>
        <v>Объектов по 765 приказу нет</v>
      </c>
      <c r="O102" s="9" t="str">
        <f t="shared" si="16"/>
        <v>Захоронение осуществляется с превышением мощностей</v>
      </c>
      <c r="P102" s="9" t="str">
        <f t="shared" si="17"/>
        <v>Действующие мощности будут исчерпаны за 3 года</v>
      </c>
      <c r="Q102" s="8" t="str">
        <f t="shared" si="18"/>
        <v>свалки</v>
      </c>
      <c r="R102" s="25" t="str">
        <f t="shared" si="19"/>
        <v>Дорожная карта в разработке</v>
      </c>
    </row>
    <row r="103" spans="2:18">
      <c r="B103" s="12" t="s">
        <v>89</v>
      </c>
      <c r="C103" s="20">
        <f t="shared" si="11"/>
        <v>2</v>
      </c>
      <c r="D103" s="20">
        <f t="shared" si="12"/>
        <v>2</v>
      </c>
      <c r="E103" s="57"/>
      <c r="F103" s="57">
        <v>2</v>
      </c>
      <c r="G103" s="57">
        <v>1</v>
      </c>
      <c r="H103" s="57"/>
      <c r="I103" s="57"/>
      <c r="J103" s="57" t="s">
        <v>158</v>
      </c>
      <c r="K103" s="8">
        <f t="shared" si="10"/>
        <v>0</v>
      </c>
      <c r="L103" s="9" t="str">
        <f t="shared" si="13"/>
        <v>Нелегальные объекты захоронения ТКО не выявлены</v>
      </c>
      <c r="M103" s="9" t="str">
        <f t="shared" si="14"/>
        <v>Для ряда территорий осутствует схема потоков ТКО</v>
      </c>
      <c r="N103" s="9" t="str">
        <f t="shared" si="15"/>
        <v>Риски замещения объектов по 765 приказу средние</v>
      </c>
      <c r="O103" s="9" t="str">
        <f t="shared" si="16"/>
        <v>Захоронение осуществляется без превышения мощностей</v>
      </c>
      <c r="P103" s="9" t="str">
        <f t="shared" si="17"/>
        <v>Действующих мощностей хватит более, чем на 3 года</v>
      </c>
      <c r="Q103" s="8" t="str">
        <f t="shared" si="18"/>
        <v>белые пятна</v>
      </c>
      <c r="R103" s="25" t="str">
        <f t="shared" si="19"/>
        <v>Дорожная карта подписана</v>
      </c>
    </row>
    <row r="104" spans="2:18">
      <c r="B104" s="12" t="s">
        <v>90</v>
      </c>
      <c r="C104" s="20">
        <f t="shared" si="11"/>
        <v>0</v>
      </c>
      <c r="D104" s="20">
        <f t="shared" si="12"/>
        <v>0</v>
      </c>
      <c r="E104" s="57"/>
      <c r="F104" s="57"/>
      <c r="G104" s="57"/>
      <c r="H104" s="57"/>
      <c r="I104" s="57"/>
      <c r="J104" s="57" t="s">
        <v>157</v>
      </c>
      <c r="K104" s="8">
        <f t="shared" si="10"/>
        <v>0</v>
      </c>
      <c r="L104" s="9" t="str">
        <f t="shared" si="13"/>
        <v>Нелегальные объекты захоронения ТКО не выявлены</v>
      </c>
      <c r="M104" s="9" t="str">
        <f t="shared" si="14"/>
        <v>Все потоки ТКО указаны в территориальной схеме</v>
      </c>
      <c r="N104" s="9" t="str">
        <f t="shared" si="15"/>
        <v>Объектов по 765 приказу нет</v>
      </c>
      <c r="O104" s="9" t="str">
        <f t="shared" si="16"/>
        <v>Захоронение осуществляется без превышения мощностей</v>
      </c>
      <c r="P104" s="9" t="str">
        <f t="shared" si="17"/>
        <v>Действующих мощностей хватит более, чем на 3 года</v>
      </c>
      <c r="Q104" s="8" t="str">
        <f t="shared" si="18"/>
        <v/>
      </c>
      <c r="R104" s="25" t="str">
        <f t="shared" si="19"/>
        <v>Дорожная карта не требуется</v>
      </c>
    </row>
    <row r="106" spans="2:18">
      <c r="J106" s="8" t="s">
        <v>158</v>
      </c>
    </row>
    <row r="107" spans="2:18">
      <c r="B107" s="12"/>
      <c r="J107" s="8" t="s">
        <v>156</v>
      </c>
    </row>
    <row r="108" spans="2:18">
      <c r="J108" s="8" t="s">
        <v>549</v>
      </c>
    </row>
    <row r="109" spans="2:18">
      <c r="J109" s="8" t="s">
        <v>157</v>
      </c>
    </row>
  </sheetData>
  <dataValidations count="1">
    <dataValidation type="list" allowBlank="1" showInputMessage="1" showErrorMessage="1" sqref="J16:J104">
      <formula1>$J$106:$J$109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U107"/>
  <sheetViews>
    <sheetView workbookViewId="0">
      <pane xSplit="2" ySplit="15" topLeftCell="C16" activePane="bottomRight" state="frozen"/>
      <selection pane="topRight"/>
      <selection pane="bottomLeft"/>
      <selection pane="bottomRight" activeCell="E16" sqref="E16"/>
    </sheetView>
  </sheetViews>
  <sheetFormatPr defaultColWidth="10.8984375" defaultRowHeight="15"/>
  <cols>
    <col min="1" max="1" width="10.8984375" style="9"/>
    <col min="2" max="2" width="30.59765625" style="9" customWidth="1"/>
    <col min="3" max="6" width="13.5" style="13" customWidth="1"/>
    <col min="7" max="7" width="13.5" style="15" customWidth="1"/>
    <col min="8" max="8" width="13.5" style="8" customWidth="1"/>
    <col min="9" max="9" width="35" style="9" customWidth="1"/>
    <col min="10" max="10" width="34.8984375" style="9" customWidth="1"/>
    <col min="11" max="11" width="24.59765625" style="9" customWidth="1"/>
    <col min="12" max="12" width="17" style="8" customWidth="1"/>
    <col min="13" max="15" width="14" style="9" customWidth="1"/>
    <col min="16" max="16384" width="10.8984375" style="9"/>
  </cols>
  <sheetData>
    <row r="2" spans="2:21" ht="15.6">
      <c r="B2" s="7" t="s">
        <v>136</v>
      </c>
    </row>
    <row r="4" spans="2:21" s="7" customFormat="1" ht="15.6">
      <c r="B4" s="7" t="s">
        <v>574</v>
      </c>
      <c r="C4" s="50" t="s">
        <v>573</v>
      </c>
      <c r="D4" s="50"/>
      <c r="E4" s="51"/>
      <c r="F4" s="51"/>
      <c r="G4" s="50"/>
      <c r="H4" s="50"/>
      <c r="I4" s="52"/>
      <c r="J4" s="52"/>
      <c r="K4" s="52"/>
      <c r="L4" s="52"/>
      <c r="M4" s="52"/>
      <c r="N4" s="52"/>
      <c r="O4" s="53"/>
      <c r="P4" s="53"/>
      <c r="Q4" s="53"/>
      <c r="R4" s="53"/>
      <c r="S4" s="53"/>
      <c r="T4" s="53"/>
      <c r="U4" s="53"/>
    </row>
    <row r="5" spans="2:21">
      <c r="B5" s="9" t="s">
        <v>579</v>
      </c>
      <c r="C5" s="59">
        <v>45564</v>
      </c>
      <c r="E5" s="38"/>
      <c r="F5" s="38"/>
      <c r="G5" s="13"/>
      <c r="H5" s="13"/>
      <c r="I5" s="8"/>
      <c r="J5" s="8"/>
      <c r="K5" s="8"/>
      <c r="M5" s="8"/>
      <c r="N5" s="8"/>
      <c r="O5" s="14"/>
      <c r="P5" s="14"/>
      <c r="Q5" s="14"/>
      <c r="R5" s="14"/>
      <c r="S5" s="14"/>
      <c r="T5" s="14"/>
      <c r="U5" s="14"/>
    </row>
    <row r="7" spans="2:21">
      <c r="B7" s="9" t="s">
        <v>92</v>
      </c>
      <c r="G7" s="15">
        <f>G9/2</f>
        <v>0.27150000000000002</v>
      </c>
      <c r="H7" s="26">
        <f>H9/2</f>
        <v>0.40350000000000003</v>
      </c>
    </row>
    <row r="8" spans="2:21">
      <c r="B8" s="9" t="s">
        <v>93</v>
      </c>
      <c r="D8" s="14">
        <v>1</v>
      </c>
      <c r="H8" s="9"/>
    </row>
    <row r="9" spans="2:21">
      <c r="B9" s="9" t="s">
        <v>94</v>
      </c>
      <c r="D9" s="14">
        <v>0.5</v>
      </c>
      <c r="G9" s="15">
        <f>G15</f>
        <v>0.54300000000000004</v>
      </c>
      <c r="H9" s="26">
        <f>H15</f>
        <v>0.80700000000000005</v>
      </c>
    </row>
    <row r="10" spans="2:21">
      <c r="B10" s="9" t="s">
        <v>95</v>
      </c>
      <c r="H10" s="17"/>
    </row>
    <row r="11" spans="2:21">
      <c r="B11" s="9" t="s">
        <v>96</v>
      </c>
      <c r="C11" s="15"/>
      <c r="E11" s="15">
        <v>0.5</v>
      </c>
      <c r="F11" s="15">
        <v>0.5</v>
      </c>
    </row>
    <row r="12" spans="2:21">
      <c r="C12" s="15"/>
      <c r="E12" s="15"/>
      <c r="F12" s="15"/>
      <c r="H12" s="9"/>
    </row>
    <row r="14" spans="2:21" s="11" customFormat="1" ht="60">
      <c r="B14" s="11" t="s">
        <v>0</v>
      </c>
      <c r="C14" s="18" t="s">
        <v>118</v>
      </c>
      <c r="D14" s="18" t="s">
        <v>117</v>
      </c>
      <c r="E14" s="18" t="s">
        <v>139</v>
      </c>
      <c r="F14" s="18" t="s">
        <v>140</v>
      </c>
      <c r="G14" s="27" t="s">
        <v>138</v>
      </c>
      <c r="H14" s="10" t="s">
        <v>137</v>
      </c>
      <c r="I14" s="19" t="s">
        <v>148</v>
      </c>
      <c r="J14" s="19" t="s">
        <v>149</v>
      </c>
      <c r="K14" s="19" t="s">
        <v>120</v>
      </c>
      <c r="L14" s="19" t="s">
        <v>135</v>
      </c>
      <c r="M14" s="19"/>
      <c r="N14" s="19"/>
      <c r="O14" s="19"/>
    </row>
    <row r="15" spans="2:21" s="11" customFormat="1">
      <c r="B15" s="11" t="s">
        <v>105</v>
      </c>
      <c r="C15" s="20"/>
      <c r="D15" s="20"/>
      <c r="E15" s="20"/>
      <c r="F15" s="20"/>
      <c r="G15" s="49">
        <v>0.54300000000000004</v>
      </c>
      <c r="H15" s="49">
        <v>0.80700000000000005</v>
      </c>
      <c r="I15" s="9" t="str">
        <f>_xlfn.TEXTJOIN(,0,"Доля обработки ТКО в 1пг 2024 г. ",TEXT(G15,"0%"))</f>
        <v>Доля обработки ТКО в 1пг 2024 г. 54%</v>
      </c>
      <c r="J15" s="9" t="str">
        <f t="shared" ref="J15:J16" si="0">_xlfn.TEXTJOIN(,0,"План по обработке ТКО в 2028 г. ",TEXT(H15,"0%"))</f>
        <v>План по обработке ТКО в 2028 г. 81%</v>
      </c>
      <c r="K15" s="9"/>
      <c r="L15" s="8" t="str">
        <f>_xlfn.TEXTJOIN(,0,TEXT(H15*100,"0"),"/",TEXT(G15*100,"0")," (",TEXT((H15-G15)*100,"0"),")")</f>
        <v>81/54 (26)</v>
      </c>
    </row>
    <row r="16" spans="2:21">
      <c r="B16" s="12" t="s">
        <v>1</v>
      </c>
      <c r="C16" s="20">
        <f>IF(D16&gt;$D$8,2,IF(D16&gt;$D$9,1,0))</f>
        <v>1</v>
      </c>
      <c r="D16" s="20">
        <f>E16*$E$11+F16*$F$11</f>
        <v>1</v>
      </c>
      <c r="E16" s="20">
        <f t="shared" ref="E16" si="1">IF(OR(G16&lt;$G$7,K16&lt;&gt;""),2,IF(G16&lt;$G$9,1,0))</f>
        <v>2</v>
      </c>
      <c r="F16" s="20">
        <f>IF(H16&lt;$H$7,2,IF(H16&lt;$H$9,1,0))</f>
        <v>0</v>
      </c>
      <c r="G16" s="49">
        <v>0</v>
      </c>
      <c r="H16" s="49">
        <v>1</v>
      </c>
      <c r="I16" s="9" t="str">
        <f>_xlfn.TEXTJOIN(,0,"Доля обработки ТКО в 1пг 2024 г. ",TEXT(G16,"0%"))</f>
        <v>Доля обработки ТКО в 1пг 2024 г. 0%</v>
      </c>
      <c r="J16" s="9" t="str">
        <f t="shared" si="0"/>
        <v>План по обработке ТКО в 2028 г. 100%</v>
      </c>
      <c r="K16" s="67"/>
      <c r="L16" s="8" t="str">
        <f t="shared" ref="L16:L79" si="2">_xlfn.TEXTJOIN(,0,TEXT(H16*100,"0"),"/",TEXT(G16*100,"0")," (",TEXT((H16-G16)*100,"0"),")")</f>
        <v>100/0 (100)</v>
      </c>
    </row>
    <row r="17" spans="2:12">
      <c r="B17" s="12" t="s">
        <v>9</v>
      </c>
      <c r="C17" s="20">
        <f t="shared" ref="C17:C80" si="3">IF(D17&gt;$D$8,2,IF(D17&gt;$D$9,1,0))</f>
        <v>2</v>
      </c>
      <c r="D17" s="20">
        <f t="shared" ref="D17:D80" si="4">E17*$E$11+F17*$F$11</f>
        <v>2</v>
      </c>
      <c r="E17" s="20">
        <f t="shared" ref="E17:E80" si="5">IF(OR(G17&lt;$G$7,K17&lt;&gt;""),2,IF(G17&lt;$G$9,1,0))</f>
        <v>2</v>
      </c>
      <c r="F17" s="20">
        <f t="shared" ref="F17:F80" si="6">IF(H17&lt;$H$7,2,IF(H17&lt;$H$9,1,0))</f>
        <v>2</v>
      </c>
      <c r="G17" s="49">
        <v>1E-3</v>
      </c>
      <c r="H17" s="49">
        <v>0.23699999999999999</v>
      </c>
      <c r="I17" s="9" t="str">
        <f t="shared" ref="I17:I80" si="7">_xlfn.TEXTJOIN(,0,"Доля обработки ТКО в 1пг 2024 г. ",TEXT(G17,"0%"))</f>
        <v>Доля обработки ТКО в 1пг 2024 г. 0%</v>
      </c>
      <c r="J17" s="9" t="str">
        <f t="shared" ref="J17:J80" si="8">_xlfn.TEXTJOIN(,0,"План по обработке ТКО в 2028 г. ",TEXT(H17,"0%"))</f>
        <v>План по обработке ТКО в 2028 г. 24%</v>
      </c>
      <c r="K17" s="67"/>
      <c r="L17" s="8" t="str">
        <f t="shared" si="2"/>
        <v>24/0 (24)</v>
      </c>
    </row>
    <row r="18" spans="2:12">
      <c r="B18" s="12" t="s">
        <v>10</v>
      </c>
      <c r="C18" s="20">
        <f t="shared" si="3"/>
        <v>1</v>
      </c>
      <c r="D18" s="20">
        <f t="shared" si="4"/>
        <v>1</v>
      </c>
      <c r="E18" s="20">
        <f t="shared" si="5"/>
        <v>2</v>
      </c>
      <c r="F18" s="20">
        <f t="shared" si="6"/>
        <v>0</v>
      </c>
      <c r="G18" s="49">
        <v>9.9000000000000005E-2</v>
      </c>
      <c r="H18" s="49">
        <v>1</v>
      </c>
      <c r="I18" s="9" t="str">
        <f t="shared" si="7"/>
        <v>Доля обработки ТКО в 1пг 2024 г. 10%</v>
      </c>
      <c r="J18" s="9" t="str">
        <f t="shared" si="8"/>
        <v>План по обработке ТКО в 2028 г. 100%</v>
      </c>
      <c r="K18" s="67"/>
      <c r="L18" s="8" t="str">
        <f t="shared" si="2"/>
        <v>100/10 (90)</v>
      </c>
    </row>
    <row r="19" spans="2:12">
      <c r="B19" s="12" t="s">
        <v>2</v>
      </c>
      <c r="C19" s="20">
        <f t="shared" si="3"/>
        <v>0</v>
      </c>
      <c r="D19" s="20">
        <f t="shared" si="4"/>
        <v>0</v>
      </c>
      <c r="E19" s="20">
        <f t="shared" si="5"/>
        <v>0</v>
      </c>
      <c r="F19" s="20">
        <f t="shared" si="6"/>
        <v>0</v>
      </c>
      <c r="G19" s="49">
        <v>0.72099999999999997</v>
      </c>
      <c r="H19" s="49">
        <v>0.9</v>
      </c>
      <c r="I19" s="9" t="str">
        <f t="shared" si="7"/>
        <v>Доля обработки ТКО в 1пг 2024 г. 72%</v>
      </c>
      <c r="J19" s="9" t="str">
        <f t="shared" si="8"/>
        <v>План по обработке ТКО в 2028 г. 90%</v>
      </c>
      <c r="K19" s="67"/>
      <c r="L19" s="8" t="str">
        <f t="shared" si="2"/>
        <v>90/72 (18)</v>
      </c>
    </row>
    <row r="20" spans="2:12">
      <c r="B20" s="12" t="s">
        <v>11</v>
      </c>
      <c r="C20" s="20">
        <f t="shared" si="3"/>
        <v>1</v>
      </c>
      <c r="D20" s="20">
        <f t="shared" si="4"/>
        <v>1</v>
      </c>
      <c r="E20" s="20">
        <f t="shared" si="5"/>
        <v>0</v>
      </c>
      <c r="F20" s="20">
        <f t="shared" si="6"/>
        <v>2</v>
      </c>
      <c r="G20" s="49">
        <v>0.67299999999999993</v>
      </c>
      <c r="H20" s="49">
        <v>0.32</v>
      </c>
      <c r="I20" s="9" t="str">
        <f t="shared" si="7"/>
        <v>Доля обработки ТКО в 1пг 2024 г. 67%</v>
      </c>
      <c r="J20" s="9" t="str">
        <f t="shared" si="8"/>
        <v>План по обработке ТКО в 2028 г. 32%</v>
      </c>
      <c r="K20" s="67"/>
      <c r="L20" s="8" t="str">
        <f t="shared" si="2"/>
        <v>32/67 (-35)</v>
      </c>
    </row>
    <row r="21" spans="2:12">
      <c r="B21" s="12" t="s">
        <v>12</v>
      </c>
      <c r="C21" s="20">
        <f t="shared" si="3"/>
        <v>0</v>
      </c>
      <c r="D21" s="20">
        <f t="shared" si="4"/>
        <v>0</v>
      </c>
      <c r="E21" s="20">
        <f t="shared" si="5"/>
        <v>0</v>
      </c>
      <c r="F21" s="20">
        <f t="shared" si="6"/>
        <v>0</v>
      </c>
      <c r="G21" s="49">
        <v>0.61299999999999999</v>
      </c>
      <c r="H21" s="49">
        <v>0.85</v>
      </c>
      <c r="I21" s="9" t="str">
        <f t="shared" si="7"/>
        <v>Доля обработки ТКО в 1пг 2024 г. 61%</v>
      </c>
      <c r="J21" s="9" t="str">
        <f t="shared" si="8"/>
        <v>План по обработке ТКО в 2028 г. 85%</v>
      </c>
      <c r="K21" s="67"/>
      <c r="L21" s="8" t="str">
        <f t="shared" si="2"/>
        <v>85/61 (24)</v>
      </c>
    </row>
    <row r="22" spans="2:12">
      <c r="B22" s="12" t="s">
        <v>13</v>
      </c>
      <c r="C22" s="20">
        <f t="shared" si="3"/>
        <v>2</v>
      </c>
      <c r="D22" s="20">
        <f t="shared" si="4"/>
        <v>1.5</v>
      </c>
      <c r="E22" s="20">
        <f t="shared" si="5"/>
        <v>1</v>
      </c>
      <c r="F22" s="20">
        <f t="shared" si="6"/>
        <v>2</v>
      </c>
      <c r="G22" s="49">
        <v>0.36499999999999999</v>
      </c>
      <c r="H22" s="49">
        <v>0.27699999999999997</v>
      </c>
      <c r="I22" s="9" t="str">
        <f t="shared" si="7"/>
        <v>Доля обработки ТКО в 1пг 2024 г. 37%</v>
      </c>
      <c r="J22" s="9" t="str">
        <f t="shared" si="8"/>
        <v>План по обработке ТКО в 2028 г. 28%</v>
      </c>
      <c r="K22" s="67"/>
      <c r="L22" s="8" t="str">
        <f t="shared" si="2"/>
        <v>28/37 (-9)</v>
      </c>
    </row>
    <row r="23" spans="2:12">
      <c r="B23" s="12" t="s">
        <v>14</v>
      </c>
      <c r="C23" s="20">
        <f t="shared" si="3"/>
        <v>0</v>
      </c>
      <c r="D23" s="20">
        <f t="shared" si="4"/>
        <v>0.5</v>
      </c>
      <c r="E23" s="20">
        <f t="shared" si="5"/>
        <v>0</v>
      </c>
      <c r="F23" s="20">
        <f t="shared" si="6"/>
        <v>1</v>
      </c>
      <c r="G23" s="49">
        <v>0.80200000000000005</v>
      </c>
      <c r="H23" s="49">
        <v>0.8</v>
      </c>
      <c r="I23" s="9" t="str">
        <f t="shared" si="7"/>
        <v>Доля обработки ТКО в 1пг 2024 г. 80%</v>
      </c>
      <c r="J23" s="9" t="str">
        <f t="shared" si="8"/>
        <v>План по обработке ТКО в 2028 г. 80%</v>
      </c>
      <c r="K23" s="67"/>
      <c r="L23" s="8" t="str">
        <f t="shared" si="2"/>
        <v>80/80 (0)</v>
      </c>
    </row>
    <row r="24" spans="2:12">
      <c r="B24" s="12" t="s">
        <v>15</v>
      </c>
      <c r="C24" s="20">
        <f t="shared" si="3"/>
        <v>0</v>
      </c>
      <c r="D24" s="20">
        <f t="shared" si="4"/>
        <v>0.5</v>
      </c>
      <c r="E24" s="20">
        <f t="shared" si="5"/>
        <v>0</v>
      </c>
      <c r="F24" s="20">
        <f t="shared" si="6"/>
        <v>1</v>
      </c>
      <c r="G24" s="49">
        <v>0.56000000000000005</v>
      </c>
      <c r="H24" s="49">
        <v>0.7</v>
      </c>
      <c r="I24" s="9" t="str">
        <f t="shared" si="7"/>
        <v>Доля обработки ТКО в 1пг 2024 г. 56%</v>
      </c>
      <c r="J24" s="9" t="str">
        <f t="shared" si="8"/>
        <v>План по обработке ТКО в 2028 г. 70%</v>
      </c>
      <c r="K24" s="67"/>
      <c r="L24" s="8" t="str">
        <f t="shared" si="2"/>
        <v>70/56 (14)</v>
      </c>
    </row>
    <row r="25" spans="2:12">
      <c r="B25" s="12" t="s">
        <v>16</v>
      </c>
      <c r="C25" s="20">
        <f t="shared" si="3"/>
        <v>0</v>
      </c>
      <c r="D25" s="20">
        <f t="shared" si="4"/>
        <v>0.5</v>
      </c>
      <c r="E25" s="20">
        <f t="shared" si="5"/>
        <v>0</v>
      </c>
      <c r="F25" s="20">
        <f t="shared" si="6"/>
        <v>1</v>
      </c>
      <c r="G25" s="49">
        <v>0.56499999999999995</v>
      </c>
      <c r="H25" s="49">
        <v>0.53</v>
      </c>
      <c r="I25" s="9" t="str">
        <f t="shared" si="7"/>
        <v>Доля обработки ТКО в 1пг 2024 г. 57%</v>
      </c>
      <c r="J25" s="9" t="str">
        <f t="shared" si="8"/>
        <v>План по обработке ТКО в 2028 г. 53%</v>
      </c>
      <c r="K25" s="67"/>
      <c r="L25" s="8" t="str">
        <f t="shared" si="2"/>
        <v>53/57 (-3)</v>
      </c>
    </row>
    <row r="26" spans="2:12">
      <c r="B26" s="12" t="s">
        <v>17</v>
      </c>
      <c r="C26" s="20">
        <f t="shared" si="3"/>
        <v>0</v>
      </c>
      <c r="D26" s="20">
        <f t="shared" si="4"/>
        <v>0</v>
      </c>
      <c r="E26" s="20">
        <f t="shared" si="5"/>
        <v>0</v>
      </c>
      <c r="F26" s="20">
        <f t="shared" si="6"/>
        <v>0</v>
      </c>
      <c r="G26" s="49">
        <v>0.98699999999999999</v>
      </c>
      <c r="H26" s="49">
        <v>0.9</v>
      </c>
      <c r="I26" s="9" t="str">
        <f t="shared" si="7"/>
        <v>Доля обработки ТКО в 1пг 2024 г. 99%</v>
      </c>
      <c r="J26" s="9" t="str">
        <f t="shared" si="8"/>
        <v>План по обработке ТКО в 2028 г. 90%</v>
      </c>
      <c r="K26" s="67"/>
      <c r="L26" s="8" t="str">
        <f t="shared" si="2"/>
        <v>90/99 (-9)</v>
      </c>
    </row>
    <row r="27" spans="2:12">
      <c r="B27" s="12" t="s">
        <v>18</v>
      </c>
      <c r="C27" s="20">
        <f t="shared" si="3"/>
        <v>0</v>
      </c>
      <c r="D27" s="20">
        <f t="shared" si="4"/>
        <v>0</v>
      </c>
      <c r="E27" s="20">
        <f t="shared" si="5"/>
        <v>0</v>
      </c>
      <c r="F27" s="20">
        <f t="shared" si="6"/>
        <v>0</v>
      </c>
      <c r="G27" s="49">
        <v>0.75099999999999989</v>
      </c>
      <c r="H27" s="49">
        <v>1</v>
      </c>
      <c r="I27" s="9" t="str">
        <f t="shared" si="7"/>
        <v>Доля обработки ТКО в 1пг 2024 г. 75%</v>
      </c>
      <c r="J27" s="9" t="str">
        <f t="shared" si="8"/>
        <v>План по обработке ТКО в 2028 г. 100%</v>
      </c>
      <c r="K27" s="67"/>
      <c r="L27" s="8" t="str">
        <f t="shared" si="2"/>
        <v>100/75 (25)</v>
      </c>
    </row>
    <row r="28" spans="2:12">
      <c r="B28" s="12" t="s">
        <v>19</v>
      </c>
      <c r="C28" s="20">
        <f t="shared" si="3"/>
        <v>1</v>
      </c>
      <c r="D28" s="20">
        <f t="shared" si="4"/>
        <v>1</v>
      </c>
      <c r="E28" s="20">
        <f t="shared" si="5"/>
        <v>1</v>
      </c>
      <c r="F28" s="20">
        <f t="shared" si="6"/>
        <v>1</v>
      </c>
      <c r="G28" s="49">
        <v>0.49700000000000005</v>
      </c>
      <c r="H28" s="49">
        <v>0.45</v>
      </c>
      <c r="I28" s="9" t="str">
        <f t="shared" si="7"/>
        <v>Доля обработки ТКО в 1пг 2024 г. 50%</v>
      </c>
      <c r="J28" s="9" t="str">
        <f t="shared" si="8"/>
        <v>План по обработке ТКО в 2028 г. 45%</v>
      </c>
      <c r="K28" s="67"/>
      <c r="L28" s="8" t="str">
        <f t="shared" si="2"/>
        <v>45/50 (-5)</v>
      </c>
    </row>
    <row r="29" spans="2:12">
      <c r="B29" s="12" t="s">
        <v>580</v>
      </c>
      <c r="C29" s="20">
        <f t="shared" si="3"/>
        <v>0</v>
      </c>
      <c r="D29" s="20">
        <f t="shared" si="4"/>
        <v>0</v>
      </c>
      <c r="E29" s="66">
        <v>0</v>
      </c>
      <c r="F29" s="66">
        <v>0</v>
      </c>
      <c r="G29" s="49"/>
      <c r="H29" s="49"/>
      <c r="I29" s="9" t="str">
        <f t="shared" si="7"/>
        <v>Доля обработки ТКО в 1пг 2024 г. 0%</v>
      </c>
      <c r="J29" s="9" t="str">
        <f t="shared" si="8"/>
        <v>План по обработке ТКО в 2028 г. 0%</v>
      </c>
      <c r="K29" s="67"/>
      <c r="L29" s="8" t="str">
        <f t="shared" si="2"/>
        <v>0/0 (0)</v>
      </c>
    </row>
    <row r="30" spans="2:12">
      <c r="B30" s="12" t="s">
        <v>20</v>
      </c>
      <c r="C30" s="20">
        <f t="shared" si="3"/>
        <v>1</v>
      </c>
      <c r="D30" s="20">
        <f t="shared" si="4"/>
        <v>1</v>
      </c>
      <c r="E30" s="20">
        <f t="shared" si="5"/>
        <v>2</v>
      </c>
      <c r="F30" s="20">
        <f t="shared" si="6"/>
        <v>0</v>
      </c>
      <c r="G30" s="49">
        <v>3.7999999999999999E-2</v>
      </c>
      <c r="H30" s="49">
        <v>0.83700000000000008</v>
      </c>
      <c r="I30" s="9" t="str">
        <f t="shared" si="7"/>
        <v>Доля обработки ТКО в 1пг 2024 г. 4%</v>
      </c>
      <c r="J30" s="9" t="str">
        <f t="shared" si="8"/>
        <v>План по обработке ТКО в 2028 г. 84%</v>
      </c>
      <c r="K30" s="67"/>
      <c r="L30" s="8" t="str">
        <f t="shared" si="2"/>
        <v>84/4 (80)</v>
      </c>
    </row>
    <row r="31" spans="2:12">
      <c r="B31" s="12" t="s">
        <v>21</v>
      </c>
      <c r="C31" s="20">
        <f t="shared" si="3"/>
        <v>2</v>
      </c>
      <c r="D31" s="20">
        <f t="shared" si="4"/>
        <v>1.5</v>
      </c>
      <c r="E31" s="20">
        <f t="shared" si="5"/>
        <v>2</v>
      </c>
      <c r="F31" s="20">
        <f t="shared" si="6"/>
        <v>1</v>
      </c>
      <c r="G31" s="49">
        <v>0.04</v>
      </c>
      <c r="H31" s="49">
        <v>0.59</v>
      </c>
      <c r="I31" s="9" t="str">
        <f t="shared" si="7"/>
        <v>Доля обработки ТКО в 1пг 2024 г. 4%</v>
      </c>
      <c r="J31" s="9" t="str">
        <f t="shared" si="8"/>
        <v>План по обработке ТКО в 2028 г. 59%</v>
      </c>
      <c r="K31" s="67"/>
      <c r="L31" s="8" t="str">
        <f t="shared" si="2"/>
        <v>59/4 (55)</v>
      </c>
    </row>
    <row r="32" spans="2:12">
      <c r="B32" s="12" t="s">
        <v>163</v>
      </c>
      <c r="C32" s="20">
        <f t="shared" si="3"/>
        <v>0</v>
      </c>
      <c r="D32" s="20">
        <f t="shared" si="4"/>
        <v>0</v>
      </c>
      <c r="E32" s="66">
        <v>0</v>
      </c>
      <c r="F32" s="66">
        <v>0</v>
      </c>
      <c r="G32" s="49"/>
      <c r="H32" s="49"/>
      <c r="I32" s="9" t="str">
        <f t="shared" si="7"/>
        <v>Доля обработки ТКО в 1пг 2024 г. 0%</v>
      </c>
      <c r="J32" s="9" t="str">
        <f t="shared" si="8"/>
        <v>План по обработке ТКО в 2028 г. 0%</v>
      </c>
      <c r="K32" s="67"/>
      <c r="L32" s="8" t="str">
        <f t="shared" si="2"/>
        <v>0/0 (0)</v>
      </c>
    </row>
    <row r="33" spans="2:12">
      <c r="B33" s="12" t="s">
        <v>22</v>
      </c>
      <c r="C33" s="20">
        <f t="shared" si="3"/>
        <v>0</v>
      </c>
      <c r="D33" s="20">
        <f t="shared" si="4"/>
        <v>0.5</v>
      </c>
      <c r="E33" s="20">
        <f t="shared" si="5"/>
        <v>0</v>
      </c>
      <c r="F33" s="20">
        <f t="shared" si="6"/>
        <v>1</v>
      </c>
      <c r="G33" s="49">
        <v>0.79799999999999993</v>
      </c>
      <c r="H33" s="49">
        <v>0.75</v>
      </c>
      <c r="I33" s="9" t="str">
        <f t="shared" si="7"/>
        <v>Доля обработки ТКО в 1пг 2024 г. 80%</v>
      </c>
      <c r="J33" s="9" t="str">
        <f t="shared" si="8"/>
        <v>План по обработке ТКО в 2028 г. 75%</v>
      </c>
      <c r="K33" s="67"/>
      <c r="L33" s="8" t="str">
        <f t="shared" si="2"/>
        <v>75/80 (-5)</v>
      </c>
    </row>
    <row r="34" spans="2:12">
      <c r="B34" s="12" t="s">
        <v>23</v>
      </c>
      <c r="C34" s="20">
        <f t="shared" si="3"/>
        <v>2</v>
      </c>
      <c r="D34" s="20">
        <f t="shared" si="4"/>
        <v>1.5</v>
      </c>
      <c r="E34" s="20">
        <f t="shared" si="5"/>
        <v>2</v>
      </c>
      <c r="F34" s="20">
        <f t="shared" si="6"/>
        <v>1</v>
      </c>
      <c r="G34" s="49">
        <v>2.8999999999999998E-2</v>
      </c>
      <c r="H34" s="49">
        <v>0.55700000000000005</v>
      </c>
      <c r="I34" s="9" t="str">
        <f t="shared" si="7"/>
        <v>Доля обработки ТКО в 1пг 2024 г. 3%</v>
      </c>
      <c r="J34" s="9" t="str">
        <f t="shared" si="8"/>
        <v>План по обработке ТКО в 2028 г. 56%</v>
      </c>
      <c r="K34" s="67"/>
      <c r="L34" s="8" t="str">
        <f t="shared" si="2"/>
        <v>56/3 (53)</v>
      </c>
    </row>
    <row r="35" spans="2:12">
      <c r="B35" s="12" t="s">
        <v>24</v>
      </c>
      <c r="C35" s="20">
        <f t="shared" si="3"/>
        <v>2</v>
      </c>
      <c r="D35" s="20">
        <f t="shared" si="4"/>
        <v>1.5</v>
      </c>
      <c r="E35" s="20">
        <f t="shared" si="5"/>
        <v>1</v>
      </c>
      <c r="F35" s="20">
        <f t="shared" si="6"/>
        <v>2</v>
      </c>
      <c r="G35" s="49">
        <v>0.40799999999999997</v>
      </c>
      <c r="H35" s="49">
        <v>0.39</v>
      </c>
      <c r="I35" s="9" t="str">
        <f t="shared" si="7"/>
        <v>Доля обработки ТКО в 1пг 2024 г. 41%</v>
      </c>
      <c r="J35" s="9" t="str">
        <f t="shared" si="8"/>
        <v>План по обработке ТКО в 2028 г. 39%</v>
      </c>
      <c r="K35" s="67"/>
      <c r="L35" s="8" t="str">
        <f t="shared" si="2"/>
        <v>39/41 (-2)</v>
      </c>
    </row>
    <row r="36" spans="2:12">
      <c r="B36" s="12" t="s">
        <v>25</v>
      </c>
      <c r="C36" s="20">
        <f t="shared" si="3"/>
        <v>1</v>
      </c>
      <c r="D36" s="20">
        <f t="shared" si="4"/>
        <v>1</v>
      </c>
      <c r="E36" s="20">
        <f t="shared" si="5"/>
        <v>2</v>
      </c>
      <c r="F36" s="20">
        <f t="shared" si="6"/>
        <v>0</v>
      </c>
      <c r="G36" s="49">
        <v>0.13300000000000001</v>
      </c>
      <c r="H36" s="49">
        <v>1</v>
      </c>
      <c r="I36" s="9" t="str">
        <f t="shared" si="7"/>
        <v>Доля обработки ТКО в 1пг 2024 г. 13%</v>
      </c>
      <c r="J36" s="9" t="str">
        <f t="shared" si="8"/>
        <v>План по обработке ТКО в 2028 г. 100%</v>
      </c>
      <c r="K36" s="67"/>
      <c r="L36" s="8" t="str">
        <f t="shared" si="2"/>
        <v>100/13 (87)</v>
      </c>
    </row>
    <row r="37" spans="2:12">
      <c r="B37" s="12" t="s">
        <v>26</v>
      </c>
      <c r="C37" s="20">
        <f t="shared" si="3"/>
        <v>0</v>
      </c>
      <c r="D37" s="20">
        <f t="shared" si="4"/>
        <v>0</v>
      </c>
      <c r="E37" s="20">
        <f t="shared" si="5"/>
        <v>0</v>
      </c>
      <c r="F37" s="20">
        <f t="shared" si="6"/>
        <v>0</v>
      </c>
      <c r="G37" s="49">
        <v>0.996</v>
      </c>
      <c r="H37" s="49">
        <v>1</v>
      </c>
      <c r="I37" s="9" t="str">
        <f t="shared" si="7"/>
        <v>Доля обработки ТКО в 1пг 2024 г. 100%</v>
      </c>
      <c r="J37" s="9" t="str">
        <f t="shared" si="8"/>
        <v>План по обработке ТКО в 2028 г. 100%</v>
      </c>
      <c r="K37" s="67"/>
      <c r="L37" s="8" t="str">
        <f t="shared" si="2"/>
        <v>100/100 (0)</v>
      </c>
    </row>
    <row r="38" spans="2:12">
      <c r="B38" s="12" t="s">
        <v>27</v>
      </c>
      <c r="C38" s="20">
        <f t="shared" si="3"/>
        <v>1</v>
      </c>
      <c r="D38" s="20">
        <f t="shared" si="4"/>
        <v>1</v>
      </c>
      <c r="E38" s="20">
        <f t="shared" si="5"/>
        <v>2</v>
      </c>
      <c r="F38" s="20">
        <f t="shared" si="6"/>
        <v>0</v>
      </c>
      <c r="G38" s="49">
        <v>0.91799999999999993</v>
      </c>
      <c r="H38" s="49">
        <v>1</v>
      </c>
      <c r="I38" s="9" t="str">
        <f t="shared" si="7"/>
        <v>Доля обработки ТКО в 1пг 2024 г. 92%</v>
      </c>
      <c r="J38" s="9" t="str">
        <f t="shared" si="8"/>
        <v>План по обработке ТКО в 2028 г. 100%</v>
      </c>
      <c r="K38" s="67" t="s">
        <v>111</v>
      </c>
      <c r="L38" s="8" t="str">
        <f t="shared" si="2"/>
        <v>100/92 (8)</v>
      </c>
    </row>
    <row r="39" spans="2:12">
      <c r="B39" s="12" t="s">
        <v>28</v>
      </c>
      <c r="C39" s="20">
        <f t="shared" si="3"/>
        <v>1</v>
      </c>
      <c r="D39" s="20">
        <f t="shared" si="4"/>
        <v>1</v>
      </c>
      <c r="E39" s="20">
        <f t="shared" si="5"/>
        <v>1</v>
      </c>
      <c r="F39" s="20">
        <f t="shared" si="6"/>
        <v>1</v>
      </c>
      <c r="G39" s="49">
        <v>0.47700000000000004</v>
      </c>
      <c r="H39" s="49">
        <v>0.46</v>
      </c>
      <c r="I39" s="9" t="str">
        <f t="shared" si="7"/>
        <v>Доля обработки ТКО в 1пг 2024 г. 48%</v>
      </c>
      <c r="J39" s="9" t="str">
        <f t="shared" si="8"/>
        <v>План по обработке ТКО в 2028 г. 46%</v>
      </c>
      <c r="K39" s="67"/>
      <c r="L39" s="8" t="str">
        <f t="shared" si="2"/>
        <v>46/48 (-2)</v>
      </c>
    </row>
    <row r="40" spans="2:12">
      <c r="B40" s="12" t="s">
        <v>29</v>
      </c>
      <c r="C40" s="20">
        <f t="shared" si="3"/>
        <v>0</v>
      </c>
      <c r="D40" s="20">
        <f t="shared" si="4"/>
        <v>0.5</v>
      </c>
      <c r="E40" s="20">
        <f t="shared" si="5"/>
        <v>1</v>
      </c>
      <c r="F40" s="20">
        <f t="shared" si="6"/>
        <v>0</v>
      </c>
      <c r="G40" s="49">
        <v>0.36299999999999999</v>
      </c>
      <c r="H40" s="49">
        <v>0.82900000000000007</v>
      </c>
      <c r="I40" s="9" t="str">
        <f t="shared" si="7"/>
        <v>Доля обработки ТКО в 1пг 2024 г. 36%</v>
      </c>
      <c r="J40" s="9" t="str">
        <f t="shared" si="8"/>
        <v>План по обработке ТКО в 2028 г. 83%</v>
      </c>
      <c r="K40" s="67"/>
      <c r="L40" s="8" t="str">
        <f t="shared" si="2"/>
        <v>83/36 (47)</v>
      </c>
    </row>
    <row r="41" spans="2:12">
      <c r="B41" s="12" t="s">
        <v>30</v>
      </c>
      <c r="C41" s="20">
        <f t="shared" si="3"/>
        <v>2</v>
      </c>
      <c r="D41" s="20">
        <f t="shared" si="4"/>
        <v>1.5</v>
      </c>
      <c r="E41" s="20">
        <f t="shared" si="5"/>
        <v>2</v>
      </c>
      <c r="F41" s="20">
        <f t="shared" si="6"/>
        <v>1</v>
      </c>
      <c r="G41" s="49">
        <v>0</v>
      </c>
      <c r="H41" s="49">
        <v>0.78799999999999992</v>
      </c>
      <c r="I41" s="9" t="str">
        <f t="shared" si="7"/>
        <v>Доля обработки ТКО в 1пг 2024 г. 0%</v>
      </c>
      <c r="J41" s="9" t="str">
        <f t="shared" si="8"/>
        <v>План по обработке ТКО в 2028 г. 79%</v>
      </c>
      <c r="K41" s="67"/>
      <c r="L41" s="8" t="str">
        <f t="shared" si="2"/>
        <v>79/0 (79)</v>
      </c>
    </row>
    <row r="42" spans="2:12">
      <c r="B42" s="12" t="s">
        <v>31</v>
      </c>
      <c r="C42" s="20">
        <f t="shared" si="3"/>
        <v>0</v>
      </c>
      <c r="D42" s="20">
        <f t="shared" si="4"/>
        <v>0</v>
      </c>
      <c r="E42" s="20">
        <f t="shared" si="5"/>
        <v>0</v>
      </c>
      <c r="F42" s="20">
        <f t="shared" si="6"/>
        <v>0</v>
      </c>
      <c r="G42" s="49">
        <v>0.94200000000000006</v>
      </c>
      <c r="H42" s="49">
        <v>0.85</v>
      </c>
      <c r="I42" s="9" t="str">
        <f t="shared" si="7"/>
        <v>Доля обработки ТКО в 1пг 2024 г. 94%</v>
      </c>
      <c r="J42" s="9" t="str">
        <f t="shared" si="8"/>
        <v>План по обработке ТКО в 2028 г. 85%</v>
      </c>
      <c r="K42" s="67"/>
      <c r="L42" s="8" t="str">
        <f t="shared" si="2"/>
        <v>85/94 (-9)</v>
      </c>
    </row>
    <row r="43" spans="2:12">
      <c r="B43" s="12" t="s">
        <v>32</v>
      </c>
      <c r="C43" s="20">
        <f t="shared" si="3"/>
        <v>1</v>
      </c>
      <c r="D43" s="20">
        <f t="shared" si="4"/>
        <v>1</v>
      </c>
      <c r="E43" s="20">
        <f t="shared" si="5"/>
        <v>1</v>
      </c>
      <c r="F43" s="20">
        <f t="shared" si="6"/>
        <v>1</v>
      </c>
      <c r="G43" s="49">
        <v>0.45799999999999996</v>
      </c>
      <c r="H43" s="49">
        <v>0.71900000000000008</v>
      </c>
      <c r="I43" s="9" t="str">
        <f t="shared" si="7"/>
        <v>Доля обработки ТКО в 1пг 2024 г. 46%</v>
      </c>
      <c r="J43" s="9" t="str">
        <f t="shared" si="8"/>
        <v>План по обработке ТКО в 2028 г. 72%</v>
      </c>
      <c r="K43" s="67"/>
      <c r="L43" s="8" t="str">
        <f t="shared" si="2"/>
        <v>72/46 (26)</v>
      </c>
    </row>
    <row r="44" spans="2:12">
      <c r="B44" s="12" t="s">
        <v>33</v>
      </c>
      <c r="C44" s="20">
        <f t="shared" si="3"/>
        <v>0</v>
      </c>
      <c r="D44" s="20">
        <f t="shared" si="4"/>
        <v>0.5</v>
      </c>
      <c r="E44" s="20">
        <f t="shared" si="5"/>
        <v>1</v>
      </c>
      <c r="F44" s="20">
        <f t="shared" si="6"/>
        <v>0</v>
      </c>
      <c r="G44" s="49">
        <v>0.39799999999999996</v>
      </c>
      <c r="H44" s="49">
        <v>1</v>
      </c>
      <c r="I44" s="9" t="str">
        <f t="shared" si="7"/>
        <v>Доля обработки ТКО в 1пг 2024 г. 40%</v>
      </c>
      <c r="J44" s="9" t="str">
        <f t="shared" si="8"/>
        <v>План по обработке ТКО в 2028 г. 100%</v>
      </c>
      <c r="K44" s="67"/>
      <c r="L44" s="8" t="str">
        <f t="shared" si="2"/>
        <v>100/40 (60)</v>
      </c>
    </row>
    <row r="45" spans="2:12">
      <c r="B45" s="12" t="s">
        <v>34</v>
      </c>
      <c r="C45" s="20">
        <f t="shared" si="3"/>
        <v>1</v>
      </c>
      <c r="D45" s="20">
        <f t="shared" si="4"/>
        <v>1</v>
      </c>
      <c r="E45" s="20">
        <f t="shared" si="5"/>
        <v>2</v>
      </c>
      <c r="F45" s="20">
        <f t="shared" si="6"/>
        <v>0</v>
      </c>
      <c r="G45" s="49">
        <v>0.188</v>
      </c>
      <c r="H45" s="49">
        <v>1</v>
      </c>
      <c r="I45" s="9" t="str">
        <f t="shared" si="7"/>
        <v>Доля обработки ТКО в 1пг 2024 г. 19%</v>
      </c>
      <c r="J45" s="9" t="str">
        <f t="shared" si="8"/>
        <v>План по обработке ТКО в 2028 г. 100%</v>
      </c>
      <c r="K45" s="67"/>
      <c r="L45" s="8" t="str">
        <f t="shared" si="2"/>
        <v>100/19 (81)</v>
      </c>
    </row>
    <row r="46" spans="2:12">
      <c r="B46" s="12" t="s">
        <v>35</v>
      </c>
      <c r="C46" s="20">
        <f t="shared" si="3"/>
        <v>0</v>
      </c>
      <c r="D46" s="20">
        <f t="shared" si="4"/>
        <v>0.5</v>
      </c>
      <c r="E46" s="20">
        <f t="shared" si="5"/>
        <v>1</v>
      </c>
      <c r="F46" s="20">
        <f t="shared" si="6"/>
        <v>0</v>
      </c>
      <c r="G46" s="49">
        <v>0.375</v>
      </c>
      <c r="H46" s="49">
        <v>1</v>
      </c>
      <c r="I46" s="9" t="str">
        <f t="shared" si="7"/>
        <v>Доля обработки ТКО в 1пг 2024 г. 38%</v>
      </c>
      <c r="J46" s="9" t="str">
        <f t="shared" si="8"/>
        <v>План по обработке ТКО в 2028 г. 100%</v>
      </c>
      <c r="K46" s="67"/>
      <c r="L46" s="8" t="str">
        <f t="shared" si="2"/>
        <v>100/38 (63)</v>
      </c>
    </row>
    <row r="47" spans="2:12">
      <c r="B47" s="12" t="s">
        <v>36</v>
      </c>
      <c r="C47" s="20">
        <f t="shared" si="3"/>
        <v>0</v>
      </c>
      <c r="D47" s="20">
        <f t="shared" si="4"/>
        <v>0</v>
      </c>
      <c r="E47" s="20">
        <f t="shared" si="5"/>
        <v>0</v>
      </c>
      <c r="F47" s="20">
        <f t="shared" si="6"/>
        <v>0</v>
      </c>
      <c r="G47" s="49">
        <v>0.61499999999999999</v>
      </c>
      <c r="H47" s="49">
        <v>1</v>
      </c>
      <c r="I47" s="9" t="str">
        <f t="shared" si="7"/>
        <v>Доля обработки ТКО в 1пг 2024 г. 62%</v>
      </c>
      <c r="J47" s="9" t="str">
        <f t="shared" si="8"/>
        <v>План по обработке ТКО в 2028 г. 100%</v>
      </c>
      <c r="K47" s="67"/>
      <c r="L47" s="8" t="str">
        <f t="shared" si="2"/>
        <v>100/62 (39)</v>
      </c>
    </row>
    <row r="48" spans="2:12">
      <c r="B48" s="12" t="s">
        <v>37</v>
      </c>
      <c r="C48" s="20">
        <f t="shared" si="3"/>
        <v>1</v>
      </c>
      <c r="D48" s="20">
        <f t="shared" si="4"/>
        <v>1</v>
      </c>
      <c r="E48" s="20">
        <f t="shared" si="5"/>
        <v>1</v>
      </c>
      <c r="F48" s="20">
        <f t="shared" si="6"/>
        <v>1</v>
      </c>
      <c r="G48" s="49">
        <v>0.53</v>
      </c>
      <c r="H48" s="49">
        <v>0.629</v>
      </c>
      <c r="I48" s="9" t="str">
        <f t="shared" si="7"/>
        <v>Доля обработки ТКО в 1пг 2024 г. 53%</v>
      </c>
      <c r="J48" s="9" t="str">
        <f t="shared" si="8"/>
        <v>План по обработке ТКО в 2028 г. 63%</v>
      </c>
      <c r="K48" s="67"/>
      <c r="L48" s="8" t="str">
        <f t="shared" si="2"/>
        <v>63/53 (10)</v>
      </c>
    </row>
    <row r="49" spans="2:12">
      <c r="B49" s="12" t="s">
        <v>581</v>
      </c>
      <c r="C49" s="20">
        <f t="shared" si="3"/>
        <v>0</v>
      </c>
      <c r="D49" s="20">
        <f t="shared" si="4"/>
        <v>0</v>
      </c>
      <c r="E49" s="66">
        <v>0</v>
      </c>
      <c r="F49" s="66">
        <v>0</v>
      </c>
      <c r="G49" s="49"/>
      <c r="H49" s="49"/>
      <c r="I49" s="9" t="str">
        <f t="shared" si="7"/>
        <v>Доля обработки ТКО в 1пг 2024 г. 0%</v>
      </c>
      <c r="J49" s="9" t="str">
        <f t="shared" si="8"/>
        <v>План по обработке ТКО в 2028 г. 0%</v>
      </c>
      <c r="K49" s="67"/>
      <c r="L49" s="8" t="str">
        <f t="shared" si="2"/>
        <v>0/0 (0)</v>
      </c>
    </row>
    <row r="50" spans="2:12">
      <c r="B50" s="12" t="s">
        <v>38</v>
      </c>
      <c r="C50" s="20">
        <f t="shared" si="3"/>
        <v>1</v>
      </c>
      <c r="D50" s="20">
        <f t="shared" si="4"/>
        <v>1</v>
      </c>
      <c r="E50" s="20">
        <f t="shared" si="5"/>
        <v>2</v>
      </c>
      <c r="F50" s="20">
        <f t="shared" si="6"/>
        <v>0</v>
      </c>
      <c r="G50" s="49">
        <v>0</v>
      </c>
      <c r="H50" s="49">
        <v>1</v>
      </c>
      <c r="I50" s="9" t="str">
        <f t="shared" si="7"/>
        <v>Доля обработки ТКО в 1пг 2024 г. 0%</v>
      </c>
      <c r="J50" s="9" t="str">
        <f t="shared" si="8"/>
        <v>План по обработке ТКО в 2028 г. 100%</v>
      </c>
      <c r="K50" s="67"/>
      <c r="L50" s="8" t="str">
        <f t="shared" si="2"/>
        <v>100/0 (100)</v>
      </c>
    </row>
    <row r="51" spans="2:12">
      <c r="B51" s="12" t="s">
        <v>39</v>
      </c>
      <c r="C51" s="20">
        <f t="shared" si="3"/>
        <v>0</v>
      </c>
      <c r="D51" s="20">
        <f t="shared" si="4"/>
        <v>0</v>
      </c>
      <c r="E51" s="20">
        <f t="shared" si="5"/>
        <v>0</v>
      </c>
      <c r="F51" s="20">
        <f t="shared" si="6"/>
        <v>0</v>
      </c>
      <c r="G51" s="49">
        <v>1</v>
      </c>
      <c r="H51" s="49">
        <v>1</v>
      </c>
      <c r="I51" s="9" t="str">
        <f t="shared" si="7"/>
        <v>Доля обработки ТКО в 1пг 2024 г. 100%</v>
      </c>
      <c r="J51" s="9" t="str">
        <f t="shared" si="8"/>
        <v>План по обработке ТКО в 2028 г. 100%</v>
      </c>
      <c r="K51" s="67"/>
      <c r="L51" s="8" t="str">
        <f t="shared" si="2"/>
        <v>100/100 (0)</v>
      </c>
    </row>
    <row r="52" spans="2:12">
      <c r="B52" s="12" t="s">
        <v>40</v>
      </c>
      <c r="C52" s="20">
        <f t="shared" si="3"/>
        <v>0</v>
      </c>
      <c r="D52" s="20">
        <f t="shared" si="4"/>
        <v>0</v>
      </c>
      <c r="E52" s="20">
        <f t="shared" si="5"/>
        <v>0</v>
      </c>
      <c r="F52" s="20">
        <f t="shared" si="6"/>
        <v>0</v>
      </c>
      <c r="G52" s="49">
        <v>0.996</v>
      </c>
      <c r="H52" s="49">
        <v>0.85</v>
      </c>
      <c r="I52" s="9" t="str">
        <f t="shared" si="7"/>
        <v>Доля обработки ТКО в 1пг 2024 г. 100%</v>
      </c>
      <c r="J52" s="9" t="str">
        <f t="shared" si="8"/>
        <v>План по обработке ТКО в 2028 г. 85%</v>
      </c>
      <c r="K52" s="67"/>
      <c r="L52" s="8" t="str">
        <f t="shared" si="2"/>
        <v>85/100 (-15)</v>
      </c>
    </row>
    <row r="53" spans="2:12">
      <c r="B53" s="12" t="s">
        <v>41</v>
      </c>
      <c r="C53" s="20">
        <f t="shared" si="3"/>
        <v>2</v>
      </c>
      <c r="D53" s="20">
        <f t="shared" si="4"/>
        <v>2</v>
      </c>
      <c r="E53" s="20">
        <f t="shared" si="5"/>
        <v>2</v>
      </c>
      <c r="F53" s="20">
        <f t="shared" si="6"/>
        <v>2</v>
      </c>
      <c r="G53" s="49">
        <v>0.128</v>
      </c>
      <c r="H53" s="49">
        <v>0.1</v>
      </c>
      <c r="I53" s="9" t="str">
        <f t="shared" si="7"/>
        <v>Доля обработки ТКО в 1пг 2024 г. 13%</v>
      </c>
      <c r="J53" s="9" t="str">
        <f t="shared" si="8"/>
        <v>План по обработке ТКО в 2028 г. 10%</v>
      </c>
      <c r="K53" s="67"/>
      <c r="L53" s="8" t="str">
        <f t="shared" si="2"/>
        <v>10/13 (-3)</v>
      </c>
    </row>
    <row r="54" spans="2:12">
      <c r="B54" s="12" t="s">
        <v>42</v>
      </c>
      <c r="C54" s="20">
        <f t="shared" si="3"/>
        <v>0</v>
      </c>
      <c r="D54" s="20">
        <f t="shared" si="4"/>
        <v>0</v>
      </c>
      <c r="E54" s="20">
        <f t="shared" si="5"/>
        <v>0</v>
      </c>
      <c r="F54" s="20">
        <f t="shared" si="6"/>
        <v>0</v>
      </c>
      <c r="G54" s="49">
        <v>0.80500000000000005</v>
      </c>
      <c r="H54" s="49">
        <v>0.96</v>
      </c>
      <c r="I54" s="9" t="str">
        <f t="shared" si="7"/>
        <v>Доля обработки ТКО в 1пг 2024 г. 81%</v>
      </c>
      <c r="J54" s="9" t="str">
        <f t="shared" si="8"/>
        <v>План по обработке ТКО в 2028 г. 96%</v>
      </c>
      <c r="K54" s="67"/>
      <c r="L54" s="8" t="str">
        <f t="shared" si="2"/>
        <v>96/81 (16)</v>
      </c>
    </row>
    <row r="55" spans="2:12">
      <c r="B55" s="12" t="s">
        <v>43</v>
      </c>
      <c r="C55" s="20">
        <f t="shared" si="3"/>
        <v>0</v>
      </c>
      <c r="D55" s="20">
        <f t="shared" si="4"/>
        <v>0.5</v>
      </c>
      <c r="E55" s="20">
        <f t="shared" si="5"/>
        <v>0</v>
      </c>
      <c r="F55" s="20">
        <f t="shared" si="6"/>
        <v>1</v>
      </c>
      <c r="G55" s="49">
        <v>0.81400000000000006</v>
      </c>
      <c r="H55" s="49">
        <v>0.6</v>
      </c>
      <c r="I55" s="9" t="str">
        <f t="shared" si="7"/>
        <v>Доля обработки ТКО в 1пг 2024 г. 81%</v>
      </c>
      <c r="J55" s="9" t="str">
        <f t="shared" si="8"/>
        <v>План по обработке ТКО в 2028 г. 60%</v>
      </c>
      <c r="K55" s="67"/>
      <c r="L55" s="8" t="str">
        <f t="shared" si="2"/>
        <v>60/81 (-21)</v>
      </c>
    </row>
    <row r="56" spans="2:12">
      <c r="B56" s="12" t="s">
        <v>44</v>
      </c>
      <c r="C56" s="20">
        <f t="shared" si="3"/>
        <v>2</v>
      </c>
      <c r="D56" s="20">
        <f t="shared" si="4"/>
        <v>1.5</v>
      </c>
      <c r="E56" s="20">
        <f t="shared" si="5"/>
        <v>2</v>
      </c>
      <c r="F56" s="20">
        <f t="shared" si="6"/>
        <v>1</v>
      </c>
      <c r="G56" s="49">
        <v>9.6000000000000002E-2</v>
      </c>
      <c r="H56" s="49">
        <v>0.8</v>
      </c>
      <c r="I56" s="9" t="str">
        <f t="shared" si="7"/>
        <v>Доля обработки ТКО в 1пг 2024 г. 10%</v>
      </c>
      <c r="J56" s="9" t="str">
        <f t="shared" si="8"/>
        <v>План по обработке ТКО в 2028 г. 80%</v>
      </c>
      <c r="K56" s="67"/>
      <c r="L56" s="8" t="str">
        <f t="shared" si="2"/>
        <v>80/10 (70)</v>
      </c>
    </row>
    <row r="57" spans="2:12">
      <c r="B57" s="12" t="s">
        <v>45</v>
      </c>
      <c r="C57" s="20">
        <f t="shared" si="3"/>
        <v>0</v>
      </c>
      <c r="D57" s="20">
        <f t="shared" si="4"/>
        <v>0.5</v>
      </c>
      <c r="E57" s="20">
        <f t="shared" si="5"/>
        <v>1</v>
      </c>
      <c r="F57" s="20">
        <f t="shared" si="6"/>
        <v>0</v>
      </c>
      <c r="G57" s="49">
        <v>0.46700000000000003</v>
      </c>
      <c r="H57" s="49">
        <v>1</v>
      </c>
      <c r="I57" s="9" t="str">
        <f t="shared" si="7"/>
        <v>Доля обработки ТКО в 1пг 2024 г. 47%</v>
      </c>
      <c r="J57" s="9" t="str">
        <f t="shared" si="8"/>
        <v>План по обработке ТКО в 2028 г. 100%</v>
      </c>
      <c r="K57" s="67"/>
      <c r="L57" s="8" t="str">
        <f t="shared" si="2"/>
        <v>100/47 (53)</v>
      </c>
    </row>
    <row r="58" spans="2:12">
      <c r="B58" s="12" t="s">
        <v>46</v>
      </c>
      <c r="C58" s="20">
        <f t="shared" si="3"/>
        <v>0</v>
      </c>
      <c r="D58" s="20">
        <f t="shared" si="4"/>
        <v>0.5</v>
      </c>
      <c r="E58" s="20">
        <f t="shared" si="5"/>
        <v>0</v>
      </c>
      <c r="F58" s="20">
        <f t="shared" si="6"/>
        <v>1</v>
      </c>
      <c r="G58" s="49">
        <v>0.68500000000000005</v>
      </c>
      <c r="H58" s="49">
        <v>0.6</v>
      </c>
      <c r="I58" s="9" t="str">
        <f t="shared" si="7"/>
        <v>Доля обработки ТКО в 1пг 2024 г. 69%</v>
      </c>
      <c r="J58" s="9" t="str">
        <f t="shared" si="8"/>
        <v>План по обработке ТКО в 2028 г. 60%</v>
      </c>
      <c r="K58" s="67"/>
      <c r="L58" s="8" t="str">
        <f t="shared" si="2"/>
        <v>60/69 (-9)</v>
      </c>
    </row>
    <row r="59" spans="2:12">
      <c r="B59" s="12" t="s">
        <v>47</v>
      </c>
      <c r="C59" s="20">
        <f t="shared" si="3"/>
        <v>0</v>
      </c>
      <c r="D59" s="20">
        <f t="shared" si="4"/>
        <v>0</v>
      </c>
      <c r="E59" s="20">
        <f t="shared" si="5"/>
        <v>0</v>
      </c>
      <c r="F59" s="20">
        <f t="shared" si="6"/>
        <v>0</v>
      </c>
      <c r="G59" s="49">
        <v>0.626</v>
      </c>
      <c r="H59" s="49">
        <v>0.81900000000000006</v>
      </c>
      <c r="I59" s="9" t="str">
        <f t="shared" si="7"/>
        <v>Доля обработки ТКО в 1пг 2024 г. 63%</v>
      </c>
      <c r="J59" s="9" t="str">
        <f t="shared" si="8"/>
        <v>План по обработке ТКО в 2028 г. 82%</v>
      </c>
      <c r="K59" s="67"/>
      <c r="L59" s="8" t="str">
        <f t="shared" si="2"/>
        <v>82/63 (19)</v>
      </c>
    </row>
    <row r="60" spans="2:12">
      <c r="B60" s="12" t="s">
        <v>48</v>
      </c>
      <c r="C60" s="20">
        <f t="shared" si="3"/>
        <v>2</v>
      </c>
      <c r="D60" s="20">
        <f t="shared" si="4"/>
        <v>2</v>
      </c>
      <c r="E60" s="20">
        <f t="shared" si="5"/>
        <v>2</v>
      </c>
      <c r="F60" s="20">
        <f t="shared" si="6"/>
        <v>2</v>
      </c>
      <c r="G60" s="49">
        <v>0.184</v>
      </c>
      <c r="H60" s="49">
        <v>0.182</v>
      </c>
      <c r="I60" s="9" t="str">
        <f t="shared" si="7"/>
        <v>Доля обработки ТКО в 1пг 2024 г. 18%</v>
      </c>
      <c r="J60" s="9" t="str">
        <f t="shared" si="8"/>
        <v>План по обработке ТКО в 2028 г. 18%</v>
      </c>
      <c r="K60" s="67"/>
      <c r="L60" s="8" t="str">
        <f t="shared" si="2"/>
        <v>18/18 (0)</v>
      </c>
    </row>
    <row r="61" spans="2:12">
      <c r="B61" s="12" t="s">
        <v>49</v>
      </c>
      <c r="C61" s="20">
        <f t="shared" si="3"/>
        <v>1</v>
      </c>
      <c r="D61" s="20">
        <f t="shared" si="4"/>
        <v>1</v>
      </c>
      <c r="E61" s="20">
        <f t="shared" si="5"/>
        <v>1</v>
      </c>
      <c r="F61" s="20">
        <f t="shared" si="6"/>
        <v>1</v>
      </c>
      <c r="G61" s="49">
        <v>0.311</v>
      </c>
      <c r="H61" s="49">
        <v>0.79799999999999993</v>
      </c>
      <c r="I61" s="9" t="str">
        <f t="shared" si="7"/>
        <v>Доля обработки ТКО в 1пг 2024 г. 31%</v>
      </c>
      <c r="J61" s="9" t="str">
        <f t="shared" si="8"/>
        <v>План по обработке ТКО в 2028 г. 80%</v>
      </c>
      <c r="K61" s="67"/>
      <c r="L61" s="8" t="str">
        <f t="shared" si="2"/>
        <v>80/31 (49)</v>
      </c>
    </row>
    <row r="62" spans="2:12">
      <c r="B62" s="12" t="s">
        <v>50</v>
      </c>
      <c r="C62" s="20">
        <f t="shared" si="3"/>
        <v>0</v>
      </c>
      <c r="D62" s="20">
        <f t="shared" si="4"/>
        <v>0.5</v>
      </c>
      <c r="E62" s="20">
        <f t="shared" si="5"/>
        <v>1</v>
      </c>
      <c r="F62" s="20">
        <f t="shared" si="6"/>
        <v>0</v>
      </c>
      <c r="G62" s="49">
        <v>0.41200000000000003</v>
      </c>
      <c r="H62" s="49">
        <v>0.92498599999999997</v>
      </c>
      <c r="I62" s="9" t="str">
        <f t="shared" si="7"/>
        <v>Доля обработки ТКО в 1пг 2024 г. 41%</v>
      </c>
      <c r="J62" s="9" t="str">
        <f t="shared" si="8"/>
        <v>План по обработке ТКО в 2028 г. 92%</v>
      </c>
      <c r="K62" s="67"/>
      <c r="L62" s="8" t="str">
        <f t="shared" si="2"/>
        <v>92/41 (51)</v>
      </c>
    </row>
    <row r="63" spans="2:12">
      <c r="B63" s="12" t="s">
        <v>51</v>
      </c>
      <c r="C63" s="20">
        <f t="shared" si="3"/>
        <v>0</v>
      </c>
      <c r="D63" s="20">
        <f t="shared" si="4"/>
        <v>0</v>
      </c>
      <c r="E63" s="20">
        <f t="shared" si="5"/>
        <v>0</v>
      </c>
      <c r="F63" s="20">
        <f t="shared" si="6"/>
        <v>0</v>
      </c>
      <c r="G63" s="49">
        <v>0.59200000000000008</v>
      </c>
      <c r="H63" s="49">
        <v>1</v>
      </c>
      <c r="I63" s="9" t="str">
        <f t="shared" si="7"/>
        <v>Доля обработки ТКО в 1пг 2024 г. 59%</v>
      </c>
      <c r="J63" s="9" t="str">
        <f t="shared" si="8"/>
        <v>План по обработке ТКО в 2028 г. 100%</v>
      </c>
      <c r="K63" s="67"/>
      <c r="L63" s="8" t="str">
        <f t="shared" si="2"/>
        <v>100/59 (41)</v>
      </c>
    </row>
    <row r="64" spans="2:12">
      <c r="B64" s="12" t="s">
        <v>52</v>
      </c>
      <c r="C64" s="20">
        <f t="shared" si="3"/>
        <v>0</v>
      </c>
      <c r="D64" s="20">
        <f t="shared" si="4"/>
        <v>0</v>
      </c>
      <c r="E64" s="20">
        <f t="shared" si="5"/>
        <v>0</v>
      </c>
      <c r="F64" s="20">
        <f t="shared" si="6"/>
        <v>0</v>
      </c>
      <c r="G64" s="49">
        <v>0.9</v>
      </c>
      <c r="H64" s="49">
        <v>1</v>
      </c>
      <c r="I64" s="9" t="str">
        <f t="shared" si="7"/>
        <v>Доля обработки ТКО в 1пг 2024 г. 90%</v>
      </c>
      <c r="J64" s="9" t="str">
        <f t="shared" si="8"/>
        <v>План по обработке ТКО в 2028 г. 100%</v>
      </c>
      <c r="K64" s="67"/>
      <c r="L64" s="8" t="str">
        <f t="shared" si="2"/>
        <v>100/90 (10)</v>
      </c>
    </row>
    <row r="65" spans="2:12">
      <c r="B65" s="12" t="s">
        <v>53</v>
      </c>
      <c r="C65" s="20">
        <f t="shared" si="3"/>
        <v>2</v>
      </c>
      <c r="D65" s="20">
        <f t="shared" si="4"/>
        <v>1.5</v>
      </c>
      <c r="E65" s="20">
        <f t="shared" si="5"/>
        <v>2</v>
      </c>
      <c r="F65" s="20">
        <f t="shared" si="6"/>
        <v>1</v>
      </c>
      <c r="G65" s="49">
        <v>0</v>
      </c>
      <c r="H65" s="49">
        <v>0.66700000000000004</v>
      </c>
      <c r="I65" s="9" t="str">
        <f t="shared" si="7"/>
        <v>Доля обработки ТКО в 1пг 2024 г. 0%</v>
      </c>
      <c r="J65" s="9" t="str">
        <f t="shared" si="8"/>
        <v>План по обработке ТКО в 2028 г. 67%</v>
      </c>
      <c r="K65" s="67"/>
      <c r="L65" s="8" t="str">
        <f t="shared" si="2"/>
        <v>67/0 (67)</v>
      </c>
    </row>
    <row r="66" spans="2:12">
      <c r="B66" s="12" t="s">
        <v>3</v>
      </c>
      <c r="C66" s="20">
        <f t="shared" si="3"/>
        <v>1</v>
      </c>
      <c r="D66" s="20">
        <f t="shared" si="4"/>
        <v>1</v>
      </c>
      <c r="E66" s="20">
        <f t="shared" si="5"/>
        <v>1</v>
      </c>
      <c r="F66" s="20">
        <f t="shared" si="6"/>
        <v>1</v>
      </c>
      <c r="G66" s="49">
        <v>0.436</v>
      </c>
      <c r="H66" s="49">
        <v>0.8</v>
      </c>
      <c r="I66" s="9" t="str">
        <f t="shared" si="7"/>
        <v>Доля обработки ТКО в 1пг 2024 г. 44%</v>
      </c>
      <c r="J66" s="9" t="str">
        <f t="shared" si="8"/>
        <v>План по обработке ТКО в 2028 г. 80%</v>
      </c>
      <c r="K66" s="67"/>
      <c r="L66" s="8" t="str">
        <f t="shared" si="2"/>
        <v>80/44 (36)</v>
      </c>
    </row>
    <row r="67" spans="2:12">
      <c r="B67" s="12" t="s">
        <v>54</v>
      </c>
      <c r="C67" s="20">
        <f t="shared" si="3"/>
        <v>2</v>
      </c>
      <c r="D67" s="20">
        <f t="shared" si="4"/>
        <v>1.5</v>
      </c>
      <c r="E67" s="20">
        <f t="shared" si="5"/>
        <v>2</v>
      </c>
      <c r="F67" s="20">
        <f t="shared" si="6"/>
        <v>1</v>
      </c>
      <c r="G67" s="49">
        <v>0</v>
      </c>
      <c r="H67" s="49">
        <v>0.66206900000000002</v>
      </c>
      <c r="I67" s="9" t="str">
        <f t="shared" si="7"/>
        <v>Доля обработки ТКО в 1пг 2024 г. 0%</v>
      </c>
      <c r="J67" s="9" t="str">
        <f t="shared" si="8"/>
        <v>План по обработке ТКО в 2028 г. 66%</v>
      </c>
      <c r="K67" s="67"/>
      <c r="L67" s="8" t="str">
        <f t="shared" si="2"/>
        <v>66/0 (66)</v>
      </c>
    </row>
    <row r="68" spans="2:12">
      <c r="B68" s="12" t="s">
        <v>55</v>
      </c>
      <c r="C68" s="20">
        <f t="shared" si="3"/>
        <v>1</v>
      </c>
      <c r="D68" s="20">
        <f t="shared" si="4"/>
        <v>1</v>
      </c>
      <c r="E68" s="20">
        <f t="shared" si="5"/>
        <v>2</v>
      </c>
      <c r="F68" s="20">
        <f t="shared" si="6"/>
        <v>0</v>
      </c>
      <c r="G68" s="49">
        <v>0</v>
      </c>
      <c r="H68" s="49">
        <v>1</v>
      </c>
      <c r="I68" s="9" t="str">
        <f t="shared" si="7"/>
        <v>Доля обработки ТКО в 1пг 2024 г. 0%</v>
      </c>
      <c r="J68" s="9" t="str">
        <f t="shared" si="8"/>
        <v>План по обработке ТКО в 2028 г. 100%</v>
      </c>
      <c r="K68" s="67"/>
      <c r="L68" s="8" t="str">
        <f t="shared" si="2"/>
        <v>100/0 (100)</v>
      </c>
    </row>
    <row r="69" spans="2:12">
      <c r="B69" s="12" t="s">
        <v>56</v>
      </c>
      <c r="C69" s="20">
        <f t="shared" si="3"/>
        <v>1</v>
      </c>
      <c r="D69" s="20">
        <f t="shared" si="4"/>
        <v>1</v>
      </c>
      <c r="E69" s="20">
        <f t="shared" si="5"/>
        <v>2</v>
      </c>
      <c r="F69" s="20">
        <f t="shared" si="6"/>
        <v>0</v>
      </c>
      <c r="G69" s="49">
        <v>1</v>
      </c>
      <c r="H69" s="49">
        <v>1</v>
      </c>
      <c r="I69" s="9" t="str">
        <f t="shared" si="7"/>
        <v>Доля обработки ТКО в 1пг 2024 г. 100%</v>
      </c>
      <c r="J69" s="9" t="str">
        <f t="shared" si="8"/>
        <v>План по обработке ТКО в 2028 г. 100%</v>
      </c>
      <c r="K69" s="67" t="s">
        <v>111</v>
      </c>
      <c r="L69" s="8" t="str">
        <f t="shared" si="2"/>
        <v>100/100 (0)</v>
      </c>
    </row>
    <row r="70" spans="2:12">
      <c r="B70" s="12" t="s">
        <v>57</v>
      </c>
      <c r="C70" s="20">
        <f t="shared" si="3"/>
        <v>1</v>
      </c>
      <c r="D70" s="20">
        <f t="shared" si="4"/>
        <v>1</v>
      </c>
      <c r="E70" s="20">
        <f t="shared" si="5"/>
        <v>2</v>
      </c>
      <c r="F70" s="20">
        <f t="shared" si="6"/>
        <v>0</v>
      </c>
      <c r="G70" s="49">
        <v>0.92799999999999994</v>
      </c>
      <c r="H70" s="49">
        <v>1</v>
      </c>
      <c r="I70" s="9" t="str">
        <f t="shared" si="7"/>
        <v>Доля обработки ТКО в 1пг 2024 г. 93%</v>
      </c>
      <c r="J70" s="9" t="str">
        <f t="shared" si="8"/>
        <v>План по обработке ТКО в 2028 г. 100%</v>
      </c>
      <c r="K70" s="67" t="s">
        <v>111</v>
      </c>
      <c r="L70" s="8" t="str">
        <f t="shared" si="2"/>
        <v>100/93 (7)</v>
      </c>
    </row>
    <row r="71" spans="2:12">
      <c r="B71" s="12" t="s">
        <v>58</v>
      </c>
      <c r="C71" s="20">
        <f t="shared" si="3"/>
        <v>2</v>
      </c>
      <c r="D71" s="20">
        <f t="shared" si="4"/>
        <v>2</v>
      </c>
      <c r="E71" s="20">
        <f t="shared" si="5"/>
        <v>2</v>
      </c>
      <c r="F71" s="20">
        <f t="shared" si="6"/>
        <v>2</v>
      </c>
      <c r="G71" s="49">
        <v>1.8000000000000002E-2</v>
      </c>
      <c r="H71" s="49">
        <v>0.22</v>
      </c>
      <c r="I71" s="9" t="str">
        <f t="shared" si="7"/>
        <v>Доля обработки ТКО в 1пг 2024 г. 2%</v>
      </c>
      <c r="J71" s="9" t="str">
        <f t="shared" si="8"/>
        <v>План по обработке ТКО в 2028 г. 22%</v>
      </c>
      <c r="K71" s="67"/>
      <c r="L71" s="8" t="str">
        <f t="shared" si="2"/>
        <v>22/2 (20)</v>
      </c>
    </row>
    <row r="72" spans="2:12">
      <c r="B72" s="12" t="s">
        <v>59</v>
      </c>
      <c r="C72" s="20">
        <f t="shared" si="3"/>
        <v>2</v>
      </c>
      <c r="D72" s="20">
        <f t="shared" si="4"/>
        <v>1.5</v>
      </c>
      <c r="E72" s="20">
        <f t="shared" si="5"/>
        <v>2</v>
      </c>
      <c r="F72" s="20">
        <f t="shared" si="6"/>
        <v>1</v>
      </c>
      <c r="G72" s="49">
        <v>6.9999999999999993E-3</v>
      </c>
      <c r="H72" s="49">
        <v>0.68859999999999999</v>
      </c>
      <c r="I72" s="9" t="str">
        <f t="shared" si="7"/>
        <v>Доля обработки ТКО в 1пг 2024 г. 1%</v>
      </c>
      <c r="J72" s="9" t="str">
        <f t="shared" si="8"/>
        <v>План по обработке ТКО в 2028 г. 69%</v>
      </c>
      <c r="K72" s="67"/>
      <c r="L72" s="8" t="str">
        <f t="shared" si="2"/>
        <v>69/1 (68)</v>
      </c>
    </row>
    <row r="73" spans="2:12">
      <c r="B73" s="12" t="s">
        <v>60</v>
      </c>
      <c r="C73" s="20">
        <f t="shared" si="3"/>
        <v>0</v>
      </c>
      <c r="D73" s="20">
        <f t="shared" si="4"/>
        <v>0.5</v>
      </c>
      <c r="E73" s="20">
        <f t="shared" si="5"/>
        <v>1</v>
      </c>
      <c r="F73" s="20">
        <f t="shared" si="6"/>
        <v>0</v>
      </c>
      <c r="G73" s="49">
        <v>0.33799999999999997</v>
      </c>
      <c r="H73" s="49">
        <v>1</v>
      </c>
      <c r="I73" s="9" t="str">
        <f t="shared" si="7"/>
        <v>Доля обработки ТКО в 1пг 2024 г. 34%</v>
      </c>
      <c r="J73" s="9" t="str">
        <f t="shared" si="8"/>
        <v>План по обработке ТКО в 2028 г. 100%</v>
      </c>
      <c r="K73" s="67"/>
      <c r="L73" s="8" t="str">
        <f t="shared" si="2"/>
        <v>100/34 (66)</v>
      </c>
    </row>
    <row r="74" spans="2:12">
      <c r="B74" s="12" t="s">
        <v>61</v>
      </c>
      <c r="C74" s="20">
        <f t="shared" si="3"/>
        <v>0</v>
      </c>
      <c r="D74" s="20">
        <f t="shared" si="4"/>
        <v>0.5</v>
      </c>
      <c r="E74" s="20">
        <f t="shared" si="5"/>
        <v>1</v>
      </c>
      <c r="F74" s="20">
        <f t="shared" si="6"/>
        <v>0</v>
      </c>
      <c r="G74" s="49">
        <v>0.33700000000000002</v>
      </c>
      <c r="H74" s="49">
        <v>0.99900000000000011</v>
      </c>
      <c r="I74" s="9" t="str">
        <f t="shared" si="7"/>
        <v>Доля обработки ТКО в 1пг 2024 г. 34%</v>
      </c>
      <c r="J74" s="9" t="str">
        <f t="shared" si="8"/>
        <v>План по обработке ТКО в 2028 г. 100%</v>
      </c>
      <c r="K74" s="67"/>
      <c r="L74" s="8" t="str">
        <f t="shared" si="2"/>
        <v>100/34 (66)</v>
      </c>
    </row>
    <row r="75" spans="2:12">
      <c r="B75" s="12" t="s">
        <v>62</v>
      </c>
      <c r="C75" s="20">
        <f t="shared" si="3"/>
        <v>1</v>
      </c>
      <c r="D75" s="20">
        <f t="shared" si="4"/>
        <v>1</v>
      </c>
      <c r="E75" s="20">
        <f t="shared" si="5"/>
        <v>2</v>
      </c>
      <c r="F75" s="20">
        <f t="shared" si="6"/>
        <v>0</v>
      </c>
      <c r="G75" s="49">
        <v>8.5000000000000006E-2</v>
      </c>
      <c r="H75" s="49">
        <v>1</v>
      </c>
      <c r="I75" s="9" t="str">
        <f t="shared" si="7"/>
        <v>Доля обработки ТКО в 1пг 2024 г. 9%</v>
      </c>
      <c r="J75" s="9" t="str">
        <f t="shared" si="8"/>
        <v>План по обработке ТКО в 2028 г. 100%</v>
      </c>
      <c r="K75" s="67"/>
      <c r="L75" s="8" t="str">
        <f t="shared" si="2"/>
        <v>100/9 (92)</v>
      </c>
    </row>
    <row r="76" spans="2:12">
      <c r="B76" s="12" t="s">
        <v>63</v>
      </c>
      <c r="C76" s="20">
        <f t="shared" si="3"/>
        <v>2</v>
      </c>
      <c r="D76" s="20">
        <f t="shared" si="4"/>
        <v>1.5</v>
      </c>
      <c r="E76" s="20">
        <f t="shared" si="5"/>
        <v>2</v>
      </c>
      <c r="F76" s="20">
        <f t="shared" si="6"/>
        <v>1</v>
      </c>
      <c r="G76" s="49">
        <v>0</v>
      </c>
      <c r="H76" s="49">
        <v>0.49</v>
      </c>
      <c r="I76" s="9" t="str">
        <f t="shared" si="7"/>
        <v>Доля обработки ТКО в 1пг 2024 г. 0%</v>
      </c>
      <c r="J76" s="9" t="str">
        <f t="shared" si="8"/>
        <v>План по обработке ТКО в 2028 г. 49%</v>
      </c>
      <c r="K76" s="67"/>
      <c r="L76" s="8" t="str">
        <f t="shared" si="2"/>
        <v>49/0 (49)</v>
      </c>
    </row>
    <row r="77" spans="2:12">
      <c r="B77" s="12" t="s">
        <v>64</v>
      </c>
      <c r="C77" s="20">
        <f t="shared" si="3"/>
        <v>2</v>
      </c>
      <c r="D77" s="20">
        <f t="shared" si="4"/>
        <v>1.5</v>
      </c>
      <c r="E77" s="20">
        <f t="shared" si="5"/>
        <v>2</v>
      </c>
      <c r="F77" s="20">
        <f t="shared" si="6"/>
        <v>1</v>
      </c>
      <c r="G77" s="49">
        <v>4.2999999999999997E-2</v>
      </c>
      <c r="H77" s="49">
        <v>0.7</v>
      </c>
      <c r="I77" s="9" t="str">
        <f t="shared" si="7"/>
        <v>Доля обработки ТКО в 1пг 2024 г. 4%</v>
      </c>
      <c r="J77" s="9" t="str">
        <f t="shared" si="8"/>
        <v>План по обработке ТКО в 2028 г. 70%</v>
      </c>
      <c r="K77" s="67"/>
      <c r="L77" s="8" t="str">
        <f t="shared" si="2"/>
        <v>70/4 (66)</v>
      </c>
    </row>
    <row r="78" spans="2:12">
      <c r="B78" s="12" t="s">
        <v>65</v>
      </c>
      <c r="C78" s="20">
        <f t="shared" si="3"/>
        <v>1</v>
      </c>
      <c r="D78" s="20">
        <f t="shared" si="4"/>
        <v>1</v>
      </c>
      <c r="E78" s="20">
        <f t="shared" si="5"/>
        <v>2</v>
      </c>
      <c r="F78" s="20">
        <f t="shared" si="6"/>
        <v>0</v>
      </c>
      <c r="G78" s="49">
        <v>0.27100000000000002</v>
      </c>
      <c r="H78" s="49">
        <v>1</v>
      </c>
      <c r="I78" s="9" t="str">
        <f t="shared" si="7"/>
        <v>Доля обработки ТКО в 1пг 2024 г. 27%</v>
      </c>
      <c r="J78" s="9" t="str">
        <f t="shared" si="8"/>
        <v>План по обработке ТКО в 2028 г. 100%</v>
      </c>
      <c r="K78" s="67"/>
      <c r="L78" s="8" t="str">
        <f t="shared" si="2"/>
        <v>100/27 (73)</v>
      </c>
    </row>
    <row r="79" spans="2:12">
      <c r="B79" s="12" t="s">
        <v>66</v>
      </c>
      <c r="C79" s="20">
        <f t="shared" si="3"/>
        <v>1</v>
      </c>
      <c r="D79" s="20">
        <f t="shared" si="4"/>
        <v>1</v>
      </c>
      <c r="E79" s="20">
        <f t="shared" si="5"/>
        <v>2</v>
      </c>
      <c r="F79" s="20">
        <f t="shared" si="6"/>
        <v>0</v>
      </c>
      <c r="G79" s="49">
        <v>0</v>
      </c>
      <c r="H79" s="49">
        <v>0.875</v>
      </c>
      <c r="I79" s="9" t="str">
        <f t="shared" si="7"/>
        <v>Доля обработки ТКО в 1пг 2024 г. 0%</v>
      </c>
      <c r="J79" s="9" t="str">
        <f t="shared" si="8"/>
        <v>План по обработке ТКО в 2028 г. 88%</v>
      </c>
      <c r="K79" s="67"/>
      <c r="L79" s="8" t="str">
        <f t="shared" si="2"/>
        <v>88/0 (88)</v>
      </c>
    </row>
    <row r="80" spans="2:12">
      <c r="B80" s="12" t="s">
        <v>67</v>
      </c>
      <c r="C80" s="20">
        <f t="shared" si="3"/>
        <v>2</v>
      </c>
      <c r="D80" s="20">
        <f t="shared" si="4"/>
        <v>1.5</v>
      </c>
      <c r="E80" s="20">
        <f t="shared" si="5"/>
        <v>2</v>
      </c>
      <c r="F80" s="20">
        <f t="shared" si="6"/>
        <v>1</v>
      </c>
      <c r="G80" s="49">
        <v>0</v>
      </c>
      <c r="H80" s="49">
        <v>0.6</v>
      </c>
      <c r="I80" s="9" t="str">
        <f t="shared" si="7"/>
        <v>Доля обработки ТКО в 1пг 2024 г. 0%</v>
      </c>
      <c r="J80" s="9" t="str">
        <f t="shared" si="8"/>
        <v>План по обработке ТКО в 2028 г. 60%</v>
      </c>
      <c r="K80" s="67"/>
      <c r="L80" s="8" t="str">
        <f t="shared" ref="L80:L104" si="9">_xlfn.TEXTJOIN(,0,TEXT(H80*100,"0"),"/",TEXT(G80*100,"0")," (",TEXT((H80-G80)*100,"0"),")")</f>
        <v>60/0 (60)</v>
      </c>
    </row>
    <row r="81" spans="2:12">
      <c r="B81" s="12" t="s">
        <v>68</v>
      </c>
      <c r="C81" s="20">
        <f t="shared" ref="C81:C104" si="10">IF(D81&gt;$D$8,2,IF(D81&gt;$D$9,1,0))</f>
        <v>0</v>
      </c>
      <c r="D81" s="20">
        <f t="shared" ref="D81:D104" si="11">E81*$E$11+F81*$F$11</f>
        <v>0.5</v>
      </c>
      <c r="E81" s="20">
        <f t="shared" ref="E81:E104" si="12">IF(OR(G81&lt;$G$7,K81&lt;&gt;""),2,IF(G81&lt;$G$9,1,0))</f>
        <v>0</v>
      </c>
      <c r="F81" s="20">
        <f t="shared" ref="F81:F104" si="13">IF(H81&lt;$H$7,2,IF(H81&lt;$H$9,1,0))</f>
        <v>1</v>
      </c>
      <c r="G81" s="49">
        <v>0.63</v>
      </c>
      <c r="H81" s="49">
        <v>0.76500000000000001</v>
      </c>
      <c r="I81" s="9" t="str">
        <f t="shared" ref="I81:I104" si="14">_xlfn.TEXTJOIN(,0,"Доля обработки ТКО в 1пг 2024 г. ",TEXT(G81,"0%"))</f>
        <v>Доля обработки ТКО в 1пг 2024 г. 63%</v>
      </c>
      <c r="J81" s="9" t="str">
        <f t="shared" ref="J81:J104" si="15">_xlfn.TEXTJOIN(,0,"План по обработке ТКО в 2028 г. ",TEXT(H81,"0%"))</f>
        <v>План по обработке ТКО в 2028 г. 77%</v>
      </c>
      <c r="K81" s="67"/>
      <c r="L81" s="8" t="str">
        <f t="shared" si="9"/>
        <v>77/63 (14)</v>
      </c>
    </row>
    <row r="82" spans="2:12">
      <c r="B82" s="12" t="s">
        <v>69</v>
      </c>
      <c r="C82" s="20">
        <f t="shared" si="10"/>
        <v>0</v>
      </c>
      <c r="D82" s="20">
        <f t="shared" si="11"/>
        <v>0</v>
      </c>
      <c r="E82" s="20">
        <f t="shared" si="12"/>
        <v>0</v>
      </c>
      <c r="F82" s="20">
        <f t="shared" si="13"/>
        <v>0</v>
      </c>
      <c r="G82" s="49">
        <v>0.82299999999999995</v>
      </c>
      <c r="H82" s="49">
        <v>1</v>
      </c>
      <c r="I82" s="9" t="str">
        <f t="shared" si="14"/>
        <v>Доля обработки ТКО в 1пг 2024 г. 82%</v>
      </c>
      <c r="J82" s="9" t="str">
        <f t="shared" si="15"/>
        <v>План по обработке ТКО в 2028 г. 100%</v>
      </c>
      <c r="K82" s="67"/>
      <c r="L82" s="8" t="str">
        <f t="shared" si="9"/>
        <v>100/82 (18)</v>
      </c>
    </row>
    <row r="83" spans="2:12">
      <c r="B83" s="12" t="s">
        <v>70</v>
      </c>
      <c r="C83" s="20">
        <f t="shared" si="10"/>
        <v>0</v>
      </c>
      <c r="D83" s="20">
        <f t="shared" si="11"/>
        <v>0.5</v>
      </c>
      <c r="E83" s="20">
        <f t="shared" si="12"/>
        <v>1</v>
      </c>
      <c r="F83" s="20">
        <f t="shared" si="13"/>
        <v>0</v>
      </c>
      <c r="G83" s="49">
        <v>0.44400000000000001</v>
      </c>
      <c r="H83" s="49">
        <v>0.82099999999999995</v>
      </c>
      <c r="I83" s="9" t="str">
        <f t="shared" si="14"/>
        <v>Доля обработки ТКО в 1пг 2024 г. 44%</v>
      </c>
      <c r="J83" s="9" t="str">
        <f t="shared" si="15"/>
        <v>План по обработке ТКО в 2028 г. 82%</v>
      </c>
      <c r="K83" s="67"/>
      <c r="L83" s="8" t="str">
        <f t="shared" si="9"/>
        <v>82/44 (38)</v>
      </c>
    </row>
    <row r="84" spans="2:12">
      <c r="B84" s="12" t="s">
        <v>71</v>
      </c>
      <c r="C84" s="20">
        <f t="shared" si="10"/>
        <v>0</v>
      </c>
      <c r="D84" s="20">
        <f t="shared" si="11"/>
        <v>0</v>
      </c>
      <c r="E84" s="20">
        <f t="shared" si="12"/>
        <v>0</v>
      </c>
      <c r="F84" s="20">
        <f t="shared" si="13"/>
        <v>0</v>
      </c>
      <c r="G84" s="49">
        <v>0.85199999999999998</v>
      </c>
      <c r="H84" s="49">
        <v>0.83099999999999996</v>
      </c>
      <c r="I84" s="9" t="str">
        <f t="shared" si="14"/>
        <v>Доля обработки ТКО в 1пг 2024 г. 85%</v>
      </c>
      <c r="J84" s="9" t="str">
        <f t="shared" si="15"/>
        <v>План по обработке ТКО в 2028 г. 83%</v>
      </c>
      <c r="K84" s="67"/>
      <c r="L84" s="8" t="str">
        <f t="shared" si="9"/>
        <v>83/85 (-2)</v>
      </c>
    </row>
    <row r="85" spans="2:12">
      <c r="B85" s="12" t="s">
        <v>72</v>
      </c>
      <c r="C85" s="20">
        <f t="shared" si="10"/>
        <v>1</v>
      </c>
      <c r="D85" s="20">
        <f t="shared" si="11"/>
        <v>1</v>
      </c>
      <c r="E85" s="20">
        <f t="shared" si="12"/>
        <v>1</v>
      </c>
      <c r="F85" s="20">
        <f t="shared" si="13"/>
        <v>1</v>
      </c>
      <c r="G85" s="49">
        <v>0.41600000000000004</v>
      </c>
      <c r="H85" s="49">
        <v>0.47600000000000003</v>
      </c>
      <c r="I85" s="9" t="str">
        <f t="shared" si="14"/>
        <v>Доля обработки ТКО в 1пг 2024 г. 42%</v>
      </c>
      <c r="J85" s="9" t="str">
        <f t="shared" si="15"/>
        <v>План по обработке ТКО в 2028 г. 48%</v>
      </c>
      <c r="K85" s="67"/>
      <c r="L85" s="8" t="str">
        <f t="shared" si="9"/>
        <v>48/42 (6)</v>
      </c>
    </row>
    <row r="86" spans="2:12">
      <c r="B86" s="12" t="s">
        <v>73</v>
      </c>
      <c r="C86" s="20">
        <f t="shared" si="10"/>
        <v>2</v>
      </c>
      <c r="D86" s="20">
        <f t="shared" si="11"/>
        <v>1.5</v>
      </c>
      <c r="E86" s="20">
        <f t="shared" si="12"/>
        <v>2</v>
      </c>
      <c r="F86" s="20">
        <f t="shared" si="13"/>
        <v>1</v>
      </c>
      <c r="G86" s="49">
        <v>0.17399999999999999</v>
      </c>
      <c r="H86" s="49">
        <v>0.41</v>
      </c>
      <c r="I86" s="9" t="str">
        <f t="shared" si="14"/>
        <v>Доля обработки ТКО в 1пг 2024 г. 17%</v>
      </c>
      <c r="J86" s="9" t="str">
        <f t="shared" si="15"/>
        <v>План по обработке ТКО в 2028 г. 41%</v>
      </c>
      <c r="K86" s="67"/>
      <c r="L86" s="8" t="str">
        <f t="shared" si="9"/>
        <v>41/17 (24)</v>
      </c>
    </row>
    <row r="87" spans="2:12">
      <c r="B87" s="12" t="s">
        <v>74</v>
      </c>
      <c r="C87" s="20">
        <f t="shared" si="10"/>
        <v>0</v>
      </c>
      <c r="D87" s="20">
        <f t="shared" si="11"/>
        <v>0.5</v>
      </c>
      <c r="E87" s="20">
        <f t="shared" si="12"/>
        <v>0</v>
      </c>
      <c r="F87" s="20">
        <f t="shared" si="13"/>
        <v>1</v>
      </c>
      <c r="G87" s="49">
        <v>0.59799999999999998</v>
      </c>
      <c r="H87" s="49">
        <v>0.55000000000000004</v>
      </c>
      <c r="I87" s="9" t="str">
        <f t="shared" si="14"/>
        <v>Доля обработки ТКО в 1пг 2024 г. 60%</v>
      </c>
      <c r="J87" s="9" t="str">
        <f t="shared" si="15"/>
        <v>План по обработке ТКО в 2028 г. 55%</v>
      </c>
      <c r="K87" s="67"/>
      <c r="L87" s="8" t="str">
        <f t="shared" si="9"/>
        <v>55/60 (-5)</v>
      </c>
    </row>
    <row r="88" spans="2:12">
      <c r="B88" s="12" t="s">
        <v>75</v>
      </c>
      <c r="C88" s="20">
        <f t="shared" si="10"/>
        <v>0</v>
      </c>
      <c r="D88" s="20">
        <f t="shared" si="11"/>
        <v>0</v>
      </c>
      <c r="E88" s="20">
        <f t="shared" si="12"/>
        <v>0</v>
      </c>
      <c r="F88" s="20">
        <f t="shared" si="13"/>
        <v>0</v>
      </c>
      <c r="G88" s="49">
        <v>0.94799999999999995</v>
      </c>
      <c r="H88" s="49">
        <v>0.9</v>
      </c>
      <c r="I88" s="9" t="str">
        <f t="shared" si="14"/>
        <v>Доля обработки ТКО в 1пг 2024 г. 95%</v>
      </c>
      <c r="J88" s="9" t="str">
        <f t="shared" si="15"/>
        <v>План по обработке ТКО в 2028 г. 90%</v>
      </c>
      <c r="K88" s="67"/>
      <c r="L88" s="8" t="str">
        <f t="shared" si="9"/>
        <v>90/95 (-5)</v>
      </c>
    </row>
    <row r="89" spans="2:12">
      <c r="B89" s="12" t="s">
        <v>76</v>
      </c>
      <c r="C89" s="20">
        <f t="shared" si="10"/>
        <v>0</v>
      </c>
      <c r="D89" s="20">
        <f t="shared" si="11"/>
        <v>0</v>
      </c>
      <c r="E89" s="20">
        <f t="shared" si="12"/>
        <v>0</v>
      </c>
      <c r="F89" s="20">
        <f t="shared" si="13"/>
        <v>0</v>
      </c>
      <c r="G89" s="49">
        <v>0.80900000000000005</v>
      </c>
      <c r="H89" s="49">
        <v>1</v>
      </c>
      <c r="I89" s="9" t="str">
        <f t="shared" si="14"/>
        <v>Доля обработки ТКО в 1пг 2024 г. 81%</v>
      </c>
      <c r="J89" s="9" t="str">
        <f t="shared" si="15"/>
        <v>План по обработке ТКО в 2028 г. 100%</v>
      </c>
      <c r="K89" s="67"/>
      <c r="L89" s="8" t="str">
        <f t="shared" si="9"/>
        <v>100/81 (19)</v>
      </c>
    </row>
    <row r="90" spans="2:12">
      <c r="B90" s="12" t="s">
        <v>77</v>
      </c>
      <c r="C90" s="20">
        <f t="shared" si="10"/>
        <v>2</v>
      </c>
      <c r="D90" s="20">
        <f t="shared" si="11"/>
        <v>1.5</v>
      </c>
      <c r="E90" s="20">
        <f t="shared" si="12"/>
        <v>1</v>
      </c>
      <c r="F90" s="20">
        <f t="shared" si="13"/>
        <v>2</v>
      </c>
      <c r="G90" s="49">
        <v>0.31900000000000001</v>
      </c>
      <c r="H90" s="49">
        <v>0.3</v>
      </c>
      <c r="I90" s="9" t="str">
        <f t="shared" si="14"/>
        <v>Доля обработки ТКО в 1пг 2024 г. 32%</v>
      </c>
      <c r="J90" s="9" t="str">
        <f t="shared" si="15"/>
        <v>План по обработке ТКО в 2028 г. 30%</v>
      </c>
      <c r="K90" s="67"/>
      <c r="L90" s="8" t="str">
        <f t="shared" si="9"/>
        <v>30/32 (-2)</v>
      </c>
    </row>
    <row r="91" spans="2:12">
      <c r="B91" s="12" t="s">
        <v>78</v>
      </c>
      <c r="C91" s="20">
        <f t="shared" si="10"/>
        <v>2</v>
      </c>
      <c r="D91" s="20">
        <f t="shared" si="11"/>
        <v>1.5</v>
      </c>
      <c r="E91" s="20">
        <f t="shared" si="12"/>
        <v>2</v>
      </c>
      <c r="F91" s="20">
        <f t="shared" si="13"/>
        <v>1</v>
      </c>
      <c r="G91" s="49">
        <v>8.5999999999999993E-2</v>
      </c>
      <c r="H91" s="49">
        <v>0.78</v>
      </c>
      <c r="I91" s="9" t="str">
        <f t="shared" si="14"/>
        <v>Доля обработки ТКО в 1пг 2024 г. 9%</v>
      </c>
      <c r="J91" s="9" t="str">
        <f t="shared" si="15"/>
        <v>План по обработке ТКО в 2028 г. 78%</v>
      </c>
      <c r="K91" s="67"/>
      <c r="L91" s="8" t="str">
        <f t="shared" si="9"/>
        <v>78/9 (69)</v>
      </c>
    </row>
    <row r="92" spans="2:12">
      <c r="B92" s="12" t="s">
        <v>79</v>
      </c>
      <c r="C92" s="20">
        <f t="shared" si="10"/>
        <v>0</v>
      </c>
      <c r="D92" s="20">
        <f t="shared" si="11"/>
        <v>0.5</v>
      </c>
      <c r="E92" s="20">
        <f t="shared" si="12"/>
        <v>1</v>
      </c>
      <c r="F92" s="20">
        <f t="shared" si="13"/>
        <v>0</v>
      </c>
      <c r="G92" s="49">
        <v>0.41399999999999998</v>
      </c>
      <c r="H92" s="49">
        <v>1</v>
      </c>
      <c r="I92" s="9" t="str">
        <f t="shared" si="14"/>
        <v>Доля обработки ТКО в 1пг 2024 г. 41%</v>
      </c>
      <c r="J92" s="9" t="str">
        <f t="shared" si="15"/>
        <v>План по обработке ТКО в 2028 г. 100%</v>
      </c>
      <c r="K92" s="67"/>
      <c r="L92" s="8" t="str">
        <f t="shared" si="9"/>
        <v>100/41 (59)</v>
      </c>
    </row>
    <row r="93" spans="2:12">
      <c r="B93" s="12" t="s">
        <v>80</v>
      </c>
      <c r="C93" s="20">
        <f t="shared" si="10"/>
        <v>0</v>
      </c>
      <c r="D93" s="20">
        <f t="shared" si="11"/>
        <v>0</v>
      </c>
      <c r="E93" s="20">
        <f t="shared" si="12"/>
        <v>0</v>
      </c>
      <c r="F93" s="20">
        <f t="shared" si="13"/>
        <v>0</v>
      </c>
      <c r="G93" s="49">
        <v>1</v>
      </c>
      <c r="H93" s="49">
        <v>0.95</v>
      </c>
      <c r="I93" s="9" t="str">
        <f t="shared" si="14"/>
        <v>Доля обработки ТКО в 1пг 2024 г. 100%</v>
      </c>
      <c r="J93" s="9" t="str">
        <f t="shared" si="15"/>
        <v>План по обработке ТКО в 2028 г. 95%</v>
      </c>
      <c r="K93" s="67"/>
      <c r="L93" s="8" t="str">
        <f t="shared" si="9"/>
        <v>95/100 (-5)</v>
      </c>
    </row>
    <row r="94" spans="2:12">
      <c r="B94" s="12" t="s">
        <v>81</v>
      </c>
      <c r="C94" s="20">
        <f t="shared" si="10"/>
        <v>0</v>
      </c>
      <c r="D94" s="20">
        <f t="shared" si="11"/>
        <v>0.5</v>
      </c>
      <c r="E94" s="20">
        <f t="shared" si="12"/>
        <v>0</v>
      </c>
      <c r="F94" s="20">
        <f t="shared" si="13"/>
        <v>1</v>
      </c>
      <c r="G94" s="49">
        <v>0.73499999999999999</v>
      </c>
      <c r="H94" s="49">
        <v>0.67900000000000005</v>
      </c>
      <c r="I94" s="9" t="str">
        <f t="shared" si="14"/>
        <v>Доля обработки ТКО в 1пг 2024 г. 74%</v>
      </c>
      <c r="J94" s="9" t="str">
        <f t="shared" si="15"/>
        <v>План по обработке ТКО в 2028 г. 68%</v>
      </c>
      <c r="K94" s="67"/>
      <c r="L94" s="8" t="str">
        <f t="shared" si="9"/>
        <v>68/74 (-6)</v>
      </c>
    </row>
    <row r="95" spans="2:12">
      <c r="B95" s="12" t="s">
        <v>82</v>
      </c>
      <c r="C95" s="20">
        <f t="shared" si="10"/>
        <v>0</v>
      </c>
      <c r="D95" s="20">
        <f t="shared" si="11"/>
        <v>0.5</v>
      </c>
      <c r="E95" s="20">
        <f t="shared" si="12"/>
        <v>0</v>
      </c>
      <c r="F95" s="20">
        <f t="shared" si="13"/>
        <v>1</v>
      </c>
      <c r="G95" s="49">
        <v>0.86299999999999999</v>
      </c>
      <c r="H95" s="49">
        <v>0.6</v>
      </c>
      <c r="I95" s="9" t="str">
        <f t="shared" si="14"/>
        <v>Доля обработки ТКО в 1пг 2024 г. 86%</v>
      </c>
      <c r="J95" s="9" t="str">
        <f t="shared" si="15"/>
        <v>План по обработке ТКО в 2028 г. 60%</v>
      </c>
      <c r="K95" s="67"/>
      <c r="L95" s="8" t="str">
        <f t="shared" si="9"/>
        <v>60/86 (-26)</v>
      </c>
    </row>
    <row r="96" spans="2:12">
      <c r="B96" s="12" t="s">
        <v>83</v>
      </c>
      <c r="C96" s="20">
        <f t="shared" si="10"/>
        <v>2</v>
      </c>
      <c r="D96" s="20">
        <f t="shared" si="11"/>
        <v>1.5</v>
      </c>
      <c r="E96" s="20">
        <f t="shared" si="12"/>
        <v>2</v>
      </c>
      <c r="F96" s="20">
        <f t="shared" si="13"/>
        <v>1</v>
      </c>
      <c r="G96" s="49">
        <v>0.25900000000000001</v>
      </c>
      <c r="H96" s="49">
        <v>0.73099999999999998</v>
      </c>
      <c r="I96" s="9" t="str">
        <f t="shared" si="14"/>
        <v>Доля обработки ТКО в 1пг 2024 г. 26%</v>
      </c>
      <c r="J96" s="9" t="str">
        <f t="shared" si="15"/>
        <v>План по обработке ТКО в 2028 г. 73%</v>
      </c>
      <c r="K96" s="67"/>
      <c r="L96" s="8" t="str">
        <f t="shared" si="9"/>
        <v>73/26 (47)</v>
      </c>
    </row>
    <row r="97" spans="2:12">
      <c r="B97" s="12" t="s">
        <v>84</v>
      </c>
      <c r="C97" s="20">
        <f t="shared" si="10"/>
        <v>1</v>
      </c>
      <c r="D97" s="20">
        <f t="shared" si="11"/>
        <v>1</v>
      </c>
      <c r="E97" s="20">
        <f t="shared" si="12"/>
        <v>1</v>
      </c>
      <c r="F97" s="20">
        <f t="shared" si="13"/>
        <v>1</v>
      </c>
      <c r="G97" s="49">
        <v>0.32299999999999995</v>
      </c>
      <c r="H97" s="49">
        <v>0.40600000000000003</v>
      </c>
      <c r="I97" s="9" t="str">
        <f t="shared" si="14"/>
        <v>Доля обработки ТКО в 1пг 2024 г. 32%</v>
      </c>
      <c r="J97" s="9" t="str">
        <f t="shared" si="15"/>
        <v>План по обработке ТКО в 2028 г. 41%</v>
      </c>
      <c r="K97" s="67"/>
      <c r="L97" s="8" t="str">
        <f t="shared" si="9"/>
        <v>41/32 (8)</v>
      </c>
    </row>
    <row r="98" spans="2:12">
      <c r="B98" s="12" t="s">
        <v>166</v>
      </c>
      <c r="C98" s="20">
        <f t="shared" si="10"/>
        <v>0</v>
      </c>
      <c r="D98" s="20">
        <f t="shared" si="11"/>
        <v>0</v>
      </c>
      <c r="E98" s="66">
        <v>0</v>
      </c>
      <c r="F98" s="66">
        <v>0</v>
      </c>
      <c r="G98" s="49"/>
      <c r="H98" s="49"/>
      <c r="I98" s="9" t="str">
        <f t="shared" si="14"/>
        <v>Доля обработки ТКО в 1пг 2024 г. 0%</v>
      </c>
      <c r="J98" s="9" t="str">
        <f t="shared" si="15"/>
        <v>План по обработке ТКО в 2028 г. 0%</v>
      </c>
      <c r="K98" s="67"/>
      <c r="L98" s="8" t="str">
        <f t="shared" si="9"/>
        <v>0/0 (0)</v>
      </c>
    </row>
    <row r="99" spans="2:12">
      <c r="B99" s="12" t="s">
        <v>85</v>
      </c>
      <c r="C99" s="20">
        <f t="shared" si="10"/>
        <v>0</v>
      </c>
      <c r="D99" s="20">
        <f t="shared" si="11"/>
        <v>0</v>
      </c>
      <c r="E99" s="20">
        <f t="shared" si="12"/>
        <v>0</v>
      </c>
      <c r="F99" s="20">
        <f t="shared" si="13"/>
        <v>0</v>
      </c>
      <c r="G99" s="49">
        <v>0.68299999999999994</v>
      </c>
      <c r="H99" s="49">
        <v>0.80799999999999994</v>
      </c>
      <c r="I99" s="9" t="str">
        <f t="shared" si="14"/>
        <v>Доля обработки ТКО в 1пг 2024 г. 68%</v>
      </c>
      <c r="J99" s="9" t="str">
        <f t="shared" si="15"/>
        <v>План по обработке ТКО в 2028 г. 81%</v>
      </c>
      <c r="K99" s="67"/>
      <c r="L99" s="8" t="str">
        <f t="shared" si="9"/>
        <v>81/68 (13)</v>
      </c>
    </row>
    <row r="100" spans="2:12">
      <c r="B100" s="12" t="s">
        <v>86</v>
      </c>
      <c r="C100" s="20">
        <f t="shared" si="10"/>
        <v>1</v>
      </c>
      <c r="D100" s="20">
        <f t="shared" si="11"/>
        <v>1</v>
      </c>
      <c r="E100" s="20">
        <f t="shared" si="12"/>
        <v>1</v>
      </c>
      <c r="F100" s="20">
        <f t="shared" si="13"/>
        <v>1</v>
      </c>
      <c r="G100" s="49">
        <v>0.51400000000000001</v>
      </c>
      <c r="H100" s="49">
        <v>0.5</v>
      </c>
      <c r="I100" s="9" t="str">
        <f t="shared" si="14"/>
        <v>Доля обработки ТКО в 1пг 2024 г. 51%</v>
      </c>
      <c r="J100" s="9" t="str">
        <f t="shared" si="15"/>
        <v>План по обработке ТКО в 2028 г. 50%</v>
      </c>
      <c r="K100" s="67"/>
      <c r="L100" s="8" t="str">
        <f t="shared" si="9"/>
        <v>50/51 (-1)</v>
      </c>
    </row>
    <row r="101" spans="2:12">
      <c r="B101" s="12" t="s">
        <v>87</v>
      </c>
      <c r="C101" s="20">
        <f t="shared" si="10"/>
        <v>0</v>
      </c>
      <c r="D101" s="20">
        <f t="shared" si="11"/>
        <v>0.5</v>
      </c>
      <c r="E101" s="20">
        <f t="shared" si="12"/>
        <v>0</v>
      </c>
      <c r="F101" s="20">
        <f t="shared" si="13"/>
        <v>1</v>
      </c>
      <c r="G101" s="49">
        <v>0.67</v>
      </c>
      <c r="H101" s="49">
        <v>0.7</v>
      </c>
      <c r="I101" s="9" t="str">
        <f t="shared" si="14"/>
        <v>Доля обработки ТКО в 1пг 2024 г. 67%</v>
      </c>
      <c r="J101" s="9" t="str">
        <f t="shared" si="15"/>
        <v>План по обработке ТКО в 2028 г. 70%</v>
      </c>
      <c r="K101" s="67"/>
      <c r="L101" s="8" t="str">
        <f t="shared" si="9"/>
        <v>70/67 (3)</v>
      </c>
    </row>
    <row r="102" spans="2:12">
      <c r="B102" s="12" t="s">
        <v>88</v>
      </c>
      <c r="C102" s="20">
        <f t="shared" si="10"/>
        <v>2</v>
      </c>
      <c r="D102" s="20">
        <f t="shared" si="11"/>
        <v>1.5</v>
      </c>
      <c r="E102" s="20">
        <f t="shared" si="12"/>
        <v>2</v>
      </c>
      <c r="F102" s="20">
        <f t="shared" si="13"/>
        <v>1</v>
      </c>
      <c r="G102" s="49">
        <v>0.24399999999999999</v>
      </c>
      <c r="H102" s="49">
        <v>0.66099999999999992</v>
      </c>
      <c r="I102" s="9" t="str">
        <f t="shared" si="14"/>
        <v>Доля обработки ТКО в 1пг 2024 г. 24%</v>
      </c>
      <c r="J102" s="9" t="str">
        <f t="shared" si="15"/>
        <v>План по обработке ТКО в 2028 г. 66%</v>
      </c>
      <c r="K102" s="67"/>
      <c r="L102" s="8" t="str">
        <f t="shared" si="9"/>
        <v>66/24 (42)</v>
      </c>
    </row>
    <row r="103" spans="2:12">
      <c r="B103" s="12" t="s">
        <v>89</v>
      </c>
      <c r="C103" s="20">
        <f t="shared" si="10"/>
        <v>0</v>
      </c>
      <c r="D103" s="20">
        <f t="shared" si="11"/>
        <v>0.5</v>
      </c>
      <c r="E103" s="20">
        <f t="shared" si="12"/>
        <v>1</v>
      </c>
      <c r="F103" s="20">
        <f t="shared" si="13"/>
        <v>0</v>
      </c>
      <c r="G103" s="49">
        <v>0.4</v>
      </c>
      <c r="H103" s="49">
        <v>0.9</v>
      </c>
      <c r="I103" s="9" t="str">
        <f t="shared" si="14"/>
        <v>Доля обработки ТКО в 1пг 2024 г. 40%</v>
      </c>
      <c r="J103" s="9" t="str">
        <f t="shared" si="15"/>
        <v>План по обработке ТКО в 2028 г. 90%</v>
      </c>
      <c r="K103" s="67"/>
      <c r="L103" s="8" t="str">
        <f t="shared" si="9"/>
        <v>90/40 (50)</v>
      </c>
    </row>
    <row r="104" spans="2:12">
      <c r="B104" s="12" t="s">
        <v>90</v>
      </c>
      <c r="C104" s="20">
        <f t="shared" si="10"/>
        <v>0</v>
      </c>
      <c r="D104" s="20">
        <f t="shared" si="11"/>
        <v>0.5</v>
      </c>
      <c r="E104" s="20">
        <f t="shared" si="12"/>
        <v>0</v>
      </c>
      <c r="F104" s="20">
        <f t="shared" si="13"/>
        <v>1</v>
      </c>
      <c r="G104" s="49">
        <v>0.62</v>
      </c>
      <c r="H104" s="49">
        <v>0.61</v>
      </c>
      <c r="I104" s="9" t="str">
        <f t="shared" si="14"/>
        <v>Доля обработки ТКО в 1пг 2024 г. 62%</v>
      </c>
      <c r="J104" s="9" t="str">
        <f t="shared" si="15"/>
        <v>План по обработке ТКО в 2028 г. 61%</v>
      </c>
      <c r="K104" s="67"/>
      <c r="L104" s="8" t="str">
        <f t="shared" si="9"/>
        <v>61/62 (-1)</v>
      </c>
    </row>
    <row r="107" spans="2:12">
      <c r="B107" s="12"/>
    </row>
  </sheetData>
  <pageMargins left="0.7" right="0.7" top="0.75" bottom="0.75" header="0.3" footer="0.3"/>
  <pageSetup paperSize="9"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U107"/>
  <sheetViews>
    <sheetView workbookViewId="0">
      <pane xSplit="2" ySplit="15" topLeftCell="C16" activePane="bottomRight" state="frozen"/>
      <selection pane="topRight"/>
      <selection pane="bottomLeft"/>
      <selection pane="bottomRight" activeCell="G15" sqref="G15:H104"/>
    </sheetView>
  </sheetViews>
  <sheetFormatPr defaultColWidth="10.8984375" defaultRowHeight="15"/>
  <cols>
    <col min="1" max="1" width="10.8984375" style="9"/>
    <col min="2" max="2" width="30.59765625" style="9" customWidth="1"/>
    <col min="3" max="6" width="13.5" style="13" customWidth="1"/>
    <col min="7" max="7" width="13.5" style="15" customWidth="1"/>
    <col min="8" max="8" width="13.5" style="8" customWidth="1"/>
    <col min="9" max="9" width="51.59765625" style="9" customWidth="1"/>
    <col min="10" max="10" width="51" style="9" customWidth="1"/>
    <col min="11" max="11" width="26.3984375" style="9" customWidth="1"/>
    <col min="12" max="12" width="12.09765625" style="8" customWidth="1"/>
    <col min="13" max="16384" width="10.8984375" style="9"/>
  </cols>
  <sheetData>
    <row r="2" spans="2:21" ht="15.6">
      <c r="B2" s="7" t="s">
        <v>141</v>
      </c>
    </row>
    <row r="4" spans="2:21" s="7" customFormat="1" ht="15.6">
      <c r="B4" s="7" t="s">
        <v>574</v>
      </c>
      <c r="C4" s="50" t="s">
        <v>573</v>
      </c>
      <c r="D4" s="50"/>
      <c r="E4" s="51"/>
      <c r="F4" s="51"/>
      <c r="G4" s="50"/>
      <c r="H4" s="50"/>
      <c r="I4" s="52"/>
      <c r="J4" s="52"/>
      <c r="K4" s="52"/>
      <c r="L4" s="52"/>
      <c r="M4" s="52"/>
      <c r="N4" s="52"/>
      <c r="O4" s="53"/>
      <c r="P4" s="53"/>
      <c r="Q4" s="53"/>
      <c r="R4" s="53"/>
      <c r="S4" s="53"/>
      <c r="T4" s="53"/>
      <c r="U4" s="53"/>
    </row>
    <row r="5" spans="2:21">
      <c r="B5" s="9" t="s">
        <v>587</v>
      </c>
      <c r="C5" s="59">
        <v>45566</v>
      </c>
      <c r="E5" s="38"/>
      <c r="F5" s="38"/>
      <c r="G5" s="13"/>
      <c r="H5" s="13"/>
      <c r="I5" s="8"/>
      <c r="J5" s="8"/>
      <c r="K5" s="8"/>
      <c r="M5" s="8"/>
      <c r="N5" s="8"/>
      <c r="O5" s="14"/>
      <c r="P5" s="14"/>
      <c r="Q5" s="14"/>
      <c r="R5" s="14"/>
      <c r="S5" s="14"/>
      <c r="T5" s="14"/>
      <c r="U5" s="14"/>
    </row>
    <row r="7" spans="2:21">
      <c r="B7" s="9" t="s">
        <v>92</v>
      </c>
      <c r="G7" s="15">
        <f>G9/2</f>
        <v>6.9500000000000006E-2</v>
      </c>
      <c r="H7" s="26">
        <f>H9/2</f>
        <v>0.14299999999999999</v>
      </c>
    </row>
    <row r="8" spans="2:21">
      <c r="B8" s="9" t="s">
        <v>93</v>
      </c>
      <c r="D8" s="14">
        <v>1</v>
      </c>
      <c r="H8" s="9"/>
    </row>
    <row r="9" spans="2:21">
      <c r="B9" s="9" t="s">
        <v>94</v>
      </c>
      <c r="D9" s="14">
        <v>0.5</v>
      </c>
      <c r="G9" s="15">
        <f>G15</f>
        <v>0.13900000000000001</v>
      </c>
      <c r="H9" s="26">
        <f>H15</f>
        <v>0.28599999999999998</v>
      </c>
    </row>
    <row r="10" spans="2:21">
      <c r="B10" s="9" t="s">
        <v>95</v>
      </c>
      <c r="H10" s="17"/>
    </row>
    <row r="11" spans="2:21">
      <c r="B11" s="9" t="s">
        <v>96</v>
      </c>
      <c r="C11" s="15"/>
      <c r="E11" s="15">
        <v>0.5</v>
      </c>
      <c r="F11" s="15">
        <v>0.5</v>
      </c>
    </row>
    <row r="12" spans="2:21">
      <c r="C12" s="15"/>
      <c r="E12" s="15"/>
      <c r="F12" s="15"/>
      <c r="H12" s="9"/>
    </row>
    <row r="14" spans="2:21" s="11" customFormat="1" ht="60">
      <c r="B14" s="11" t="s">
        <v>0</v>
      </c>
      <c r="C14" s="18" t="s">
        <v>118</v>
      </c>
      <c r="D14" s="18" t="s">
        <v>117</v>
      </c>
      <c r="E14" s="18" t="s">
        <v>144</v>
      </c>
      <c r="F14" s="18" t="s">
        <v>145</v>
      </c>
      <c r="G14" s="27" t="s">
        <v>142</v>
      </c>
      <c r="H14" s="10" t="s">
        <v>143</v>
      </c>
      <c r="I14" s="19" t="s">
        <v>146</v>
      </c>
      <c r="J14" s="19" t="s">
        <v>147</v>
      </c>
      <c r="K14" s="19" t="s">
        <v>119</v>
      </c>
      <c r="L14" s="19" t="s">
        <v>135</v>
      </c>
    </row>
    <row r="15" spans="2:21" s="11" customFormat="1">
      <c r="B15" s="11" t="s">
        <v>105</v>
      </c>
      <c r="C15" s="20"/>
      <c r="D15" s="20"/>
      <c r="E15" s="20"/>
      <c r="F15" s="20"/>
      <c r="G15" s="49">
        <v>0.13900000000000001</v>
      </c>
      <c r="H15" s="49">
        <v>0.28599999999999998</v>
      </c>
      <c r="I15" s="9" t="str">
        <f>_xlfn.TEXTJOIN(,0,"Доля утилизации и обезвреживания ТКО в 1пг 2024 г. ",TEXT(G15,"0%"),)</f>
        <v>Доля утилизации и обезвреживания ТКО в 1пг 2024 г. 14%</v>
      </c>
      <c r="J15" s="9" t="str">
        <f>_xlfn.TEXTJOIN(,0,"План по утилизации и обезвреживания ТКО в 2028 г. ",TEXT(H15,"0%"))</f>
        <v>План по утилизации и обезвреживания ТКО в 2028 г. 29%</v>
      </c>
      <c r="K15" s="9"/>
      <c r="L15" s="8" t="str">
        <f>_xlfn.TEXTJOIN(,0,TEXT(H15*100,"0"),"/",TEXT(G15*100,"0"),"  (",TEXT((H15-G15)*100,"0"),")")</f>
        <v>29/14  (15)</v>
      </c>
    </row>
    <row r="16" spans="2:21">
      <c r="B16" s="12" t="s">
        <v>1</v>
      </c>
      <c r="C16" s="20">
        <f>IF(D16&gt;$D$8,2,IF(D16&gt;$D$9,1,0))</f>
        <v>1</v>
      </c>
      <c r="D16" s="24">
        <f>E16*$E$11+F16*$F$11</f>
        <v>1</v>
      </c>
      <c r="E16" s="20">
        <f>IF(OR(G16&lt;$G$7,K16&lt;&gt;""),2,IF(G16&lt;$G$9,1,0))</f>
        <v>2</v>
      </c>
      <c r="F16" s="20">
        <f>IF(H16&lt;$H$7,2,IF(H16&lt;$H$9,1,0))</f>
        <v>0</v>
      </c>
      <c r="G16" s="49">
        <v>0</v>
      </c>
      <c r="H16" s="49">
        <v>0.47</v>
      </c>
      <c r="I16" s="9" t="str">
        <f t="shared" ref="I16:I79" si="0">_xlfn.TEXTJOIN(,0,"Доля утилизации и обезвреживания ТКО в 1пг 2024 г. ",TEXT(G16,"0%"),)</f>
        <v>Доля утилизации и обезвреживания ТКО в 1пг 2024 г. 0%</v>
      </c>
      <c r="J16" s="9" t="str">
        <f t="shared" ref="J16:J79" si="1">_xlfn.TEXTJOIN(,0,"План по утилизации и обезвреживания ТКО в 2028 г. ",TEXT(H16,"0%"))</f>
        <v>План по утилизации и обезвреживания ТКО в 2028 г. 47%</v>
      </c>
      <c r="K16" s="67"/>
      <c r="L16" s="8" t="str">
        <f t="shared" ref="L16:L79" si="2">_xlfn.TEXTJOIN(,0,TEXT(H16*100,"0"),"/",TEXT(G16*100,"0"),"  (",TEXT((H16-G16)*100,"0"),")")</f>
        <v>47/0  (47)</v>
      </c>
    </row>
    <row r="17" spans="2:12">
      <c r="B17" s="12" t="s">
        <v>9</v>
      </c>
      <c r="C17" s="20">
        <f t="shared" ref="C17:C80" si="3">IF(D17&gt;$D$8,2,IF(D17&gt;$D$9,1,0))</f>
        <v>2</v>
      </c>
      <c r="D17" s="24">
        <f t="shared" ref="D17:D80" si="4">E17*$E$11+F17*$F$11</f>
        <v>2</v>
      </c>
      <c r="E17" s="20">
        <f t="shared" ref="E17:E80" si="5">IF(OR(G17&lt;$G$7,K17&lt;&gt;""),2,IF(G17&lt;$G$9,1,0))</f>
        <v>2</v>
      </c>
      <c r="F17" s="20">
        <f t="shared" ref="F17:F80" si="6">IF(H17&lt;$H$7,2,IF(H17&lt;$H$9,1,0))</f>
        <v>2</v>
      </c>
      <c r="G17" s="49">
        <v>0</v>
      </c>
      <c r="H17" s="49">
        <v>0.1</v>
      </c>
      <c r="I17" s="9" t="str">
        <f t="shared" si="0"/>
        <v>Доля утилизации и обезвреживания ТКО в 1пг 2024 г. 0%</v>
      </c>
      <c r="J17" s="9" t="str">
        <f t="shared" si="1"/>
        <v>План по утилизации и обезвреживания ТКО в 2028 г. 10%</v>
      </c>
      <c r="K17" s="67"/>
      <c r="L17" s="8" t="str">
        <f t="shared" si="2"/>
        <v>10/0  (10)</v>
      </c>
    </row>
    <row r="18" spans="2:12">
      <c r="B18" s="12" t="s">
        <v>10</v>
      </c>
      <c r="C18" s="20">
        <f t="shared" si="3"/>
        <v>1</v>
      </c>
      <c r="D18" s="24">
        <f t="shared" si="4"/>
        <v>1</v>
      </c>
      <c r="E18" s="20">
        <f t="shared" si="5"/>
        <v>2</v>
      </c>
      <c r="F18" s="20">
        <f t="shared" si="6"/>
        <v>0</v>
      </c>
      <c r="G18" s="49">
        <v>3.0000000000000001E-3</v>
      </c>
      <c r="H18" s="49">
        <v>0.55000000000000004</v>
      </c>
      <c r="I18" s="9" t="str">
        <f t="shared" si="0"/>
        <v>Доля утилизации и обезвреживания ТКО в 1пг 2024 г. 0%</v>
      </c>
      <c r="J18" s="9" t="str">
        <f t="shared" si="1"/>
        <v>План по утилизации и обезвреживания ТКО в 2028 г. 55%</v>
      </c>
      <c r="K18" s="67"/>
      <c r="L18" s="8" t="str">
        <f t="shared" si="2"/>
        <v>55/0  (55)</v>
      </c>
    </row>
    <row r="19" spans="2:12">
      <c r="B19" s="12" t="s">
        <v>2</v>
      </c>
      <c r="C19" s="20">
        <f t="shared" si="3"/>
        <v>1</v>
      </c>
      <c r="D19" s="24">
        <f t="shared" si="4"/>
        <v>1</v>
      </c>
      <c r="E19" s="20">
        <f t="shared" si="5"/>
        <v>1</v>
      </c>
      <c r="F19" s="20">
        <f t="shared" si="6"/>
        <v>1</v>
      </c>
      <c r="G19" s="49">
        <v>0.13</v>
      </c>
      <c r="H19" s="49">
        <v>0.251</v>
      </c>
      <c r="I19" s="9" t="str">
        <f t="shared" si="0"/>
        <v>Доля утилизации и обезвреживания ТКО в 1пг 2024 г. 13%</v>
      </c>
      <c r="J19" s="9" t="str">
        <f t="shared" si="1"/>
        <v>План по утилизации и обезвреживания ТКО в 2028 г. 25%</v>
      </c>
      <c r="K19" s="67"/>
      <c r="L19" s="8" t="str">
        <f t="shared" si="2"/>
        <v>25/13  (12)</v>
      </c>
    </row>
    <row r="20" spans="2:12">
      <c r="B20" s="12" t="s">
        <v>11</v>
      </c>
      <c r="C20" s="20">
        <f t="shared" si="3"/>
        <v>2</v>
      </c>
      <c r="D20" s="24">
        <f t="shared" si="4"/>
        <v>2</v>
      </c>
      <c r="E20" s="20">
        <f t="shared" si="5"/>
        <v>2</v>
      </c>
      <c r="F20" s="20">
        <f t="shared" si="6"/>
        <v>2</v>
      </c>
      <c r="G20" s="49">
        <v>6.4000000000000001E-2</v>
      </c>
      <c r="H20" s="49">
        <v>4.5999999999999999E-2</v>
      </c>
      <c r="I20" s="9" t="str">
        <f t="shared" si="0"/>
        <v>Доля утилизации и обезвреживания ТКО в 1пг 2024 г. 6%</v>
      </c>
      <c r="J20" s="9" t="str">
        <f t="shared" si="1"/>
        <v>План по утилизации и обезвреживания ТКО в 2028 г. 5%</v>
      </c>
      <c r="K20" s="67"/>
      <c r="L20" s="8" t="str">
        <f t="shared" si="2"/>
        <v>5/6  (-2)</v>
      </c>
    </row>
    <row r="21" spans="2:12">
      <c r="B21" s="12" t="s">
        <v>12</v>
      </c>
      <c r="C21" s="20">
        <f t="shared" si="3"/>
        <v>1</v>
      </c>
      <c r="D21" s="24">
        <f t="shared" si="4"/>
        <v>1</v>
      </c>
      <c r="E21" s="20">
        <f t="shared" si="5"/>
        <v>2</v>
      </c>
      <c r="F21" s="20">
        <f t="shared" si="6"/>
        <v>0</v>
      </c>
      <c r="G21" s="49">
        <v>3.7000000000000005E-2</v>
      </c>
      <c r="H21" s="49">
        <v>0.34399999999999997</v>
      </c>
      <c r="I21" s="9" t="str">
        <f t="shared" si="0"/>
        <v>Доля утилизации и обезвреживания ТКО в 1пг 2024 г. 4%</v>
      </c>
      <c r="J21" s="9" t="str">
        <f t="shared" si="1"/>
        <v>План по утилизации и обезвреживания ТКО в 2028 г. 34%</v>
      </c>
      <c r="K21" s="67"/>
      <c r="L21" s="8" t="str">
        <f t="shared" si="2"/>
        <v>34/4  (31)</v>
      </c>
    </row>
    <row r="22" spans="2:12">
      <c r="B22" s="12" t="s">
        <v>13</v>
      </c>
      <c r="C22" s="20">
        <f t="shared" si="3"/>
        <v>2</v>
      </c>
      <c r="D22" s="24">
        <f t="shared" si="4"/>
        <v>2</v>
      </c>
      <c r="E22" s="20">
        <f t="shared" si="5"/>
        <v>2</v>
      </c>
      <c r="F22" s="20">
        <f t="shared" si="6"/>
        <v>2</v>
      </c>
      <c r="G22" s="49">
        <v>1.4999999999999999E-2</v>
      </c>
      <c r="H22" s="49">
        <v>1.6E-2</v>
      </c>
      <c r="I22" s="9" t="str">
        <f t="shared" si="0"/>
        <v>Доля утилизации и обезвреживания ТКО в 1пг 2024 г. 2%</v>
      </c>
      <c r="J22" s="9" t="str">
        <f t="shared" si="1"/>
        <v>План по утилизации и обезвреживания ТКО в 2028 г. 2%</v>
      </c>
      <c r="K22" s="67"/>
      <c r="L22" s="8" t="str">
        <f t="shared" si="2"/>
        <v>2/2  (0)</v>
      </c>
    </row>
    <row r="23" spans="2:12">
      <c r="B23" s="12" t="s">
        <v>14</v>
      </c>
      <c r="C23" s="20">
        <f t="shared" si="3"/>
        <v>2</v>
      </c>
      <c r="D23" s="24">
        <f t="shared" si="4"/>
        <v>2</v>
      </c>
      <c r="E23" s="20">
        <f t="shared" si="5"/>
        <v>2</v>
      </c>
      <c r="F23" s="20">
        <f t="shared" si="6"/>
        <v>2</v>
      </c>
      <c r="G23" s="49">
        <v>4.8000000000000001E-2</v>
      </c>
      <c r="H23" s="49">
        <v>4.7E-2</v>
      </c>
      <c r="I23" s="9" t="str">
        <f t="shared" si="0"/>
        <v>Доля утилизации и обезвреживания ТКО в 1пг 2024 г. 5%</v>
      </c>
      <c r="J23" s="9" t="str">
        <f t="shared" si="1"/>
        <v>План по утилизации и обезвреживания ТКО в 2028 г. 5%</v>
      </c>
      <c r="K23" s="67"/>
      <c r="L23" s="8" t="str">
        <f t="shared" si="2"/>
        <v>5/5  (0)</v>
      </c>
    </row>
    <row r="24" spans="2:12">
      <c r="B24" s="12" t="s">
        <v>15</v>
      </c>
      <c r="C24" s="20">
        <f t="shared" si="3"/>
        <v>2</v>
      </c>
      <c r="D24" s="24">
        <f t="shared" si="4"/>
        <v>2</v>
      </c>
      <c r="E24" s="20">
        <f t="shared" si="5"/>
        <v>2</v>
      </c>
      <c r="F24" s="20">
        <f t="shared" si="6"/>
        <v>2</v>
      </c>
      <c r="G24" s="49">
        <v>6.3E-2</v>
      </c>
      <c r="H24" s="49">
        <v>9.9000000000000005E-2</v>
      </c>
      <c r="I24" s="9" t="str">
        <f t="shared" si="0"/>
        <v>Доля утилизации и обезвреживания ТКО в 1пг 2024 г. 6%</v>
      </c>
      <c r="J24" s="9" t="str">
        <f t="shared" si="1"/>
        <v>План по утилизации и обезвреживания ТКО в 2028 г. 10%</v>
      </c>
      <c r="K24" s="67"/>
      <c r="L24" s="8" t="str">
        <f t="shared" si="2"/>
        <v>10/6  (4)</v>
      </c>
    </row>
    <row r="25" spans="2:12">
      <c r="B25" s="12" t="s">
        <v>16</v>
      </c>
      <c r="C25" s="20">
        <f t="shared" si="3"/>
        <v>2</v>
      </c>
      <c r="D25" s="24">
        <f t="shared" si="4"/>
        <v>2</v>
      </c>
      <c r="E25" s="20">
        <f t="shared" si="5"/>
        <v>2</v>
      </c>
      <c r="F25" s="20">
        <f t="shared" si="6"/>
        <v>2</v>
      </c>
      <c r="G25" s="49">
        <v>4.0999999999999995E-2</v>
      </c>
      <c r="H25" s="49">
        <v>3.5000000000000003E-2</v>
      </c>
      <c r="I25" s="9" t="str">
        <f t="shared" si="0"/>
        <v>Доля утилизации и обезвреживания ТКО в 1пг 2024 г. 4%</v>
      </c>
      <c r="J25" s="9" t="str">
        <f t="shared" si="1"/>
        <v>План по утилизации и обезвреживания ТКО в 2028 г. 4%</v>
      </c>
      <c r="K25" s="67"/>
      <c r="L25" s="8" t="str">
        <f t="shared" si="2"/>
        <v>4/4  (-1)</v>
      </c>
    </row>
    <row r="26" spans="2:12">
      <c r="B26" s="12" t="s">
        <v>17</v>
      </c>
      <c r="C26" s="20">
        <f t="shared" si="3"/>
        <v>0</v>
      </c>
      <c r="D26" s="24">
        <f t="shared" si="4"/>
        <v>0</v>
      </c>
      <c r="E26" s="20">
        <f t="shared" si="5"/>
        <v>0</v>
      </c>
      <c r="F26" s="20">
        <f t="shared" si="6"/>
        <v>0</v>
      </c>
      <c r="G26" s="49">
        <v>0.50800000000000001</v>
      </c>
      <c r="H26" s="49">
        <v>0.47</v>
      </c>
      <c r="I26" s="9" t="str">
        <f t="shared" si="0"/>
        <v>Доля утилизации и обезвреживания ТКО в 1пг 2024 г. 51%</v>
      </c>
      <c r="J26" s="9" t="str">
        <f t="shared" si="1"/>
        <v>План по утилизации и обезвреживания ТКО в 2028 г. 47%</v>
      </c>
      <c r="K26" s="67"/>
      <c r="L26" s="8" t="str">
        <f t="shared" si="2"/>
        <v>47/51  (-4)</v>
      </c>
    </row>
    <row r="27" spans="2:12">
      <c r="B27" s="12" t="s">
        <v>18</v>
      </c>
      <c r="C27" s="20">
        <f t="shared" si="3"/>
        <v>1</v>
      </c>
      <c r="D27" s="24">
        <f t="shared" si="4"/>
        <v>1</v>
      </c>
      <c r="E27" s="20">
        <f t="shared" si="5"/>
        <v>2</v>
      </c>
      <c r="F27" s="20">
        <f t="shared" si="6"/>
        <v>0</v>
      </c>
      <c r="G27" s="49">
        <v>6.7000000000000004E-2</v>
      </c>
      <c r="H27" s="49">
        <v>0.5</v>
      </c>
      <c r="I27" s="9" t="str">
        <f t="shared" si="0"/>
        <v>Доля утилизации и обезвреживания ТКО в 1пг 2024 г. 7%</v>
      </c>
      <c r="J27" s="9" t="str">
        <f t="shared" si="1"/>
        <v>План по утилизации и обезвреживания ТКО в 2028 г. 50%</v>
      </c>
      <c r="K27" s="67"/>
      <c r="L27" s="8" t="str">
        <f t="shared" si="2"/>
        <v>50/7  (43)</v>
      </c>
    </row>
    <row r="28" spans="2:12">
      <c r="B28" s="12" t="s">
        <v>19</v>
      </c>
      <c r="C28" s="20">
        <f t="shared" si="3"/>
        <v>2</v>
      </c>
      <c r="D28" s="24">
        <f t="shared" si="4"/>
        <v>2</v>
      </c>
      <c r="E28" s="20">
        <f t="shared" si="5"/>
        <v>2</v>
      </c>
      <c r="F28" s="20">
        <f t="shared" si="6"/>
        <v>2</v>
      </c>
      <c r="G28" s="49">
        <v>1.4999999999999999E-2</v>
      </c>
      <c r="H28" s="49">
        <v>9.0000000000000011E-3</v>
      </c>
      <c r="I28" s="9" t="str">
        <f t="shared" si="0"/>
        <v>Доля утилизации и обезвреживания ТКО в 1пг 2024 г. 2%</v>
      </c>
      <c r="J28" s="9" t="str">
        <f t="shared" si="1"/>
        <v>План по утилизации и обезвреживания ТКО в 2028 г. 1%</v>
      </c>
      <c r="K28" s="67"/>
      <c r="L28" s="8" t="str">
        <f t="shared" si="2"/>
        <v>1/2  (-1)</v>
      </c>
    </row>
    <row r="29" spans="2:12">
      <c r="B29" s="12" t="s">
        <v>580</v>
      </c>
      <c r="C29" s="20">
        <f t="shared" si="3"/>
        <v>0</v>
      </c>
      <c r="D29" s="24">
        <f t="shared" si="4"/>
        <v>0</v>
      </c>
      <c r="E29" s="66">
        <v>0</v>
      </c>
      <c r="F29" s="66">
        <v>0</v>
      </c>
      <c r="G29" s="49"/>
      <c r="H29" s="49"/>
      <c r="I29" s="9" t="str">
        <f t="shared" si="0"/>
        <v>Доля утилизации и обезвреживания ТКО в 1пг 2024 г. 0%</v>
      </c>
      <c r="J29" s="9" t="str">
        <f t="shared" si="1"/>
        <v>План по утилизации и обезвреживания ТКО в 2028 г. 0%</v>
      </c>
      <c r="K29" s="67"/>
      <c r="L29" s="8" t="str">
        <f t="shared" si="2"/>
        <v>0/0  (0)</v>
      </c>
    </row>
    <row r="30" spans="2:12">
      <c r="B30" s="12" t="s">
        <v>20</v>
      </c>
      <c r="C30" s="20">
        <f t="shared" si="3"/>
        <v>1</v>
      </c>
      <c r="D30" s="24">
        <f t="shared" si="4"/>
        <v>1</v>
      </c>
      <c r="E30" s="20">
        <f t="shared" si="5"/>
        <v>2</v>
      </c>
      <c r="F30" s="20">
        <f t="shared" si="6"/>
        <v>0</v>
      </c>
      <c r="G30" s="49">
        <v>0</v>
      </c>
      <c r="H30" s="49">
        <v>0.5</v>
      </c>
      <c r="I30" s="9" t="str">
        <f t="shared" si="0"/>
        <v>Доля утилизации и обезвреживания ТКО в 1пг 2024 г. 0%</v>
      </c>
      <c r="J30" s="9" t="str">
        <f t="shared" si="1"/>
        <v>План по утилизации и обезвреживания ТКО в 2028 г. 50%</v>
      </c>
      <c r="K30" s="67"/>
      <c r="L30" s="8" t="str">
        <f t="shared" si="2"/>
        <v>50/0  (50)</v>
      </c>
    </row>
    <row r="31" spans="2:12">
      <c r="B31" s="12" t="s">
        <v>21</v>
      </c>
      <c r="C31" s="20">
        <f t="shared" si="3"/>
        <v>2</v>
      </c>
      <c r="D31" s="24">
        <f t="shared" si="4"/>
        <v>1.5</v>
      </c>
      <c r="E31" s="20">
        <f t="shared" si="5"/>
        <v>2</v>
      </c>
      <c r="F31" s="20">
        <f t="shared" si="6"/>
        <v>1</v>
      </c>
      <c r="G31" s="49">
        <v>3.0000000000000001E-3</v>
      </c>
      <c r="H31" s="49">
        <v>0.15</v>
      </c>
      <c r="I31" s="9" t="str">
        <f t="shared" si="0"/>
        <v>Доля утилизации и обезвреживания ТКО в 1пг 2024 г. 0%</v>
      </c>
      <c r="J31" s="9" t="str">
        <f t="shared" si="1"/>
        <v>План по утилизации и обезвреживания ТКО в 2028 г. 15%</v>
      </c>
      <c r="K31" s="67"/>
      <c r="L31" s="8" t="str">
        <f t="shared" si="2"/>
        <v>15/0  (15)</v>
      </c>
    </row>
    <row r="32" spans="2:12">
      <c r="B32" s="12" t="s">
        <v>163</v>
      </c>
      <c r="C32" s="20">
        <f t="shared" si="3"/>
        <v>0</v>
      </c>
      <c r="D32" s="24">
        <f t="shared" si="4"/>
        <v>0</v>
      </c>
      <c r="E32" s="66">
        <v>0</v>
      </c>
      <c r="F32" s="66">
        <v>0</v>
      </c>
      <c r="G32" s="49"/>
      <c r="H32" s="49"/>
      <c r="I32" s="9" t="str">
        <f t="shared" si="0"/>
        <v>Доля утилизации и обезвреживания ТКО в 1пг 2024 г. 0%</v>
      </c>
      <c r="J32" s="9" t="str">
        <f t="shared" si="1"/>
        <v>План по утилизации и обезвреживания ТКО в 2028 г. 0%</v>
      </c>
      <c r="K32" s="67"/>
      <c r="L32" s="8" t="str">
        <f t="shared" si="2"/>
        <v>0/0  (0)</v>
      </c>
    </row>
    <row r="33" spans="2:12">
      <c r="B33" s="12" t="s">
        <v>22</v>
      </c>
      <c r="C33" s="20">
        <f t="shared" si="3"/>
        <v>2</v>
      </c>
      <c r="D33" s="24">
        <f t="shared" si="4"/>
        <v>1.5</v>
      </c>
      <c r="E33" s="20">
        <f t="shared" si="5"/>
        <v>1</v>
      </c>
      <c r="F33" s="20">
        <f t="shared" si="6"/>
        <v>2</v>
      </c>
      <c r="G33" s="49">
        <v>7.5999999999999998E-2</v>
      </c>
      <c r="H33" s="49">
        <v>7.5999999999999998E-2</v>
      </c>
      <c r="I33" s="9" t="str">
        <f t="shared" si="0"/>
        <v>Доля утилизации и обезвреживания ТКО в 1пг 2024 г. 8%</v>
      </c>
      <c r="J33" s="9" t="str">
        <f t="shared" si="1"/>
        <v>План по утилизации и обезвреживания ТКО в 2028 г. 8%</v>
      </c>
      <c r="K33" s="67"/>
      <c r="L33" s="8" t="str">
        <f t="shared" si="2"/>
        <v>8/8  (0)</v>
      </c>
    </row>
    <row r="34" spans="2:12">
      <c r="B34" s="12" t="s">
        <v>23</v>
      </c>
      <c r="C34" s="20">
        <f t="shared" si="3"/>
        <v>2</v>
      </c>
      <c r="D34" s="24">
        <f t="shared" si="4"/>
        <v>1.5</v>
      </c>
      <c r="E34" s="20">
        <f t="shared" si="5"/>
        <v>2</v>
      </c>
      <c r="F34" s="20">
        <f t="shared" si="6"/>
        <v>1</v>
      </c>
      <c r="G34" s="49">
        <v>4.0000000000000001E-3</v>
      </c>
      <c r="H34" s="49">
        <v>0.24199999999999999</v>
      </c>
      <c r="I34" s="9" t="str">
        <f t="shared" si="0"/>
        <v>Доля утилизации и обезвреживания ТКО в 1пг 2024 г. 0%</v>
      </c>
      <c r="J34" s="9" t="str">
        <f t="shared" si="1"/>
        <v>План по утилизации и обезвреживания ТКО в 2028 г. 24%</v>
      </c>
      <c r="K34" s="67"/>
      <c r="L34" s="8" t="str">
        <f t="shared" si="2"/>
        <v>24/0  (24)</v>
      </c>
    </row>
    <row r="35" spans="2:12">
      <c r="B35" s="12" t="s">
        <v>24</v>
      </c>
      <c r="C35" s="20">
        <f t="shared" si="3"/>
        <v>2</v>
      </c>
      <c r="D35" s="24">
        <f t="shared" si="4"/>
        <v>2</v>
      </c>
      <c r="E35" s="20">
        <f t="shared" si="5"/>
        <v>2</v>
      </c>
      <c r="F35" s="20">
        <f t="shared" si="6"/>
        <v>2</v>
      </c>
      <c r="G35" s="49">
        <v>5.2000000000000005E-2</v>
      </c>
      <c r="H35" s="49">
        <v>0.05</v>
      </c>
      <c r="I35" s="9" t="str">
        <f t="shared" si="0"/>
        <v>Доля утилизации и обезвреживания ТКО в 1пг 2024 г. 5%</v>
      </c>
      <c r="J35" s="9" t="str">
        <f t="shared" si="1"/>
        <v>План по утилизации и обезвреживания ТКО в 2028 г. 5%</v>
      </c>
      <c r="K35" s="67"/>
      <c r="L35" s="8" t="str">
        <f t="shared" si="2"/>
        <v>5/5  (0)</v>
      </c>
    </row>
    <row r="36" spans="2:12">
      <c r="B36" s="12" t="s">
        <v>25</v>
      </c>
      <c r="C36" s="20">
        <f t="shared" si="3"/>
        <v>1</v>
      </c>
      <c r="D36" s="24">
        <f t="shared" si="4"/>
        <v>1</v>
      </c>
      <c r="E36" s="20">
        <f t="shared" si="5"/>
        <v>2</v>
      </c>
      <c r="F36" s="20">
        <f t="shared" si="6"/>
        <v>0</v>
      </c>
      <c r="G36" s="49">
        <v>2E-3</v>
      </c>
      <c r="H36" s="49">
        <v>0.4</v>
      </c>
      <c r="I36" s="9" t="str">
        <f t="shared" si="0"/>
        <v>Доля утилизации и обезвреживания ТКО в 1пг 2024 г. 0%</v>
      </c>
      <c r="J36" s="9" t="str">
        <f t="shared" si="1"/>
        <v>План по утилизации и обезвреживания ТКО в 2028 г. 40%</v>
      </c>
      <c r="K36" s="67"/>
      <c r="L36" s="8" t="str">
        <f t="shared" si="2"/>
        <v>40/0  (40)</v>
      </c>
    </row>
    <row r="37" spans="2:12">
      <c r="B37" s="12" t="s">
        <v>26</v>
      </c>
      <c r="C37" s="20">
        <f t="shared" si="3"/>
        <v>1</v>
      </c>
      <c r="D37" s="24">
        <f t="shared" si="4"/>
        <v>1</v>
      </c>
      <c r="E37" s="20">
        <f t="shared" si="5"/>
        <v>1</v>
      </c>
      <c r="F37" s="20">
        <f t="shared" si="6"/>
        <v>1</v>
      </c>
      <c r="G37" s="49">
        <v>0.121</v>
      </c>
      <c r="H37" s="49">
        <v>0.248</v>
      </c>
      <c r="I37" s="9" t="str">
        <f t="shared" si="0"/>
        <v>Доля утилизации и обезвреживания ТКО в 1пг 2024 г. 12%</v>
      </c>
      <c r="J37" s="9" t="str">
        <f t="shared" si="1"/>
        <v>План по утилизации и обезвреживания ТКО в 2028 г. 25%</v>
      </c>
      <c r="K37" s="67"/>
      <c r="L37" s="8" t="str">
        <f t="shared" si="2"/>
        <v>25/12  (13)</v>
      </c>
    </row>
    <row r="38" spans="2:12">
      <c r="B38" s="12" t="s">
        <v>27</v>
      </c>
      <c r="C38" s="20">
        <f t="shared" si="3"/>
        <v>1</v>
      </c>
      <c r="D38" s="24">
        <f t="shared" si="4"/>
        <v>1</v>
      </c>
      <c r="E38" s="20">
        <f t="shared" si="5"/>
        <v>2</v>
      </c>
      <c r="F38" s="20">
        <f t="shared" si="6"/>
        <v>0</v>
      </c>
      <c r="G38" s="49">
        <v>0.34499999999999997</v>
      </c>
      <c r="H38" s="49">
        <v>0.4</v>
      </c>
      <c r="I38" s="9" t="str">
        <f t="shared" si="0"/>
        <v>Доля утилизации и обезвреживания ТКО в 1пг 2024 г. 35%</v>
      </c>
      <c r="J38" s="9" t="str">
        <f t="shared" si="1"/>
        <v>План по утилизации и обезвреживания ТКО в 2028 г. 40%</v>
      </c>
      <c r="K38" s="67" t="s">
        <v>111</v>
      </c>
      <c r="L38" s="8" t="str">
        <f t="shared" si="2"/>
        <v>40/35  (6)</v>
      </c>
    </row>
    <row r="39" spans="2:12">
      <c r="B39" s="12" t="s">
        <v>28</v>
      </c>
      <c r="C39" s="20">
        <f t="shared" si="3"/>
        <v>2</v>
      </c>
      <c r="D39" s="24">
        <f t="shared" si="4"/>
        <v>1.5</v>
      </c>
      <c r="E39" s="20">
        <f t="shared" si="5"/>
        <v>2</v>
      </c>
      <c r="F39" s="20">
        <f t="shared" si="6"/>
        <v>1</v>
      </c>
      <c r="G39" s="49">
        <v>0.255</v>
      </c>
      <c r="H39" s="49">
        <v>0.18</v>
      </c>
      <c r="I39" s="9" t="str">
        <f t="shared" si="0"/>
        <v>Доля утилизации и обезвреживания ТКО в 1пг 2024 г. 26%</v>
      </c>
      <c r="J39" s="9" t="str">
        <f t="shared" si="1"/>
        <v>План по утилизации и обезвреживания ТКО в 2028 г. 18%</v>
      </c>
      <c r="K39" s="67" t="s">
        <v>111</v>
      </c>
      <c r="L39" s="8" t="str">
        <f t="shared" si="2"/>
        <v>18/26  (-8)</v>
      </c>
    </row>
    <row r="40" spans="2:12">
      <c r="B40" s="12" t="s">
        <v>29</v>
      </c>
      <c r="C40" s="20">
        <f t="shared" si="3"/>
        <v>2</v>
      </c>
      <c r="D40" s="24">
        <f t="shared" si="4"/>
        <v>1.5</v>
      </c>
      <c r="E40" s="20">
        <f t="shared" si="5"/>
        <v>2</v>
      </c>
      <c r="F40" s="20">
        <f t="shared" si="6"/>
        <v>1</v>
      </c>
      <c r="G40" s="49">
        <v>3.6000000000000004E-2</v>
      </c>
      <c r="H40" s="49">
        <v>0.28300000000000003</v>
      </c>
      <c r="I40" s="9" t="str">
        <f t="shared" si="0"/>
        <v>Доля утилизации и обезвреживания ТКО в 1пг 2024 г. 4%</v>
      </c>
      <c r="J40" s="9" t="str">
        <f t="shared" si="1"/>
        <v>План по утилизации и обезвреживания ТКО в 2028 г. 28%</v>
      </c>
      <c r="K40" s="67"/>
      <c r="L40" s="8" t="str">
        <f t="shared" si="2"/>
        <v>28/4  (25)</v>
      </c>
    </row>
    <row r="41" spans="2:12">
      <c r="B41" s="12" t="s">
        <v>30</v>
      </c>
      <c r="C41" s="20">
        <f t="shared" si="3"/>
        <v>1</v>
      </c>
      <c r="D41" s="24">
        <f t="shared" si="4"/>
        <v>1</v>
      </c>
      <c r="E41" s="20">
        <f t="shared" si="5"/>
        <v>2</v>
      </c>
      <c r="F41" s="20">
        <f t="shared" si="6"/>
        <v>0</v>
      </c>
      <c r="G41" s="49">
        <v>0</v>
      </c>
      <c r="H41" s="49">
        <v>0.30430000000000001</v>
      </c>
      <c r="I41" s="9" t="str">
        <f t="shared" si="0"/>
        <v>Доля утилизации и обезвреживания ТКО в 1пг 2024 г. 0%</v>
      </c>
      <c r="J41" s="9" t="str">
        <f t="shared" si="1"/>
        <v>План по утилизации и обезвреживания ТКО в 2028 г. 30%</v>
      </c>
      <c r="K41" s="67"/>
      <c r="L41" s="8" t="str">
        <f t="shared" si="2"/>
        <v>30/0  (30)</v>
      </c>
    </row>
    <row r="42" spans="2:12">
      <c r="B42" s="12" t="s">
        <v>31</v>
      </c>
      <c r="C42" s="20">
        <f t="shared" si="3"/>
        <v>2</v>
      </c>
      <c r="D42" s="24">
        <f t="shared" si="4"/>
        <v>2</v>
      </c>
      <c r="E42" s="20">
        <f t="shared" si="5"/>
        <v>2</v>
      </c>
      <c r="F42" s="20">
        <f t="shared" si="6"/>
        <v>2</v>
      </c>
      <c r="G42" s="49">
        <v>0.77400000000000002</v>
      </c>
      <c r="H42" s="49">
        <v>7.0000000000000007E-2</v>
      </c>
      <c r="I42" s="9" t="str">
        <f t="shared" si="0"/>
        <v>Доля утилизации и обезвреживания ТКО в 1пг 2024 г. 77%</v>
      </c>
      <c r="J42" s="9" t="str">
        <f t="shared" si="1"/>
        <v>План по утилизации и обезвреживания ТКО в 2028 г. 7%</v>
      </c>
      <c r="K42" s="67" t="s">
        <v>111</v>
      </c>
      <c r="L42" s="8" t="str">
        <f t="shared" si="2"/>
        <v>7/77  (-70)</v>
      </c>
    </row>
    <row r="43" spans="2:12">
      <c r="B43" s="12" t="s">
        <v>32</v>
      </c>
      <c r="C43" s="20">
        <f t="shared" si="3"/>
        <v>2</v>
      </c>
      <c r="D43" s="24">
        <f t="shared" si="4"/>
        <v>1.5</v>
      </c>
      <c r="E43" s="20">
        <f t="shared" si="5"/>
        <v>2</v>
      </c>
      <c r="F43" s="20">
        <f t="shared" si="6"/>
        <v>1</v>
      </c>
      <c r="G43" s="49">
        <v>2.6000000000000002E-2</v>
      </c>
      <c r="H43" s="49">
        <v>0.192</v>
      </c>
      <c r="I43" s="9" t="str">
        <f t="shared" si="0"/>
        <v>Доля утилизации и обезвреживания ТКО в 1пг 2024 г. 3%</v>
      </c>
      <c r="J43" s="9" t="str">
        <f t="shared" si="1"/>
        <v>План по утилизации и обезвреживания ТКО в 2028 г. 19%</v>
      </c>
      <c r="K43" s="67"/>
      <c r="L43" s="8" t="str">
        <f t="shared" si="2"/>
        <v>19/3  (17)</v>
      </c>
    </row>
    <row r="44" spans="2:12">
      <c r="B44" s="12" t="s">
        <v>33</v>
      </c>
      <c r="C44" s="20">
        <f t="shared" si="3"/>
        <v>2</v>
      </c>
      <c r="D44" s="24">
        <f t="shared" si="4"/>
        <v>1.5</v>
      </c>
      <c r="E44" s="20">
        <f t="shared" si="5"/>
        <v>2</v>
      </c>
      <c r="F44" s="20">
        <f t="shared" si="6"/>
        <v>1</v>
      </c>
      <c r="G44" s="49">
        <v>3.3000000000000002E-2</v>
      </c>
      <c r="H44" s="49">
        <v>0.20399999999999999</v>
      </c>
      <c r="I44" s="9" t="str">
        <f t="shared" si="0"/>
        <v>Доля утилизации и обезвреживания ТКО в 1пг 2024 г. 3%</v>
      </c>
      <c r="J44" s="9" t="str">
        <f t="shared" si="1"/>
        <v>План по утилизации и обезвреживания ТКО в 2028 г. 20%</v>
      </c>
      <c r="K44" s="67"/>
      <c r="L44" s="8" t="str">
        <f t="shared" si="2"/>
        <v>20/3  (17)</v>
      </c>
    </row>
    <row r="45" spans="2:12">
      <c r="B45" s="12" t="s">
        <v>34</v>
      </c>
      <c r="C45" s="20">
        <f t="shared" si="3"/>
        <v>2</v>
      </c>
      <c r="D45" s="24">
        <f t="shared" si="4"/>
        <v>1.5</v>
      </c>
      <c r="E45" s="20">
        <f t="shared" si="5"/>
        <v>2</v>
      </c>
      <c r="F45" s="20">
        <f t="shared" si="6"/>
        <v>1</v>
      </c>
      <c r="G45" s="49">
        <v>0.01</v>
      </c>
      <c r="H45" s="49">
        <v>0.25</v>
      </c>
      <c r="I45" s="9" t="str">
        <f t="shared" si="0"/>
        <v>Доля утилизации и обезвреживания ТКО в 1пг 2024 г. 1%</v>
      </c>
      <c r="J45" s="9" t="str">
        <f t="shared" si="1"/>
        <v>План по утилизации и обезвреживания ТКО в 2028 г. 25%</v>
      </c>
      <c r="K45" s="67"/>
      <c r="L45" s="8" t="str">
        <f t="shared" si="2"/>
        <v>25/1  (24)</v>
      </c>
    </row>
    <row r="46" spans="2:12">
      <c r="B46" s="12" t="s">
        <v>35</v>
      </c>
      <c r="C46" s="20">
        <f t="shared" si="3"/>
        <v>1</v>
      </c>
      <c r="D46" s="24">
        <f t="shared" si="4"/>
        <v>1</v>
      </c>
      <c r="E46" s="20">
        <f t="shared" si="5"/>
        <v>2</v>
      </c>
      <c r="F46" s="20">
        <f t="shared" si="6"/>
        <v>0</v>
      </c>
      <c r="G46" s="49">
        <v>1.4999999999999999E-2</v>
      </c>
      <c r="H46" s="49">
        <v>0.3</v>
      </c>
      <c r="I46" s="9" t="str">
        <f t="shared" si="0"/>
        <v>Доля утилизации и обезвреживания ТКО в 1пг 2024 г. 2%</v>
      </c>
      <c r="J46" s="9" t="str">
        <f t="shared" si="1"/>
        <v>План по утилизации и обезвреживания ТКО в 2028 г. 30%</v>
      </c>
      <c r="K46" s="67"/>
      <c r="L46" s="8" t="str">
        <f t="shared" si="2"/>
        <v>30/2  (29)</v>
      </c>
    </row>
    <row r="47" spans="2:12">
      <c r="B47" s="12" t="s">
        <v>36</v>
      </c>
      <c r="C47" s="20">
        <f t="shared" si="3"/>
        <v>0</v>
      </c>
      <c r="D47" s="24">
        <f t="shared" si="4"/>
        <v>0.5</v>
      </c>
      <c r="E47" s="20">
        <f t="shared" si="5"/>
        <v>1</v>
      </c>
      <c r="F47" s="20">
        <f t="shared" si="6"/>
        <v>0</v>
      </c>
      <c r="G47" s="49">
        <v>0.08</v>
      </c>
      <c r="H47" s="49">
        <v>0.5</v>
      </c>
      <c r="I47" s="9" t="str">
        <f t="shared" si="0"/>
        <v>Доля утилизации и обезвреживания ТКО в 1пг 2024 г. 8%</v>
      </c>
      <c r="J47" s="9" t="str">
        <f t="shared" si="1"/>
        <v>План по утилизации и обезвреживания ТКО в 2028 г. 50%</v>
      </c>
      <c r="K47" s="67"/>
      <c r="L47" s="8" t="str">
        <f t="shared" si="2"/>
        <v>50/8  (42)</v>
      </c>
    </row>
    <row r="48" spans="2:12">
      <c r="B48" s="12" t="s">
        <v>37</v>
      </c>
      <c r="C48" s="20">
        <f t="shared" si="3"/>
        <v>2</v>
      </c>
      <c r="D48" s="24">
        <f t="shared" si="4"/>
        <v>1.5</v>
      </c>
      <c r="E48" s="20">
        <f t="shared" si="5"/>
        <v>2</v>
      </c>
      <c r="F48" s="20">
        <f t="shared" si="6"/>
        <v>1</v>
      </c>
      <c r="G48" s="49">
        <v>0.03</v>
      </c>
      <c r="H48" s="49">
        <v>0.21</v>
      </c>
      <c r="I48" s="9" t="str">
        <f t="shared" si="0"/>
        <v>Доля утилизации и обезвреживания ТКО в 1пг 2024 г. 3%</v>
      </c>
      <c r="J48" s="9" t="str">
        <f t="shared" si="1"/>
        <v>План по утилизации и обезвреживания ТКО в 2028 г. 21%</v>
      </c>
      <c r="K48" s="67"/>
      <c r="L48" s="8" t="str">
        <f t="shared" si="2"/>
        <v>21/3  (18)</v>
      </c>
    </row>
    <row r="49" spans="2:12">
      <c r="B49" s="12" t="s">
        <v>581</v>
      </c>
      <c r="C49" s="20">
        <f t="shared" si="3"/>
        <v>0</v>
      </c>
      <c r="D49" s="24">
        <f t="shared" si="4"/>
        <v>0</v>
      </c>
      <c r="E49" s="66">
        <v>0</v>
      </c>
      <c r="F49" s="66">
        <v>0</v>
      </c>
      <c r="G49" s="49"/>
      <c r="H49" s="49"/>
      <c r="I49" s="9" t="str">
        <f t="shared" si="0"/>
        <v>Доля утилизации и обезвреживания ТКО в 1пг 2024 г. 0%</v>
      </c>
      <c r="J49" s="9" t="str">
        <f t="shared" si="1"/>
        <v>План по утилизации и обезвреживания ТКО в 2028 г. 0%</v>
      </c>
      <c r="K49" s="67"/>
      <c r="L49" s="8" t="str">
        <f t="shared" si="2"/>
        <v>0/0  (0)</v>
      </c>
    </row>
    <row r="50" spans="2:12">
      <c r="B50" s="12" t="s">
        <v>38</v>
      </c>
      <c r="C50" s="20">
        <f t="shared" si="3"/>
        <v>1</v>
      </c>
      <c r="D50" s="24">
        <f t="shared" si="4"/>
        <v>1</v>
      </c>
      <c r="E50" s="20">
        <f t="shared" si="5"/>
        <v>2</v>
      </c>
      <c r="F50" s="20">
        <f t="shared" si="6"/>
        <v>0</v>
      </c>
      <c r="G50" s="49">
        <v>0</v>
      </c>
      <c r="H50" s="49">
        <v>0.4</v>
      </c>
      <c r="I50" s="9" t="str">
        <f t="shared" si="0"/>
        <v>Доля утилизации и обезвреживания ТКО в 1пг 2024 г. 0%</v>
      </c>
      <c r="J50" s="9" t="str">
        <f t="shared" si="1"/>
        <v>План по утилизации и обезвреживания ТКО в 2028 г. 40%</v>
      </c>
      <c r="K50" s="67"/>
      <c r="L50" s="8" t="str">
        <f t="shared" si="2"/>
        <v>40/0  (40)</v>
      </c>
    </row>
    <row r="51" spans="2:12">
      <c r="B51" s="12" t="s">
        <v>39</v>
      </c>
      <c r="C51" s="20">
        <f t="shared" si="3"/>
        <v>0</v>
      </c>
      <c r="D51" s="24">
        <f t="shared" si="4"/>
        <v>0</v>
      </c>
      <c r="E51" s="20">
        <f t="shared" si="5"/>
        <v>0</v>
      </c>
      <c r="F51" s="20">
        <f t="shared" si="6"/>
        <v>0</v>
      </c>
      <c r="G51" s="49">
        <v>0.5</v>
      </c>
      <c r="H51" s="49">
        <v>0.6</v>
      </c>
      <c r="I51" s="9" t="str">
        <f t="shared" si="0"/>
        <v>Доля утилизации и обезвреживания ТКО в 1пг 2024 г. 50%</v>
      </c>
      <c r="J51" s="9" t="str">
        <f t="shared" si="1"/>
        <v>План по утилизации и обезвреживания ТКО в 2028 г. 60%</v>
      </c>
      <c r="K51" s="67"/>
      <c r="L51" s="8" t="str">
        <f t="shared" si="2"/>
        <v>60/50  (10)</v>
      </c>
    </row>
    <row r="52" spans="2:12">
      <c r="B52" s="12" t="s">
        <v>40</v>
      </c>
      <c r="C52" s="20">
        <f t="shared" si="3"/>
        <v>2</v>
      </c>
      <c r="D52" s="24">
        <f t="shared" si="4"/>
        <v>1.5</v>
      </c>
      <c r="E52" s="20">
        <f t="shared" si="5"/>
        <v>1</v>
      </c>
      <c r="F52" s="20">
        <f t="shared" si="6"/>
        <v>2</v>
      </c>
      <c r="G52" s="49">
        <v>7.0000000000000007E-2</v>
      </c>
      <c r="H52" s="49">
        <v>6.3E-2</v>
      </c>
      <c r="I52" s="9" t="str">
        <f t="shared" si="0"/>
        <v>Доля утилизации и обезвреживания ТКО в 1пг 2024 г. 7%</v>
      </c>
      <c r="J52" s="9" t="str">
        <f t="shared" si="1"/>
        <v>План по утилизации и обезвреживания ТКО в 2028 г. 6%</v>
      </c>
      <c r="K52" s="67"/>
      <c r="L52" s="8" t="str">
        <f t="shared" si="2"/>
        <v>6/7  (-1)</v>
      </c>
    </row>
    <row r="53" spans="2:12">
      <c r="B53" s="12" t="s">
        <v>41</v>
      </c>
      <c r="C53" s="20">
        <f t="shared" si="3"/>
        <v>2</v>
      </c>
      <c r="D53" s="24">
        <f t="shared" si="4"/>
        <v>1.5</v>
      </c>
      <c r="E53" s="20">
        <f t="shared" si="5"/>
        <v>1</v>
      </c>
      <c r="F53" s="20">
        <f t="shared" si="6"/>
        <v>2</v>
      </c>
      <c r="G53" s="49">
        <v>9.0999999999999998E-2</v>
      </c>
      <c r="H53" s="49">
        <v>7.0000000000000007E-2</v>
      </c>
      <c r="I53" s="9" t="str">
        <f t="shared" si="0"/>
        <v>Доля утилизации и обезвреживания ТКО в 1пг 2024 г. 9%</v>
      </c>
      <c r="J53" s="9" t="str">
        <f t="shared" si="1"/>
        <v>План по утилизации и обезвреживания ТКО в 2028 г. 7%</v>
      </c>
      <c r="K53" s="67"/>
      <c r="L53" s="8" t="str">
        <f t="shared" si="2"/>
        <v>7/9  (-2)</v>
      </c>
    </row>
    <row r="54" spans="2:12">
      <c r="B54" s="12" t="s">
        <v>42</v>
      </c>
      <c r="C54" s="20">
        <f t="shared" si="3"/>
        <v>1</v>
      </c>
      <c r="D54" s="24">
        <f t="shared" si="4"/>
        <v>1</v>
      </c>
      <c r="E54" s="20">
        <f t="shared" si="5"/>
        <v>1</v>
      </c>
      <c r="F54" s="20">
        <f t="shared" si="6"/>
        <v>1</v>
      </c>
      <c r="G54" s="49">
        <v>0.125</v>
      </c>
      <c r="H54" s="49">
        <v>0.182</v>
      </c>
      <c r="I54" s="9" t="str">
        <f t="shared" si="0"/>
        <v>Доля утилизации и обезвреживания ТКО в 1пг 2024 г. 13%</v>
      </c>
      <c r="J54" s="9" t="str">
        <f t="shared" si="1"/>
        <v>План по утилизации и обезвреживания ТКО в 2028 г. 18%</v>
      </c>
      <c r="K54" s="67"/>
      <c r="L54" s="8" t="str">
        <f t="shared" si="2"/>
        <v>18/13  (6)</v>
      </c>
    </row>
    <row r="55" spans="2:12">
      <c r="B55" s="12" t="s">
        <v>43</v>
      </c>
      <c r="C55" s="20">
        <f t="shared" si="3"/>
        <v>2</v>
      </c>
      <c r="D55" s="24">
        <f t="shared" si="4"/>
        <v>1.5</v>
      </c>
      <c r="E55" s="20">
        <f t="shared" si="5"/>
        <v>1</v>
      </c>
      <c r="F55" s="20">
        <f t="shared" si="6"/>
        <v>2</v>
      </c>
      <c r="G55" s="49">
        <v>0.129</v>
      </c>
      <c r="H55" s="49">
        <v>7.8E-2</v>
      </c>
      <c r="I55" s="9" t="str">
        <f t="shared" si="0"/>
        <v>Доля утилизации и обезвреживания ТКО в 1пг 2024 г. 13%</v>
      </c>
      <c r="J55" s="9" t="str">
        <f t="shared" si="1"/>
        <v>План по утилизации и обезвреживания ТКО в 2028 г. 8%</v>
      </c>
      <c r="K55" s="67"/>
      <c r="L55" s="8" t="str">
        <f t="shared" si="2"/>
        <v>8/13  (-5)</v>
      </c>
    </row>
    <row r="56" spans="2:12">
      <c r="B56" s="12" t="s">
        <v>44</v>
      </c>
      <c r="C56" s="20">
        <f t="shared" si="3"/>
        <v>1</v>
      </c>
      <c r="D56" s="24">
        <f t="shared" si="4"/>
        <v>1</v>
      </c>
      <c r="E56" s="20">
        <f t="shared" si="5"/>
        <v>2</v>
      </c>
      <c r="F56" s="20">
        <f t="shared" si="6"/>
        <v>0</v>
      </c>
      <c r="G56" s="49">
        <v>2.4E-2</v>
      </c>
      <c r="H56" s="49">
        <v>0.43200000000000005</v>
      </c>
      <c r="I56" s="9" t="str">
        <f t="shared" si="0"/>
        <v>Доля утилизации и обезвреживания ТКО в 1пг 2024 г. 2%</v>
      </c>
      <c r="J56" s="9" t="str">
        <f t="shared" si="1"/>
        <v>План по утилизации и обезвреживания ТКО в 2028 г. 43%</v>
      </c>
      <c r="K56" s="67"/>
      <c r="L56" s="8" t="str">
        <f t="shared" si="2"/>
        <v>43/2  (41)</v>
      </c>
    </row>
    <row r="57" spans="2:12">
      <c r="B57" s="12" t="s">
        <v>45</v>
      </c>
      <c r="C57" s="20">
        <f t="shared" si="3"/>
        <v>1</v>
      </c>
      <c r="D57" s="24">
        <f t="shared" si="4"/>
        <v>1</v>
      </c>
      <c r="E57" s="20">
        <f t="shared" si="5"/>
        <v>2</v>
      </c>
      <c r="F57" s="20">
        <f t="shared" si="6"/>
        <v>0</v>
      </c>
      <c r="G57" s="49">
        <v>1.9E-2</v>
      </c>
      <c r="H57" s="49">
        <v>0.309</v>
      </c>
      <c r="I57" s="9" t="str">
        <f t="shared" si="0"/>
        <v>Доля утилизации и обезвреживания ТКО в 1пг 2024 г. 2%</v>
      </c>
      <c r="J57" s="9" t="str">
        <f t="shared" si="1"/>
        <v>План по утилизации и обезвреживания ТКО в 2028 г. 31%</v>
      </c>
      <c r="K57" s="67"/>
      <c r="L57" s="8" t="str">
        <f t="shared" si="2"/>
        <v>31/2  (29)</v>
      </c>
    </row>
    <row r="58" spans="2:12">
      <c r="B58" s="12" t="s">
        <v>46</v>
      </c>
      <c r="C58" s="20">
        <f t="shared" si="3"/>
        <v>2</v>
      </c>
      <c r="D58" s="24">
        <f t="shared" si="4"/>
        <v>1.5</v>
      </c>
      <c r="E58" s="20">
        <f t="shared" si="5"/>
        <v>2</v>
      </c>
      <c r="F58" s="20">
        <f t="shared" si="6"/>
        <v>1</v>
      </c>
      <c r="G58" s="49">
        <v>2.2000000000000002E-2</v>
      </c>
      <c r="H58" s="49">
        <v>0.28000000000000003</v>
      </c>
      <c r="I58" s="9" t="str">
        <f t="shared" si="0"/>
        <v>Доля утилизации и обезвреживания ТКО в 1пг 2024 г. 2%</v>
      </c>
      <c r="J58" s="9" t="str">
        <f t="shared" si="1"/>
        <v>План по утилизации и обезвреживания ТКО в 2028 г. 28%</v>
      </c>
      <c r="K58" s="67"/>
      <c r="L58" s="8" t="str">
        <f t="shared" si="2"/>
        <v>28/2  (26)</v>
      </c>
    </row>
    <row r="59" spans="2:12">
      <c r="B59" s="12" t="s">
        <v>47</v>
      </c>
      <c r="C59" s="20">
        <f t="shared" si="3"/>
        <v>1</v>
      </c>
      <c r="D59" s="24">
        <f t="shared" si="4"/>
        <v>1</v>
      </c>
      <c r="E59" s="20">
        <f t="shared" si="5"/>
        <v>0</v>
      </c>
      <c r="F59" s="20">
        <f t="shared" si="6"/>
        <v>2</v>
      </c>
      <c r="G59" s="49">
        <v>0.218</v>
      </c>
      <c r="H59" s="49">
        <v>0.105</v>
      </c>
      <c r="I59" s="9" t="str">
        <f t="shared" si="0"/>
        <v>Доля утилизации и обезвреживания ТКО в 1пг 2024 г. 22%</v>
      </c>
      <c r="J59" s="9" t="str">
        <f t="shared" si="1"/>
        <v>План по утилизации и обезвреживания ТКО в 2028 г. 11%</v>
      </c>
      <c r="K59" s="67"/>
      <c r="L59" s="8" t="str">
        <f t="shared" si="2"/>
        <v>11/22  (-11)</v>
      </c>
    </row>
    <row r="60" spans="2:12">
      <c r="B60" s="12" t="s">
        <v>48</v>
      </c>
      <c r="C60" s="20">
        <f t="shared" si="3"/>
        <v>2</v>
      </c>
      <c r="D60" s="24">
        <f t="shared" si="4"/>
        <v>2</v>
      </c>
      <c r="E60" s="20">
        <f t="shared" si="5"/>
        <v>2</v>
      </c>
      <c r="F60" s="20">
        <f t="shared" si="6"/>
        <v>2</v>
      </c>
      <c r="G60" s="49">
        <v>1.6E-2</v>
      </c>
      <c r="H60" s="49">
        <v>1.4999999999999999E-2</v>
      </c>
      <c r="I60" s="9" t="str">
        <f t="shared" si="0"/>
        <v>Доля утилизации и обезвреживания ТКО в 1пг 2024 г. 2%</v>
      </c>
      <c r="J60" s="9" t="str">
        <f t="shared" si="1"/>
        <v>План по утилизации и обезвреживания ТКО в 2028 г. 2%</v>
      </c>
      <c r="K60" s="67"/>
      <c r="L60" s="8" t="str">
        <f t="shared" si="2"/>
        <v>2/2  (0)</v>
      </c>
    </row>
    <row r="61" spans="2:12">
      <c r="B61" s="12" t="s">
        <v>49</v>
      </c>
      <c r="C61" s="20">
        <f t="shared" si="3"/>
        <v>2</v>
      </c>
      <c r="D61" s="24">
        <f t="shared" si="4"/>
        <v>2</v>
      </c>
      <c r="E61" s="20">
        <f t="shared" si="5"/>
        <v>2</v>
      </c>
      <c r="F61" s="20">
        <f t="shared" si="6"/>
        <v>2</v>
      </c>
      <c r="G61" s="49">
        <v>6.2E-2</v>
      </c>
      <c r="H61" s="49">
        <v>0.105</v>
      </c>
      <c r="I61" s="9" t="str">
        <f t="shared" si="0"/>
        <v>Доля утилизации и обезвреживания ТКО в 1пг 2024 г. 6%</v>
      </c>
      <c r="J61" s="9" t="str">
        <f t="shared" si="1"/>
        <v>План по утилизации и обезвреживания ТКО в 2028 г. 11%</v>
      </c>
      <c r="K61" s="67"/>
      <c r="L61" s="8" t="str">
        <f t="shared" si="2"/>
        <v>11/6  (4)</v>
      </c>
    </row>
    <row r="62" spans="2:12">
      <c r="B62" s="12" t="s">
        <v>50</v>
      </c>
      <c r="C62" s="20">
        <f t="shared" si="3"/>
        <v>2</v>
      </c>
      <c r="D62" s="24">
        <f t="shared" si="4"/>
        <v>1.5</v>
      </c>
      <c r="E62" s="20">
        <f t="shared" si="5"/>
        <v>2</v>
      </c>
      <c r="F62" s="20">
        <f t="shared" si="6"/>
        <v>1</v>
      </c>
      <c r="G62" s="49">
        <v>0.02</v>
      </c>
      <c r="H62" s="49">
        <v>0.16899999999999998</v>
      </c>
      <c r="I62" s="9" t="str">
        <f t="shared" si="0"/>
        <v>Доля утилизации и обезвреживания ТКО в 1пг 2024 г. 2%</v>
      </c>
      <c r="J62" s="9" t="str">
        <f t="shared" si="1"/>
        <v>План по утилизации и обезвреживания ТКО в 2028 г. 17%</v>
      </c>
      <c r="K62" s="67"/>
      <c r="L62" s="8" t="str">
        <f t="shared" si="2"/>
        <v>17/2  (15)</v>
      </c>
    </row>
    <row r="63" spans="2:12">
      <c r="B63" s="12" t="s">
        <v>51</v>
      </c>
      <c r="C63" s="20">
        <f t="shared" si="3"/>
        <v>0</v>
      </c>
      <c r="D63" s="24">
        <f t="shared" si="4"/>
        <v>0.5</v>
      </c>
      <c r="E63" s="20">
        <f t="shared" si="5"/>
        <v>1</v>
      </c>
      <c r="F63" s="20">
        <f t="shared" si="6"/>
        <v>0</v>
      </c>
      <c r="G63" s="49">
        <v>8.3000000000000004E-2</v>
      </c>
      <c r="H63" s="49">
        <v>0.5</v>
      </c>
      <c r="I63" s="9" t="str">
        <f t="shared" si="0"/>
        <v>Доля утилизации и обезвреживания ТКО в 1пг 2024 г. 8%</v>
      </c>
      <c r="J63" s="9" t="str">
        <f t="shared" si="1"/>
        <v>План по утилизации и обезвреживания ТКО в 2028 г. 50%</v>
      </c>
      <c r="K63" s="67"/>
      <c r="L63" s="8" t="str">
        <f t="shared" si="2"/>
        <v>50/8  (42)</v>
      </c>
    </row>
    <row r="64" spans="2:12">
      <c r="B64" s="12" t="s">
        <v>52</v>
      </c>
      <c r="C64" s="20">
        <f t="shared" si="3"/>
        <v>0</v>
      </c>
      <c r="D64" s="24">
        <f t="shared" si="4"/>
        <v>0.5</v>
      </c>
      <c r="E64" s="20">
        <f t="shared" si="5"/>
        <v>1</v>
      </c>
      <c r="F64" s="20">
        <f t="shared" si="6"/>
        <v>0</v>
      </c>
      <c r="G64" s="49">
        <v>0.12300000000000001</v>
      </c>
      <c r="H64" s="49">
        <v>0.5</v>
      </c>
      <c r="I64" s="9" t="str">
        <f t="shared" si="0"/>
        <v>Доля утилизации и обезвреживания ТКО в 1пг 2024 г. 12%</v>
      </c>
      <c r="J64" s="9" t="str">
        <f t="shared" si="1"/>
        <v>План по утилизации и обезвреживания ТКО в 2028 г. 50%</v>
      </c>
      <c r="K64" s="67"/>
      <c r="L64" s="8" t="str">
        <f t="shared" si="2"/>
        <v>50/12  (38)</v>
      </c>
    </row>
    <row r="65" spans="2:12">
      <c r="B65" s="12" t="s">
        <v>53</v>
      </c>
      <c r="C65" s="20">
        <f t="shared" si="3"/>
        <v>2</v>
      </c>
      <c r="D65" s="24">
        <f t="shared" si="4"/>
        <v>1.5</v>
      </c>
      <c r="E65" s="20">
        <f t="shared" si="5"/>
        <v>2</v>
      </c>
      <c r="F65" s="20">
        <f t="shared" si="6"/>
        <v>1</v>
      </c>
      <c r="G65" s="49">
        <v>0</v>
      </c>
      <c r="H65" s="49">
        <v>0.25</v>
      </c>
      <c r="I65" s="9" t="str">
        <f t="shared" si="0"/>
        <v>Доля утилизации и обезвреживания ТКО в 1пг 2024 г. 0%</v>
      </c>
      <c r="J65" s="9" t="str">
        <f t="shared" si="1"/>
        <v>План по утилизации и обезвреживания ТКО в 2028 г. 25%</v>
      </c>
      <c r="K65" s="67"/>
      <c r="L65" s="8" t="str">
        <f t="shared" si="2"/>
        <v>25/0  (25)</v>
      </c>
    </row>
    <row r="66" spans="2:12">
      <c r="B66" s="12" t="s">
        <v>3</v>
      </c>
      <c r="C66" s="20">
        <f t="shared" si="3"/>
        <v>1</v>
      </c>
      <c r="D66" s="24">
        <f t="shared" si="4"/>
        <v>1</v>
      </c>
      <c r="E66" s="20">
        <f t="shared" si="5"/>
        <v>2</v>
      </c>
      <c r="F66" s="20">
        <f t="shared" si="6"/>
        <v>0</v>
      </c>
      <c r="G66" s="49">
        <v>5.7999999999999996E-2</v>
      </c>
      <c r="H66" s="49">
        <v>0.34899999999999998</v>
      </c>
      <c r="I66" s="9" t="str">
        <f t="shared" si="0"/>
        <v>Доля утилизации и обезвреживания ТКО в 1пг 2024 г. 6%</v>
      </c>
      <c r="J66" s="9" t="str">
        <f t="shared" si="1"/>
        <v>План по утилизации и обезвреживания ТКО в 2028 г. 35%</v>
      </c>
      <c r="K66" s="67"/>
      <c r="L66" s="8" t="str">
        <f t="shared" si="2"/>
        <v>35/6  (29)</v>
      </c>
    </row>
    <row r="67" spans="2:12">
      <c r="B67" s="12" t="s">
        <v>54</v>
      </c>
      <c r="C67" s="20">
        <f t="shared" si="3"/>
        <v>2</v>
      </c>
      <c r="D67" s="24">
        <f t="shared" si="4"/>
        <v>1.5</v>
      </c>
      <c r="E67" s="20">
        <f t="shared" si="5"/>
        <v>2</v>
      </c>
      <c r="F67" s="20">
        <f t="shared" si="6"/>
        <v>1</v>
      </c>
      <c r="G67" s="49">
        <v>0</v>
      </c>
      <c r="H67" s="49">
        <v>0.27147300000000002</v>
      </c>
      <c r="I67" s="9" t="str">
        <f t="shared" si="0"/>
        <v>Доля утилизации и обезвреживания ТКО в 1пг 2024 г. 0%</v>
      </c>
      <c r="J67" s="9" t="str">
        <f t="shared" si="1"/>
        <v>План по утилизации и обезвреживания ТКО в 2028 г. 27%</v>
      </c>
      <c r="K67" s="67"/>
      <c r="L67" s="8" t="str">
        <f t="shared" si="2"/>
        <v>27/0  (27)</v>
      </c>
    </row>
    <row r="68" spans="2:12">
      <c r="B68" s="12" t="s">
        <v>55</v>
      </c>
      <c r="C68" s="20">
        <f t="shared" si="3"/>
        <v>1</v>
      </c>
      <c r="D68" s="24">
        <f t="shared" si="4"/>
        <v>1</v>
      </c>
      <c r="E68" s="20">
        <f t="shared" si="5"/>
        <v>2</v>
      </c>
      <c r="F68" s="20">
        <f t="shared" si="6"/>
        <v>0</v>
      </c>
      <c r="G68" s="49">
        <v>0</v>
      </c>
      <c r="H68" s="49">
        <v>0.5</v>
      </c>
      <c r="I68" s="9" t="str">
        <f t="shared" si="0"/>
        <v>Доля утилизации и обезвреживания ТКО в 1пг 2024 г. 0%</v>
      </c>
      <c r="J68" s="9" t="str">
        <f t="shared" si="1"/>
        <v>План по утилизации и обезвреживания ТКО в 2028 г. 50%</v>
      </c>
      <c r="K68" s="67"/>
      <c r="L68" s="8" t="str">
        <f t="shared" si="2"/>
        <v>50/0  (50)</v>
      </c>
    </row>
    <row r="69" spans="2:12">
      <c r="B69" s="12" t="s">
        <v>56</v>
      </c>
      <c r="C69" s="20">
        <f t="shared" si="3"/>
        <v>1</v>
      </c>
      <c r="D69" s="24">
        <f t="shared" si="4"/>
        <v>1</v>
      </c>
      <c r="E69" s="20">
        <f t="shared" si="5"/>
        <v>2</v>
      </c>
      <c r="F69" s="20">
        <f t="shared" si="6"/>
        <v>0</v>
      </c>
      <c r="G69" s="49">
        <v>0.35</v>
      </c>
      <c r="H69" s="49">
        <v>0.5</v>
      </c>
      <c r="I69" s="9" t="str">
        <f t="shared" si="0"/>
        <v>Доля утилизации и обезвреживания ТКО в 1пг 2024 г. 35%</v>
      </c>
      <c r="J69" s="9" t="str">
        <f t="shared" si="1"/>
        <v>План по утилизации и обезвреживания ТКО в 2028 г. 50%</v>
      </c>
      <c r="K69" s="67" t="s">
        <v>111</v>
      </c>
      <c r="L69" s="8" t="str">
        <f t="shared" si="2"/>
        <v>50/35  (15)</v>
      </c>
    </row>
    <row r="70" spans="2:12">
      <c r="B70" s="12" t="s">
        <v>57</v>
      </c>
      <c r="C70" s="20">
        <f t="shared" si="3"/>
        <v>2</v>
      </c>
      <c r="D70" s="24">
        <f t="shared" si="4"/>
        <v>1.5</v>
      </c>
      <c r="E70" s="20">
        <f t="shared" si="5"/>
        <v>2</v>
      </c>
      <c r="F70" s="20">
        <f t="shared" si="6"/>
        <v>1</v>
      </c>
      <c r="G70" s="49">
        <v>0</v>
      </c>
      <c r="H70" s="49">
        <v>0.25</v>
      </c>
      <c r="I70" s="9" t="str">
        <f t="shared" si="0"/>
        <v>Доля утилизации и обезвреживания ТКО в 1пг 2024 г. 0%</v>
      </c>
      <c r="J70" s="9" t="str">
        <f t="shared" si="1"/>
        <v>План по утилизации и обезвреживания ТКО в 2028 г. 25%</v>
      </c>
      <c r="K70" s="67"/>
      <c r="L70" s="8" t="str">
        <f t="shared" si="2"/>
        <v>25/0  (25)</v>
      </c>
    </row>
    <row r="71" spans="2:12">
      <c r="B71" s="12" t="s">
        <v>58</v>
      </c>
      <c r="C71" s="20">
        <f t="shared" si="3"/>
        <v>2</v>
      </c>
      <c r="D71" s="24">
        <f t="shared" si="4"/>
        <v>2</v>
      </c>
      <c r="E71" s="20">
        <f t="shared" si="5"/>
        <v>2</v>
      </c>
      <c r="F71" s="20">
        <f t="shared" si="6"/>
        <v>2</v>
      </c>
      <c r="G71" s="49">
        <v>8.0000000000000002E-3</v>
      </c>
      <c r="H71" s="49">
        <v>6.3E-2</v>
      </c>
      <c r="I71" s="9" t="str">
        <f t="shared" si="0"/>
        <v>Доля утилизации и обезвреживания ТКО в 1пг 2024 г. 1%</v>
      </c>
      <c r="J71" s="9" t="str">
        <f t="shared" si="1"/>
        <v>План по утилизации и обезвреживания ТКО в 2028 г. 6%</v>
      </c>
      <c r="K71" s="67"/>
      <c r="L71" s="8" t="str">
        <f t="shared" si="2"/>
        <v>6/1  (6)</v>
      </c>
    </row>
    <row r="72" spans="2:12">
      <c r="B72" s="12" t="s">
        <v>59</v>
      </c>
      <c r="C72" s="20">
        <f t="shared" si="3"/>
        <v>2</v>
      </c>
      <c r="D72" s="24">
        <f t="shared" si="4"/>
        <v>2</v>
      </c>
      <c r="E72" s="20">
        <f t="shared" si="5"/>
        <v>2</v>
      </c>
      <c r="F72" s="20">
        <f t="shared" si="6"/>
        <v>2</v>
      </c>
      <c r="G72" s="49">
        <v>0</v>
      </c>
      <c r="H72" s="49">
        <v>0.1</v>
      </c>
      <c r="I72" s="9" t="str">
        <f t="shared" si="0"/>
        <v>Доля утилизации и обезвреживания ТКО в 1пг 2024 г. 0%</v>
      </c>
      <c r="J72" s="9" t="str">
        <f t="shared" si="1"/>
        <v>План по утилизации и обезвреживания ТКО в 2028 г. 10%</v>
      </c>
      <c r="K72" s="67"/>
      <c r="L72" s="8" t="str">
        <f t="shared" si="2"/>
        <v>10/0  (10)</v>
      </c>
    </row>
    <row r="73" spans="2:12">
      <c r="B73" s="12" t="s">
        <v>60</v>
      </c>
      <c r="C73" s="20">
        <f t="shared" si="3"/>
        <v>1</v>
      </c>
      <c r="D73" s="24">
        <f t="shared" si="4"/>
        <v>1</v>
      </c>
      <c r="E73" s="20">
        <f t="shared" si="5"/>
        <v>2</v>
      </c>
      <c r="F73" s="20">
        <f t="shared" si="6"/>
        <v>0</v>
      </c>
      <c r="G73" s="49">
        <v>1.8000000000000002E-2</v>
      </c>
      <c r="H73" s="49">
        <v>0.5</v>
      </c>
      <c r="I73" s="9" t="str">
        <f t="shared" si="0"/>
        <v>Доля утилизации и обезвреживания ТКО в 1пг 2024 г. 2%</v>
      </c>
      <c r="J73" s="9" t="str">
        <f t="shared" si="1"/>
        <v>План по утилизации и обезвреживания ТКО в 2028 г. 50%</v>
      </c>
      <c r="K73" s="67"/>
      <c r="L73" s="8" t="str">
        <f t="shared" si="2"/>
        <v>50/2  (48)</v>
      </c>
    </row>
    <row r="74" spans="2:12">
      <c r="B74" s="12" t="s">
        <v>61</v>
      </c>
      <c r="C74" s="20">
        <f t="shared" si="3"/>
        <v>2</v>
      </c>
      <c r="D74" s="24">
        <f t="shared" si="4"/>
        <v>2</v>
      </c>
      <c r="E74" s="20">
        <f t="shared" si="5"/>
        <v>2</v>
      </c>
      <c r="F74" s="20">
        <f t="shared" si="6"/>
        <v>2</v>
      </c>
      <c r="G74" s="49">
        <v>9.0000000000000011E-3</v>
      </c>
      <c r="H74" s="49">
        <v>0.08</v>
      </c>
      <c r="I74" s="9" t="str">
        <f t="shared" si="0"/>
        <v>Доля утилизации и обезвреживания ТКО в 1пг 2024 г. 1%</v>
      </c>
      <c r="J74" s="9" t="str">
        <f t="shared" si="1"/>
        <v>План по утилизации и обезвреживания ТКО в 2028 г. 8%</v>
      </c>
      <c r="K74" s="67"/>
      <c r="L74" s="8" t="str">
        <f t="shared" si="2"/>
        <v>8/1  (7)</v>
      </c>
    </row>
    <row r="75" spans="2:12">
      <c r="B75" s="12" t="s">
        <v>62</v>
      </c>
      <c r="C75" s="20">
        <f t="shared" si="3"/>
        <v>1</v>
      </c>
      <c r="D75" s="24">
        <f t="shared" si="4"/>
        <v>1</v>
      </c>
      <c r="E75" s="20">
        <f t="shared" si="5"/>
        <v>2</v>
      </c>
      <c r="F75" s="20">
        <f t="shared" si="6"/>
        <v>0</v>
      </c>
      <c r="G75" s="49">
        <v>6.9999999999999993E-3</v>
      </c>
      <c r="H75" s="49">
        <v>0.5</v>
      </c>
      <c r="I75" s="9" t="str">
        <f t="shared" si="0"/>
        <v>Доля утилизации и обезвреживания ТКО в 1пг 2024 г. 1%</v>
      </c>
      <c r="J75" s="9" t="str">
        <f t="shared" si="1"/>
        <v>План по утилизации и обезвреживания ТКО в 2028 г. 50%</v>
      </c>
      <c r="K75" s="67"/>
      <c r="L75" s="8" t="str">
        <f t="shared" si="2"/>
        <v>50/1  (49)</v>
      </c>
    </row>
    <row r="76" spans="2:12">
      <c r="B76" s="12" t="s">
        <v>63</v>
      </c>
      <c r="C76" s="20">
        <f t="shared" si="3"/>
        <v>2</v>
      </c>
      <c r="D76" s="24">
        <f t="shared" si="4"/>
        <v>2</v>
      </c>
      <c r="E76" s="20">
        <f t="shared" si="5"/>
        <v>2</v>
      </c>
      <c r="F76" s="20">
        <f t="shared" si="6"/>
        <v>2</v>
      </c>
      <c r="G76" s="49">
        <v>6.9999999999999993E-3</v>
      </c>
      <c r="H76" s="49">
        <v>0.1</v>
      </c>
      <c r="I76" s="9" t="str">
        <f t="shared" si="0"/>
        <v>Доля утилизации и обезвреживания ТКО в 1пг 2024 г. 1%</v>
      </c>
      <c r="J76" s="9" t="str">
        <f t="shared" si="1"/>
        <v>План по утилизации и обезвреживания ТКО в 2028 г. 10%</v>
      </c>
      <c r="K76" s="67"/>
      <c r="L76" s="8" t="str">
        <f t="shared" si="2"/>
        <v>10/1  (9)</v>
      </c>
    </row>
    <row r="77" spans="2:12">
      <c r="B77" s="12" t="s">
        <v>64</v>
      </c>
      <c r="C77" s="20">
        <f t="shared" si="3"/>
        <v>2</v>
      </c>
      <c r="D77" s="24">
        <f t="shared" si="4"/>
        <v>2</v>
      </c>
      <c r="E77" s="20">
        <f t="shared" si="5"/>
        <v>2</v>
      </c>
      <c r="F77" s="20">
        <f t="shared" si="6"/>
        <v>2</v>
      </c>
      <c r="G77" s="49">
        <v>1E-3</v>
      </c>
      <c r="H77" s="49">
        <v>0.09</v>
      </c>
      <c r="I77" s="9" t="str">
        <f t="shared" si="0"/>
        <v>Доля утилизации и обезвреживания ТКО в 1пг 2024 г. 0%</v>
      </c>
      <c r="J77" s="9" t="str">
        <f t="shared" si="1"/>
        <v>План по утилизации и обезвреживания ТКО в 2028 г. 9%</v>
      </c>
      <c r="K77" s="67"/>
      <c r="L77" s="8" t="str">
        <f t="shared" si="2"/>
        <v>9/0  (9)</v>
      </c>
    </row>
    <row r="78" spans="2:12">
      <c r="B78" s="12" t="s">
        <v>65</v>
      </c>
      <c r="C78" s="20">
        <f t="shared" si="3"/>
        <v>0</v>
      </c>
      <c r="D78" s="24">
        <f t="shared" si="4"/>
        <v>0.5</v>
      </c>
      <c r="E78" s="20">
        <f t="shared" si="5"/>
        <v>1</v>
      </c>
      <c r="F78" s="20">
        <f t="shared" si="6"/>
        <v>0</v>
      </c>
      <c r="G78" s="49">
        <v>0.11800000000000001</v>
      </c>
      <c r="H78" s="49">
        <v>0.32719799999999999</v>
      </c>
      <c r="I78" s="9" t="str">
        <f t="shared" si="0"/>
        <v>Доля утилизации и обезвреживания ТКО в 1пг 2024 г. 12%</v>
      </c>
      <c r="J78" s="9" t="str">
        <f t="shared" si="1"/>
        <v>План по утилизации и обезвреживания ТКО в 2028 г. 33%</v>
      </c>
      <c r="K78" s="67"/>
      <c r="L78" s="8" t="str">
        <f t="shared" si="2"/>
        <v>33/12  (21)</v>
      </c>
    </row>
    <row r="79" spans="2:12">
      <c r="B79" s="12" t="s">
        <v>66</v>
      </c>
      <c r="C79" s="20">
        <f t="shared" si="3"/>
        <v>1</v>
      </c>
      <c r="D79" s="24">
        <f t="shared" si="4"/>
        <v>1</v>
      </c>
      <c r="E79" s="20">
        <f t="shared" si="5"/>
        <v>2</v>
      </c>
      <c r="F79" s="20">
        <f t="shared" si="6"/>
        <v>0</v>
      </c>
      <c r="G79" s="49">
        <v>0</v>
      </c>
      <c r="H79" s="49">
        <v>0.3</v>
      </c>
      <c r="I79" s="9" t="str">
        <f t="shared" si="0"/>
        <v>Доля утилизации и обезвреживания ТКО в 1пг 2024 г. 0%</v>
      </c>
      <c r="J79" s="9" t="str">
        <f t="shared" si="1"/>
        <v>План по утилизации и обезвреживания ТКО в 2028 г. 30%</v>
      </c>
      <c r="K79" s="67"/>
      <c r="L79" s="8" t="str">
        <f t="shared" si="2"/>
        <v>30/0  (30)</v>
      </c>
    </row>
    <row r="80" spans="2:12">
      <c r="B80" s="12" t="s">
        <v>67</v>
      </c>
      <c r="C80" s="20">
        <f t="shared" si="3"/>
        <v>1</v>
      </c>
      <c r="D80" s="24">
        <f t="shared" si="4"/>
        <v>1</v>
      </c>
      <c r="E80" s="20">
        <f t="shared" si="5"/>
        <v>2</v>
      </c>
      <c r="F80" s="20">
        <f t="shared" si="6"/>
        <v>0</v>
      </c>
      <c r="G80" s="49">
        <v>0</v>
      </c>
      <c r="H80" s="49">
        <v>0.35</v>
      </c>
      <c r="I80" s="9" t="str">
        <f t="shared" ref="I80:I104" si="7">_xlfn.TEXTJOIN(,0,"Доля утилизации и обезвреживания ТКО в 1пг 2024 г. ",TEXT(G80,"0%"),)</f>
        <v>Доля утилизации и обезвреживания ТКО в 1пг 2024 г. 0%</v>
      </c>
      <c r="J80" s="9" t="str">
        <f t="shared" ref="J80:J104" si="8">_xlfn.TEXTJOIN(,0,"План по утилизации и обезвреживания ТКО в 2028 г. ",TEXT(H80,"0%"))</f>
        <v>План по утилизации и обезвреживания ТКО в 2028 г. 35%</v>
      </c>
      <c r="K80" s="67"/>
      <c r="L80" s="8" t="str">
        <f t="shared" ref="L80:L104" si="9">_xlfn.TEXTJOIN(,0,TEXT(H80*100,"0"),"/",TEXT(G80*100,"0"),"  (",TEXT((H80-G80)*100,"0"),")")</f>
        <v>35/0  (35)</v>
      </c>
    </row>
    <row r="81" spans="2:12">
      <c r="B81" s="12" t="s">
        <v>68</v>
      </c>
      <c r="C81" s="20">
        <f t="shared" ref="C81:C104" si="10">IF(D81&gt;$D$8,2,IF(D81&gt;$D$9,1,0))</f>
        <v>1</v>
      </c>
      <c r="D81" s="24">
        <f t="shared" ref="D81:D104" si="11">E81*$E$11+F81*$F$11</f>
        <v>1</v>
      </c>
      <c r="E81" s="20">
        <f t="shared" ref="E81:E104" si="12">IF(OR(G81&lt;$G$7,K81&lt;&gt;""),2,IF(G81&lt;$G$9,1,0))</f>
        <v>1</v>
      </c>
      <c r="F81" s="20">
        <f t="shared" ref="F81:F104" si="13">IF(H81&lt;$H$7,2,IF(H81&lt;$H$9,1,0))</f>
        <v>1</v>
      </c>
      <c r="G81" s="49">
        <v>0.1</v>
      </c>
      <c r="H81" s="49">
        <v>0.17800000000000002</v>
      </c>
      <c r="I81" s="9" t="str">
        <f t="shared" si="7"/>
        <v>Доля утилизации и обезвреживания ТКО в 1пг 2024 г. 10%</v>
      </c>
      <c r="J81" s="9" t="str">
        <f t="shared" si="8"/>
        <v>План по утилизации и обезвреживания ТКО в 2028 г. 18%</v>
      </c>
      <c r="K81" s="67"/>
      <c r="L81" s="8" t="str">
        <f t="shared" si="9"/>
        <v>18/10  (8)</v>
      </c>
    </row>
    <row r="82" spans="2:12">
      <c r="B82" s="12" t="s">
        <v>69</v>
      </c>
      <c r="C82" s="20">
        <f t="shared" si="10"/>
        <v>2</v>
      </c>
      <c r="D82" s="24">
        <f t="shared" si="11"/>
        <v>2</v>
      </c>
      <c r="E82" s="20">
        <f t="shared" si="12"/>
        <v>2</v>
      </c>
      <c r="F82" s="20">
        <f t="shared" si="13"/>
        <v>2</v>
      </c>
      <c r="G82" s="49">
        <v>6.2E-2</v>
      </c>
      <c r="H82" s="49">
        <v>0.10300000000000001</v>
      </c>
      <c r="I82" s="9" t="str">
        <f t="shared" si="7"/>
        <v>Доля утилизации и обезвреживания ТКО в 1пг 2024 г. 6%</v>
      </c>
      <c r="J82" s="9" t="str">
        <f t="shared" si="8"/>
        <v>План по утилизации и обезвреживания ТКО в 2028 г. 10%</v>
      </c>
      <c r="K82" s="67"/>
      <c r="L82" s="8" t="str">
        <f t="shared" si="9"/>
        <v>10/6  (4)</v>
      </c>
    </row>
    <row r="83" spans="2:12">
      <c r="B83" s="12" t="s">
        <v>70</v>
      </c>
      <c r="C83" s="20">
        <f t="shared" si="10"/>
        <v>2</v>
      </c>
      <c r="D83" s="24">
        <f t="shared" si="11"/>
        <v>1.5</v>
      </c>
      <c r="E83" s="20">
        <f t="shared" si="12"/>
        <v>2</v>
      </c>
      <c r="F83" s="20">
        <f t="shared" si="13"/>
        <v>1</v>
      </c>
      <c r="G83" s="49">
        <v>3.3000000000000002E-2</v>
      </c>
      <c r="H83" s="49">
        <v>0.161</v>
      </c>
      <c r="I83" s="9" t="str">
        <f t="shared" si="7"/>
        <v>Доля утилизации и обезвреживания ТКО в 1пг 2024 г. 3%</v>
      </c>
      <c r="J83" s="9" t="str">
        <f t="shared" si="8"/>
        <v>План по утилизации и обезвреживания ТКО в 2028 г. 16%</v>
      </c>
      <c r="K83" s="67"/>
      <c r="L83" s="8" t="str">
        <f t="shared" si="9"/>
        <v>16/3  (13)</v>
      </c>
    </row>
    <row r="84" spans="2:12">
      <c r="B84" s="12" t="s">
        <v>71</v>
      </c>
      <c r="C84" s="20">
        <f t="shared" si="10"/>
        <v>2</v>
      </c>
      <c r="D84" s="24">
        <f t="shared" si="11"/>
        <v>2</v>
      </c>
      <c r="E84" s="20">
        <f t="shared" si="12"/>
        <v>2</v>
      </c>
      <c r="F84" s="20">
        <f t="shared" si="13"/>
        <v>2</v>
      </c>
      <c r="G84" s="49">
        <v>0.05</v>
      </c>
      <c r="H84" s="49">
        <v>4.4999999999999998E-2</v>
      </c>
      <c r="I84" s="9" t="str">
        <f t="shared" si="7"/>
        <v>Доля утилизации и обезвреживания ТКО в 1пг 2024 г. 5%</v>
      </c>
      <c r="J84" s="9" t="str">
        <f t="shared" si="8"/>
        <v>План по утилизации и обезвреживания ТКО в 2028 г. 5%</v>
      </c>
      <c r="K84" s="67"/>
      <c r="L84" s="8" t="str">
        <f t="shared" si="9"/>
        <v>5/5  (-1)</v>
      </c>
    </row>
    <row r="85" spans="2:12">
      <c r="B85" s="12" t="s">
        <v>72</v>
      </c>
      <c r="C85" s="20">
        <f t="shared" si="10"/>
        <v>2</v>
      </c>
      <c r="D85" s="24">
        <f t="shared" si="11"/>
        <v>2</v>
      </c>
      <c r="E85" s="20">
        <f t="shared" si="12"/>
        <v>2</v>
      </c>
      <c r="F85" s="20">
        <f t="shared" si="13"/>
        <v>2</v>
      </c>
      <c r="G85" s="49">
        <v>1.9E-2</v>
      </c>
      <c r="H85" s="49">
        <v>0.13</v>
      </c>
      <c r="I85" s="9" t="str">
        <f t="shared" si="7"/>
        <v>Доля утилизации и обезвреживания ТКО в 1пг 2024 г. 2%</v>
      </c>
      <c r="J85" s="9" t="str">
        <f t="shared" si="8"/>
        <v>План по утилизации и обезвреживания ТКО в 2028 г. 13%</v>
      </c>
      <c r="K85" s="67"/>
      <c r="L85" s="8" t="str">
        <f t="shared" si="9"/>
        <v>13/2  (11)</v>
      </c>
    </row>
    <row r="86" spans="2:12">
      <c r="B86" s="12" t="s">
        <v>73</v>
      </c>
      <c r="C86" s="20">
        <f t="shared" si="10"/>
        <v>2</v>
      </c>
      <c r="D86" s="24">
        <f t="shared" si="11"/>
        <v>1.5</v>
      </c>
      <c r="E86" s="20">
        <f t="shared" si="12"/>
        <v>2</v>
      </c>
      <c r="F86" s="20">
        <f t="shared" si="13"/>
        <v>1</v>
      </c>
      <c r="G86" s="49">
        <v>1.1000000000000001E-2</v>
      </c>
      <c r="H86" s="49">
        <v>0.2</v>
      </c>
      <c r="I86" s="9" t="str">
        <f t="shared" si="7"/>
        <v>Доля утилизации и обезвреживания ТКО в 1пг 2024 г. 1%</v>
      </c>
      <c r="J86" s="9" t="str">
        <f t="shared" si="8"/>
        <v>План по утилизации и обезвреживания ТКО в 2028 г. 20%</v>
      </c>
      <c r="K86" s="67"/>
      <c r="L86" s="8" t="str">
        <f t="shared" si="9"/>
        <v>20/1  (19)</v>
      </c>
    </row>
    <row r="87" spans="2:12">
      <c r="B87" s="12" t="s">
        <v>74</v>
      </c>
      <c r="C87" s="20">
        <f t="shared" si="10"/>
        <v>2</v>
      </c>
      <c r="D87" s="24">
        <f t="shared" si="11"/>
        <v>2</v>
      </c>
      <c r="E87" s="20">
        <f t="shared" si="12"/>
        <v>2</v>
      </c>
      <c r="F87" s="20">
        <f t="shared" si="13"/>
        <v>2</v>
      </c>
      <c r="G87" s="49">
        <v>1.3999999999999999E-2</v>
      </c>
      <c r="H87" s="49">
        <v>1.3999999999999999E-2</v>
      </c>
      <c r="I87" s="9" t="str">
        <f t="shared" si="7"/>
        <v>Доля утилизации и обезвреживания ТКО в 1пг 2024 г. 1%</v>
      </c>
      <c r="J87" s="9" t="str">
        <f t="shared" si="8"/>
        <v>План по утилизации и обезвреживания ТКО в 2028 г. 1%</v>
      </c>
      <c r="K87" s="67"/>
      <c r="L87" s="8" t="str">
        <f t="shared" si="9"/>
        <v>1/1  (0)</v>
      </c>
    </row>
    <row r="88" spans="2:12">
      <c r="B88" s="12" t="s">
        <v>75</v>
      </c>
      <c r="C88" s="20">
        <f t="shared" si="10"/>
        <v>0</v>
      </c>
      <c r="D88" s="24">
        <f t="shared" si="11"/>
        <v>0.5</v>
      </c>
      <c r="E88" s="20">
        <f t="shared" si="12"/>
        <v>0</v>
      </c>
      <c r="F88" s="20">
        <f t="shared" si="13"/>
        <v>1</v>
      </c>
      <c r="G88" s="49">
        <v>0.38500000000000001</v>
      </c>
      <c r="H88" s="49">
        <v>0.15</v>
      </c>
      <c r="I88" s="9" t="str">
        <f t="shared" si="7"/>
        <v>Доля утилизации и обезвреживания ТКО в 1пг 2024 г. 39%</v>
      </c>
      <c r="J88" s="9" t="str">
        <f t="shared" si="8"/>
        <v>План по утилизации и обезвреживания ТКО в 2028 г. 15%</v>
      </c>
      <c r="K88" s="67"/>
      <c r="L88" s="8" t="str">
        <f t="shared" si="9"/>
        <v>15/39  (-24)</v>
      </c>
    </row>
    <row r="89" spans="2:12">
      <c r="B89" s="12" t="s">
        <v>76</v>
      </c>
      <c r="C89" s="20">
        <f t="shared" si="10"/>
        <v>1</v>
      </c>
      <c r="D89" s="24">
        <f t="shared" si="11"/>
        <v>1</v>
      </c>
      <c r="E89" s="20">
        <f t="shared" si="12"/>
        <v>2</v>
      </c>
      <c r="F89" s="20">
        <f t="shared" si="13"/>
        <v>0</v>
      </c>
      <c r="G89" s="49">
        <v>2.3E-2</v>
      </c>
      <c r="H89" s="49">
        <v>0.5</v>
      </c>
      <c r="I89" s="9" t="str">
        <f t="shared" si="7"/>
        <v>Доля утилизации и обезвреживания ТКО в 1пг 2024 г. 2%</v>
      </c>
      <c r="J89" s="9" t="str">
        <f t="shared" si="8"/>
        <v>План по утилизации и обезвреживания ТКО в 2028 г. 50%</v>
      </c>
      <c r="K89" s="67"/>
      <c r="L89" s="8" t="str">
        <f t="shared" si="9"/>
        <v>50/2  (48)</v>
      </c>
    </row>
    <row r="90" spans="2:12">
      <c r="B90" s="12" t="s">
        <v>77</v>
      </c>
      <c r="C90" s="20">
        <f t="shared" si="10"/>
        <v>2</v>
      </c>
      <c r="D90" s="24">
        <f t="shared" si="11"/>
        <v>2</v>
      </c>
      <c r="E90" s="20">
        <f t="shared" si="12"/>
        <v>2</v>
      </c>
      <c r="F90" s="20">
        <f t="shared" si="13"/>
        <v>2</v>
      </c>
      <c r="G90" s="49">
        <v>2.5000000000000001E-2</v>
      </c>
      <c r="H90" s="49">
        <v>2.5000000000000001E-2</v>
      </c>
      <c r="I90" s="9" t="str">
        <f t="shared" si="7"/>
        <v>Доля утилизации и обезвреживания ТКО в 1пг 2024 г. 3%</v>
      </c>
      <c r="J90" s="9" t="str">
        <f t="shared" si="8"/>
        <v>План по утилизации и обезвреживания ТКО в 2028 г. 3%</v>
      </c>
      <c r="K90" s="67"/>
      <c r="L90" s="8" t="str">
        <f t="shared" si="9"/>
        <v>3/3  (0)</v>
      </c>
    </row>
    <row r="91" spans="2:12">
      <c r="B91" s="12" t="s">
        <v>78</v>
      </c>
      <c r="C91" s="20">
        <f t="shared" si="10"/>
        <v>1</v>
      </c>
      <c r="D91" s="24">
        <f t="shared" si="11"/>
        <v>1</v>
      </c>
      <c r="E91" s="20">
        <f t="shared" si="12"/>
        <v>2</v>
      </c>
      <c r="F91" s="20">
        <f t="shared" si="13"/>
        <v>0</v>
      </c>
      <c r="G91" s="49">
        <v>5.0000000000000001E-3</v>
      </c>
      <c r="H91" s="49">
        <v>0.34799999999999998</v>
      </c>
      <c r="I91" s="9" t="str">
        <f t="shared" si="7"/>
        <v>Доля утилизации и обезвреживания ТКО в 1пг 2024 г. 1%</v>
      </c>
      <c r="J91" s="9" t="str">
        <f t="shared" si="8"/>
        <v>План по утилизации и обезвреживания ТКО в 2028 г. 35%</v>
      </c>
      <c r="K91" s="67"/>
      <c r="L91" s="8" t="str">
        <f t="shared" si="9"/>
        <v>35/1  (34)</v>
      </c>
    </row>
    <row r="92" spans="2:12">
      <c r="B92" s="12" t="s">
        <v>79</v>
      </c>
      <c r="C92" s="20">
        <f t="shared" si="10"/>
        <v>1</v>
      </c>
      <c r="D92" s="24">
        <f t="shared" si="11"/>
        <v>1</v>
      </c>
      <c r="E92" s="20">
        <f t="shared" si="12"/>
        <v>1</v>
      </c>
      <c r="F92" s="20">
        <f t="shared" si="13"/>
        <v>1</v>
      </c>
      <c r="G92" s="49">
        <v>0.124</v>
      </c>
      <c r="H92" s="49">
        <v>0.25900000000000001</v>
      </c>
      <c r="I92" s="9" t="str">
        <f t="shared" si="7"/>
        <v>Доля утилизации и обезвреживания ТКО в 1пг 2024 г. 12%</v>
      </c>
      <c r="J92" s="9" t="str">
        <f t="shared" si="8"/>
        <v>План по утилизации и обезвреживания ТКО в 2028 г. 26%</v>
      </c>
      <c r="K92" s="67"/>
      <c r="L92" s="8" t="str">
        <f t="shared" si="9"/>
        <v>26/12  (14)</v>
      </c>
    </row>
    <row r="93" spans="2:12">
      <c r="B93" s="12" t="s">
        <v>80</v>
      </c>
      <c r="C93" s="20">
        <f t="shared" si="10"/>
        <v>2</v>
      </c>
      <c r="D93" s="24">
        <f t="shared" si="11"/>
        <v>2</v>
      </c>
      <c r="E93" s="20">
        <f t="shared" si="12"/>
        <v>2</v>
      </c>
      <c r="F93" s="20">
        <f t="shared" si="13"/>
        <v>2</v>
      </c>
      <c r="G93" s="49">
        <v>0.04</v>
      </c>
      <c r="H93" s="49">
        <v>0.1</v>
      </c>
      <c r="I93" s="9" t="str">
        <f t="shared" si="7"/>
        <v>Доля утилизации и обезвреживания ТКО в 1пг 2024 г. 4%</v>
      </c>
      <c r="J93" s="9" t="str">
        <f t="shared" si="8"/>
        <v>План по утилизации и обезвреживания ТКО в 2028 г. 10%</v>
      </c>
      <c r="K93" s="67"/>
      <c r="L93" s="8" t="str">
        <f t="shared" si="9"/>
        <v>10/4  (6)</v>
      </c>
    </row>
    <row r="94" spans="2:12">
      <c r="B94" s="12" t="s">
        <v>81</v>
      </c>
      <c r="C94" s="20">
        <f t="shared" si="10"/>
        <v>2</v>
      </c>
      <c r="D94" s="24">
        <f t="shared" si="11"/>
        <v>1.5</v>
      </c>
      <c r="E94" s="20">
        <f t="shared" si="12"/>
        <v>1</v>
      </c>
      <c r="F94" s="20">
        <f t="shared" si="13"/>
        <v>2</v>
      </c>
      <c r="G94" s="49">
        <v>9.1999999999999998E-2</v>
      </c>
      <c r="H94" s="49">
        <v>6.5000000000000002E-2</v>
      </c>
      <c r="I94" s="9" t="str">
        <f t="shared" si="7"/>
        <v>Доля утилизации и обезвреживания ТКО в 1пг 2024 г. 9%</v>
      </c>
      <c r="J94" s="9" t="str">
        <f t="shared" si="8"/>
        <v>План по утилизации и обезвреживания ТКО в 2028 г. 7%</v>
      </c>
      <c r="K94" s="67"/>
      <c r="L94" s="8" t="str">
        <f t="shared" si="9"/>
        <v>7/9  (-3)</v>
      </c>
    </row>
    <row r="95" spans="2:12">
      <c r="B95" s="12" t="s">
        <v>82</v>
      </c>
      <c r="C95" s="20">
        <f t="shared" si="10"/>
        <v>2</v>
      </c>
      <c r="D95" s="24">
        <f t="shared" si="11"/>
        <v>2</v>
      </c>
      <c r="E95" s="20">
        <f t="shared" si="12"/>
        <v>2</v>
      </c>
      <c r="F95" s="20">
        <f t="shared" si="13"/>
        <v>2</v>
      </c>
      <c r="G95" s="49">
        <v>0.34200000000000003</v>
      </c>
      <c r="H95" s="49">
        <v>0.1</v>
      </c>
      <c r="I95" s="9" t="str">
        <f t="shared" si="7"/>
        <v>Доля утилизации и обезвреживания ТКО в 1пг 2024 г. 34%</v>
      </c>
      <c r="J95" s="9" t="str">
        <f t="shared" si="8"/>
        <v>План по утилизации и обезвреживания ТКО в 2028 г. 10%</v>
      </c>
      <c r="K95" s="67" t="s">
        <v>111</v>
      </c>
      <c r="L95" s="8" t="str">
        <f t="shared" si="9"/>
        <v>10/34  (-24)</v>
      </c>
    </row>
    <row r="96" spans="2:12">
      <c r="B96" s="12" t="s">
        <v>83</v>
      </c>
      <c r="C96" s="20">
        <f t="shared" si="10"/>
        <v>0</v>
      </c>
      <c r="D96" s="24">
        <f t="shared" si="11"/>
        <v>0.5</v>
      </c>
      <c r="E96" s="20">
        <f t="shared" si="12"/>
        <v>1</v>
      </c>
      <c r="F96" s="20">
        <f t="shared" si="13"/>
        <v>0</v>
      </c>
      <c r="G96" s="49">
        <v>0.11699999999999999</v>
      </c>
      <c r="H96" s="49">
        <v>0.29600000000000004</v>
      </c>
      <c r="I96" s="9" t="str">
        <f t="shared" si="7"/>
        <v>Доля утилизации и обезвреживания ТКО в 1пг 2024 г. 12%</v>
      </c>
      <c r="J96" s="9" t="str">
        <f t="shared" si="8"/>
        <v>План по утилизации и обезвреживания ТКО в 2028 г. 30%</v>
      </c>
      <c r="K96" s="67"/>
      <c r="L96" s="8" t="str">
        <f t="shared" si="9"/>
        <v>30/12  (18)</v>
      </c>
    </row>
    <row r="97" spans="2:12">
      <c r="B97" s="12" t="s">
        <v>84</v>
      </c>
      <c r="C97" s="20">
        <f t="shared" si="10"/>
        <v>2</v>
      </c>
      <c r="D97" s="24">
        <f t="shared" si="11"/>
        <v>2</v>
      </c>
      <c r="E97" s="20">
        <f t="shared" si="12"/>
        <v>2</v>
      </c>
      <c r="F97" s="20">
        <f t="shared" si="13"/>
        <v>2</v>
      </c>
      <c r="G97" s="49">
        <v>1.7000000000000001E-2</v>
      </c>
      <c r="H97" s="49">
        <v>9.0999999999999998E-2</v>
      </c>
      <c r="I97" s="9" t="str">
        <f t="shared" si="7"/>
        <v>Доля утилизации и обезвреживания ТКО в 1пг 2024 г. 2%</v>
      </c>
      <c r="J97" s="9" t="str">
        <f t="shared" si="8"/>
        <v>План по утилизации и обезвреживания ТКО в 2028 г. 9%</v>
      </c>
      <c r="K97" s="67"/>
      <c r="L97" s="8" t="str">
        <f t="shared" si="9"/>
        <v>9/2  (7)</v>
      </c>
    </row>
    <row r="98" spans="2:12">
      <c r="B98" s="12" t="s">
        <v>166</v>
      </c>
      <c r="C98" s="20">
        <f t="shared" si="10"/>
        <v>0</v>
      </c>
      <c r="D98" s="24">
        <f t="shared" si="11"/>
        <v>0</v>
      </c>
      <c r="E98" s="66">
        <v>0</v>
      </c>
      <c r="F98" s="66">
        <v>0</v>
      </c>
      <c r="G98" s="49"/>
      <c r="H98" s="49"/>
      <c r="I98" s="9" t="str">
        <f t="shared" si="7"/>
        <v>Доля утилизации и обезвреживания ТКО в 1пг 2024 г. 0%</v>
      </c>
      <c r="J98" s="9" t="str">
        <f t="shared" si="8"/>
        <v>План по утилизации и обезвреживания ТКО в 2028 г. 0%</v>
      </c>
      <c r="K98" s="67"/>
      <c r="L98" s="8" t="str">
        <f t="shared" si="9"/>
        <v>0/0  (0)</v>
      </c>
    </row>
    <row r="99" spans="2:12">
      <c r="B99" s="12" t="s">
        <v>85</v>
      </c>
      <c r="C99" s="20">
        <f t="shared" si="10"/>
        <v>1</v>
      </c>
      <c r="D99" s="24">
        <f t="shared" si="11"/>
        <v>1</v>
      </c>
      <c r="E99" s="20">
        <f t="shared" si="12"/>
        <v>1</v>
      </c>
      <c r="F99" s="20">
        <f t="shared" si="13"/>
        <v>1</v>
      </c>
      <c r="G99" s="49">
        <v>0.13699999999999998</v>
      </c>
      <c r="H99" s="49">
        <v>0.23300000000000001</v>
      </c>
      <c r="I99" s="9" t="str">
        <f t="shared" si="7"/>
        <v>Доля утилизации и обезвреживания ТКО в 1пг 2024 г. 14%</v>
      </c>
      <c r="J99" s="9" t="str">
        <f t="shared" si="8"/>
        <v>План по утилизации и обезвреживания ТКО в 2028 г. 23%</v>
      </c>
      <c r="K99" s="67"/>
      <c r="L99" s="8" t="str">
        <f t="shared" si="9"/>
        <v>23/14  (10)</v>
      </c>
    </row>
    <row r="100" spans="2:12">
      <c r="B100" s="12" t="s">
        <v>86</v>
      </c>
      <c r="C100" s="20">
        <f t="shared" si="10"/>
        <v>2</v>
      </c>
      <c r="D100" s="24">
        <f t="shared" si="11"/>
        <v>2</v>
      </c>
      <c r="E100" s="20">
        <f t="shared" si="12"/>
        <v>2</v>
      </c>
      <c r="F100" s="20">
        <f t="shared" si="13"/>
        <v>2</v>
      </c>
      <c r="G100" s="49">
        <v>0.04</v>
      </c>
      <c r="H100" s="49">
        <v>0.1</v>
      </c>
      <c r="I100" s="9" t="str">
        <f t="shared" si="7"/>
        <v>Доля утилизации и обезвреживания ТКО в 1пг 2024 г. 4%</v>
      </c>
      <c r="J100" s="9" t="str">
        <f t="shared" si="8"/>
        <v>План по утилизации и обезвреживания ТКО в 2028 г. 10%</v>
      </c>
      <c r="K100" s="67"/>
      <c r="L100" s="8" t="str">
        <f t="shared" si="9"/>
        <v>10/4  (6)</v>
      </c>
    </row>
    <row r="101" spans="2:12">
      <c r="B101" s="12" t="s">
        <v>87</v>
      </c>
      <c r="C101" s="20">
        <f t="shared" si="10"/>
        <v>2</v>
      </c>
      <c r="D101" s="24">
        <f t="shared" si="11"/>
        <v>1.5</v>
      </c>
      <c r="E101" s="20">
        <f t="shared" si="12"/>
        <v>1</v>
      </c>
      <c r="F101" s="20">
        <f t="shared" si="13"/>
        <v>2</v>
      </c>
      <c r="G101" s="49">
        <v>9.4E-2</v>
      </c>
      <c r="H101" s="49">
        <v>4.7E-2</v>
      </c>
      <c r="I101" s="9" t="str">
        <f t="shared" si="7"/>
        <v>Доля утилизации и обезвреживания ТКО в 1пг 2024 г. 9%</v>
      </c>
      <c r="J101" s="9" t="str">
        <f t="shared" si="8"/>
        <v>План по утилизации и обезвреживания ТКО в 2028 г. 5%</v>
      </c>
      <c r="K101" s="67"/>
      <c r="L101" s="8" t="str">
        <f t="shared" si="9"/>
        <v>5/9  (-5)</v>
      </c>
    </row>
    <row r="102" spans="2:12">
      <c r="B102" s="12" t="s">
        <v>88</v>
      </c>
      <c r="C102" s="20">
        <f t="shared" si="10"/>
        <v>2</v>
      </c>
      <c r="D102" s="24">
        <f t="shared" si="11"/>
        <v>1.5</v>
      </c>
      <c r="E102" s="20">
        <f t="shared" si="12"/>
        <v>2</v>
      </c>
      <c r="F102" s="20">
        <f t="shared" si="13"/>
        <v>1</v>
      </c>
      <c r="G102" s="49">
        <v>0.23100000000000001</v>
      </c>
      <c r="H102" s="49">
        <v>0.25</v>
      </c>
      <c r="I102" s="9" t="str">
        <f t="shared" si="7"/>
        <v>Доля утилизации и обезвреживания ТКО в 1пг 2024 г. 23%</v>
      </c>
      <c r="J102" s="9" t="str">
        <f t="shared" si="8"/>
        <v>План по утилизации и обезвреживания ТКО в 2028 г. 25%</v>
      </c>
      <c r="K102" s="67" t="s">
        <v>111</v>
      </c>
      <c r="L102" s="8" t="str">
        <f t="shared" si="9"/>
        <v>25/23  (2)</v>
      </c>
    </row>
    <row r="103" spans="2:12">
      <c r="B103" s="12" t="s">
        <v>89</v>
      </c>
      <c r="C103" s="20">
        <f t="shared" si="10"/>
        <v>1</v>
      </c>
      <c r="D103" s="24">
        <f t="shared" si="11"/>
        <v>1</v>
      </c>
      <c r="E103" s="20">
        <f t="shared" si="12"/>
        <v>2</v>
      </c>
      <c r="F103" s="20">
        <f t="shared" si="13"/>
        <v>0</v>
      </c>
      <c r="G103" s="49">
        <v>1.6E-2</v>
      </c>
      <c r="H103" s="49">
        <v>0.35</v>
      </c>
      <c r="I103" s="9" t="str">
        <f t="shared" si="7"/>
        <v>Доля утилизации и обезвреживания ТКО в 1пг 2024 г. 2%</v>
      </c>
      <c r="J103" s="9" t="str">
        <f t="shared" si="8"/>
        <v>План по утилизации и обезвреживания ТКО в 2028 г. 35%</v>
      </c>
      <c r="K103" s="67"/>
      <c r="L103" s="8" t="str">
        <f t="shared" si="9"/>
        <v>35/2  (33)</v>
      </c>
    </row>
    <row r="104" spans="2:12">
      <c r="B104" s="12" t="s">
        <v>90</v>
      </c>
      <c r="C104" s="20">
        <f t="shared" si="10"/>
        <v>2</v>
      </c>
      <c r="D104" s="24">
        <f t="shared" si="11"/>
        <v>1.5</v>
      </c>
      <c r="E104" s="20">
        <f t="shared" si="12"/>
        <v>1</v>
      </c>
      <c r="F104" s="20">
        <f t="shared" si="13"/>
        <v>2</v>
      </c>
      <c r="G104" s="49">
        <v>8.900000000000001E-2</v>
      </c>
      <c r="H104" s="49">
        <v>8.199999999999999E-2</v>
      </c>
      <c r="I104" s="9" t="str">
        <f t="shared" si="7"/>
        <v>Доля утилизации и обезвреживания ТКО в 1пг 2024 г. 9%</v>
      </c>
      <c r="J104" s="9" t="str">
        <f t="shared" si="8"/>
        <v>План по утилизации и обезвреживания ТКО в 2028 г. 8%</v>
      </c>
      <c r="K104" s="67"/>
      <c r="L104" s="8" t="str">
        <f t="shared" si="9"/>
        <v>8/9  (-1)</v>
      </c>
    </row>
    <row r="107" spans="2:12">
      <c r="B107" s="12"/>
    </row>
  </sheetData>
  <pageMargins left="0.7" right="0.7" top="0.75" bottom="0.75" header="0.3" footer="0.3"/>
  <pageSetup paperSize="9"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B1:N113"/>
  <sheetViews>
    <sheetView workbookViewId="0">
      <selection activeCell="B6" sqref="B6"/>
    </sheetView>
  </sheetViews>
  <sheetFormatPr defaultColWidth="10.8984375" defaultRowHeight="15"/>
  <cols>
    <col min="1" max="1" width="10.8984375" style="9"/>
    <col min="2" max="2" width="30.59765625" style="9" customWidth="1"/>
    <col min="3" max="4" width="13.5" style="13" customWidth="1"/>
    <col min="5" max="6" width="13.5" style="8" customWidth="1"/>
    <col min="7" max="7" width="13.5" style="15" customWidth="1"/>
    <col min="8" max="9" width="13.5" style="8" customWidth="1"/>
    <col min="10" max="16384" width="10.8984375" style="9"/>
  </cols>
  <sheetData>
    <row r="1" spans="2:14">
      <c r="E1" s="9"/>
      <c r="F1" s="9"/>
      <c r="H1" s="9"/>
      <c r="I1" s="9"/>
    </row>
    <row r="2" spans="2:14" ht="15.6">
      <c r="B2" s="7" t="s">
        <v>670</v>
      </c>
    </row>
    <row r="4" spans="2:14" s="7" customFormat="1" ht="15.6">
      <c r="B4" s="7" t="s">
        <v>574</v>
      </c>
      <c r="C4" s="50" t="s">
        <v>573</v>
      </c>
      <c r="D4" s="50"/>
      <c r="E4" s="50"/>
      <c r="F4" s="50"/>
      <c r="G4" s="50"/>
      <c r="H4" s="50"/>
      <c r="I4" s="50"/>
      <c r="J4" s="53"/>
      <c r="K4" s="53"/>
      <c r="L4" s="53"/>
      <c r="M4" s="53"/>
      <c r="N4" s="53"/>
    </row>
    <row r="5" spans="2:14">
      <c r="B5" s="9" t="s">
        <v>673</v>
      </c>
      <c r="C5" s="59">
        <v>45574</v>
      </c>
      <c r="E5" s="13"/>
      <c r="F5" s="13"/>
      <c r="G5" s="13"/>
      <c r="H5" s="13"/>
      <c r="I5" s="13"/>
      <c r="J5" s="14"/>
      <c r="K5" s="14"/>
      <c r="L5" s="14"/>
      <c r="M5" s="14"/>
      <c r="N5" s="14"/>
    </row>
    <row r="7" spans="2:14">
      <c r="B7" s="9" t="s">
        <v>92</v>
      </c>
      <c r="G7" s="274">
        <f>G9*2</f>
        <v>0.20775802996178144</v>
      </c>
    </row>
    <row r="8" spans="2:14">
      <c r="B8" s="9" t="s">
        <v>93</v>
      </c>
      <c r="D8" s="14">
        <v>1</v>
      </c>
      <c r="G8" s="274"/>
    </row>
    <row r="9" spans="2:14">
      <c r="B9" s="9" t="s">
        <v>94</v>
      </c>
      <c r="D9" s="14">
        <v>0.5</v>
      </c>
      <c r="G9" s="274">
        <f>G15</f>
        <v>0.10387901498089072</v>
      </c>
    </row>
    <row r="10" spans="2:14">
      <c r="B10" s="9" t="s">
        <v>95</v>
      </c>
    </row>
    <row r="11" spans="2:14">
      <c r="B11" s="9" t="s">
        <v>96</v>
      </c>
      <c r="C11" s="15"/>
    </row>
    <row r="12" spans="2:14">
      <c r="C12" s="15"/>
    </row>
    <row r="14" spans="2:14" s="11" customFormat="1" ht="45">
      <c r="B14" s="11" t="s">
        <v>0</v>
      </c>
      <c r="C14" s="18" t="s">
        <v>118</v>
      </c>
      <c r="D14" s="18" t="s">
        <v>117</v>
      </c>
      <c r="E14" s="10" t="s">
        <v>6</v>
      </c>
      <c r="F14" s="10" t="s">
        <v>671</v>
      </c>
      <c r="G14" s="10" t="s">
        <v>672</v>
      </c>
      <c r="H14" s="10"/>
      <c r="I14" s="10"/>
    </row>
    <row r="15" spans="2:14" s="11" customFormat="1">
      <c r="B15" s="11" t="s">
        <v>105</v>
      </c>
      <c r="C15" s="20"/>
      <c r="D15" s="20"/>
      <c r="E15" s="21">
        <f t="shared" ref="E15" si="0">SUM(E16:E104)</f>
        <v>146150789</v>
      </c>
      <c r="F15" s="54">
        <f>SUM(F16:F108)</f>
        <v>15182</v>
      </c>
      <c r="G15" s="271">
        <f>IF(F15&gt;0,F15/E15*1000,"")</f>
        <v>0.10387901498089072</v>
      </c>
      <c r="H15" s="21"/>
      <c r="I15" s="21"/>
    </row>
    <row r="16" spans="2:14">
      <c r="B16" s="12" t="s">
        <v>1</v>
      </c>
      <c r="C16" s="20">
        <f>IF(D16&gt;$D$8,2,IF(D16&gt;$D$9,1,0))</f>
        <v>0</v>
      </c>
      <c r="D16" s="20">
        <f>IF(G16&gt;G7,2,IF(G16&gt;G9,1,0))</f>
        <v>0</v>
      </c>
      <c r="E16" s="21">
        <v>2115308</v>
      </c>
      <c r="F16" s="54">
        <v>44</v>
      </c>
      <c r="G16" s="271">
        <f t="shared" ref="G16:G79" si="1">IF(F16&gt;0,F16/E16*1000,"")</f>
        <v>2.0800753365467346E-2</v>
      </c>
      <c r="H16" s="21"/>
      <c r="I16" s="21"/>
    </row>
    <row r="17" spans="2:9">
      <c r="B17" s="12" t="s">
        <v>9</v>
      </c>
      <c r="C17" s="20">
        <f t="shared" ref="C17:C80" si="2">IF(D17&gt;$D$8,2,IF(D17&gt;$D$9,1,0))</f>
        <v>2</v>
      </c>
      <c r="D17" s="20">
        <f t="shared" ref="D17:D80" si="3">IF(G17&gt;G8,2,IF(G17&gt;G10,1,0))</f>
        <v>2</v>
      </c>
      <c r="E17" s="21">
        <v>750083</v>
      </c>
      <c r="F17" s="54">
        <v>3523</v>
      </c>
      <c r="G17" s="271">
        <f t="shared" si="1"/>
        <v>4.6968135526335084</v>
      </c>
      <c r="H17" s="21"/>
      <c r="I17" s="21"/>
    </row>
    <row r="18" spans="2:9">
      <c r="B18" s="12" t="s">
        <v>10</v>
      </c>
      <c r="C18" s="20">
        <f t="shared" si="2"/>
        <v>1</v>
      </c>
      <c r="D18" s="20">
        <f t="shared" si="3"/>
        <v>1</v>
      </c>
      <c r="E18" s="21">
        <v>955848</v>
      </c>
      <c r="F18" s="54">
        <v>17</v>
      </c>
      <c r="G18" s="271">
        <f t="shared" si="1"/>
        <v>1.7785254559302313E-2</v>
      </c>
      <c r="H18" s="21"/>
      <c r="I18" s="21"/>
    </row>
    <row r="19" spans="2:9">
      <c r="B19" s="12" t="s">
        <v>2</v>
      </c>
      <c r="C19" s="20">
        <f t="shared" si="2"/>
        <v>2</v>
      </c>
      <c r="D19" s="20">
        <f t="shared" si="3"/>
        <v>2</v>
      </c>
      <c r="E19" s="21">
        <v>946429</v>
      </c>
      <c r="F19" s="54">
        <v>141</v>
      </c>
      <c r="G19" s="271">
        <f t="shared" si="1"/>
        <v>0.14898106461234809</v>
      </c>
      <c r="H19" s="21"/>
      <c r="I19" s="21"/>
    </row>
    <row r="20" spans="2:9">
      <c r="B20" s="12" t="s">
        <v>11</v>
      </c>
      <c r="C20" s="20">
        <f t="shared" si="2"/>
        <v>2</v>
      </c>
      <c r="D20" s="20">
        <f t="shared" si="3"/>
        <v>2</v>
      </c>
      <c r="E20" s="21">
        <v>1500659</v>
      </c>
      <c r="F20" s="54">
        <v>447</v>
      </c>
      <c r="G20" s="271">
        <f t="shared" si="1"/>
        <v>0.29786913615951394</v>
      </c>
      <c r="H20" s="21"/>
      <c r="I20" s="21"/>
    </row>
    <row r="21" spans="2:9">
      <c r="B21" s="12" t="s">
        <v>12</v>
      </c>
      <c r="C21" s="20">
        <f t="shared" si="2"/>
        <v>2</v>
      </c>
      <c r="D21" s="20">
        <f t="shared" si="3"/>
        <v>2</v>
      </c>
      <c r="E21" s="21">
        <v>1142404</v>
      </c>
      <c r="F21" s="54">
        <v>110</v>
      </c>
      <c r="G21" s="271">
        <f t="shared" si="1"/>
        <v>9.6288178262681157E-2</v>
      </c>
      <c r="H21" s="21"/>
      <c r="I21" s="21"/>
    </row>
    <row r="22" spans="2:9">
      <c r="B22" s="12" t="s">
        <v>13</v>
      </c>
      <c r="C22" s="20">
        <f t="shared" si="2"/>
        <v>2</v>
      </c>
      <c r="D22" s="20">
        <f t="shared" si="3"/>
        <v>2</v>
      </c>
      <c r="E22" s="21">
        <v>1309942</v>
      </c>
      <c r="F22" s="54">
        <v>407</v>
      </c>
      <c r="G22" s="271">
        <f t="shared" si="1"/>
        <v>0.31070077911846478</v>
      </c>
      <c r="H22" s="21"/>
      <c r="I22" s="21"/>
    </row>
    <row r="23" spans="2:9">
      <c r="B23" s="12" t="s">
        <v>14</v>
      </c>
      <c r="C23" s="20">
        <f t="shared" si="2"/>
        <v>1</v>
      </c>
      <c r="D23" s="20">
        <f t="shared" si="3"/>
        <v>1</v>
      </c>
      <c r="E23" s="21">
        <v>2453898</v>
      </c>
      <c r="F23" s="54">
        <v>177</v>
      </c>
      <c r="G23" s="271">
        <f t="shared" si="1"/>
        <v>7.2130137438475433E-2</v>
      </c>
      <c r="H23" s="21"/>
      <c r="I23" s="21"/>
    </row>
    <row r="24" spans="2:9">
      <c r="B24" s="12" t="s">
        <v>15</v>
      </c>
      <c r="C24" s="20">
        <f t="shared" si="2"/>
        <v>0</v>
      </c>
      <c r="D24" s="20">
        <f t="shared" si="3"/>
        <v>0</v>
      </c>
      <c r="E24" s="21">
        <v>1121343</v>
      </c>
      <c r="F24" s="54">
        <v>58</v>
      </c>
      <c r="G24" s="271">
        <f t="shared" si="1"/>
        <v>5.1723692037137607E-2</v>
      </c>
      <c r="H24" s="21"/>
      <c r="I24" s="21"/>
    </row>
    <row r="25" spans="2:9">
      <c r="B25" s="12" t="s">
        <v>16</v>
      </c>
      <c r="C25" s="20">
        <f t="shared" si="2"/>
        <v>2</v>
      </c>
      <c r="D25" s="20">
        <f t="shared" si="3"/>
        <v>2</v>
      </c>
      <c r="E25" s="21">
        <v>2273417</v>
      </c>
      <c r="F25" s="54">
        <v>178</v>
      </c>
      <c r="G25" s="271">
        <f t="shared" si="1"/>
        <v>7.8296238657492231E-2</v>
      </c>
      <c r="H25" s="21"/>
      <c r="I25" s="21"/>
    </row>
    <row r="26" spans="2:9">
      <c r="B26" s="12" t="s">
        <v>17</v>
      </c>
      <c r="C26" s="20">
        <f t="shared" si="2"/>
        <v>0</v>
      </c>
      <c r="D26" s="20">
        <f t="shared" si="3"/>
        <v>0</v>
      </c>
      <c r="E26" s="21">
        <v>13149803</v>
      </c>
      <c r="F26" s="54">
        <v>415</v>
      </c>
      <c r="G26" s="271">
        <f t="shared" si="1"/>
        <v>3.1559408152350268E-2</v>
      </c>
      <c r="H26" s="21"/>
      <c r="I26" s="21"/>
    </row>
    <row r="27" spans="2:9">
      <c r="B27" s="12" t="s">
        <v>18</v>
      </c>
      <c r="C27" s="20">
        <f t="shared" si="2"/>
        <v>2</v>
      </c>
      <c r="D27" s="20">
        <f t="shared" si="3"/>
        <v>2</v>
      </c>
      <c r="E27" s="21">
        <v>5597763</v>
      </c>
      <c r="F27" s="54">
        <v>579</v>
      </c>
      <c r="G27" s="271">
        <f t="shared" si="1"/>
        <v>0.1034341754018525</v>
      </c>
      <c r="H27" s="21"/>
      <c r="I27" s="21"/>
    </row>
    <row r="28" spans="2:9">
      <c r="B28" s="12" t="s">
        <v>19</v>
      </c>
      <c r="C28" s="20">
        <f t="shared" si="2"/>
        <v>0</v>
      </c>
      <c r="D28" s="20">
        <f t="shared" si="3"/>
        <v>0</v>
      </c>
      <c r="E28" s="21">
        <v>561374</v>
      </c>
      <c r="F28" s="54">
        <v>20</v>
      </c>
      <c r="G28" s="271">
        <f t="shared" si="1"/>
        <v>3.5626872637493007E-2</v>
      </c>
      <c r="H28" s="21"/>
      <c r="I28" s="21"/>
    </row>
    <row r="29" spans="2:9">
      <c r="B29" s="12" t="s">
        <v>580</v>
      </c>
      <c r="C29" s="20">
        <f t="shared" si="2"/>
        <v>2</v>
      </c>
      <c r="D29" s="20">
        <f t="shared" si="3"/>
        <v>2</v>
      </c>
      <c r="E29" s="21"/>
      <c r="F29" s="54"/>
      <c r="G29" s="271" t="str">
        <f t="shared" si="1"/>
        <v/>
      </c>
      <c r="H29" s="21"/>
      <c r="I29" s="21"/>
    </row>
    <row r="30" spans="2:9">
      <c r="B30" s="12" t="s">
        <v>20</v>
      </c>
      <c r="C30" s="20">
        <f t="shared" si="2"/>
        <v>0</v>
      </c>
      <c r="D30" s="20">
        <f t="shared" si="3"/>
        <v>0</v>
      </c>
      <c r="E30" s="21">
        <v>145802</v>
      </c>
      <c r="F30" s="54">
        <v>3</v>
      </c>
      <c r="G30" s="271">
        <f t="shared" si="1"/>
        <v>2.0575849439651031E-2</v>
      </c>
      <c r="H30" s="21"/>
      <c r="I30" s="21"/>
    </row>
    <row r="31" spans="2:9">
      <c r="B31" s="12" t="s">
        <v>21</v>
      </c>
      <c r="C31" s="20">
        <f t="shared" si="2"/>
        <v>0</v>
      </c>
      <c r="D31" s="20">
        <f t="shared" si="3"/>
        <v>0</v>
      </c>
      <c r="E31" s="21">
        <v>984395</v>
      </c>
      <c r="F31" s="54">
        <v>19</v>
      </c>
      <c r="G31" s="271">
        <f t="shared" si="1"/>
        <v>1.9301195150320756E-2</v>
      </c>
      <c r="H31" s="21"/>
      <c r="I31" s="21"/>
    </row>
    <row r="32" spans="2:9">
      <c r="B32" s="12" t="s">
        <v>163</v>
      </c>
      <c r="C32" s="20">
        <f t="shared" si="2"/>
        <v>2</v>
      </c>
      <c r="D32" s="20">
        <f t="shared" si="3"/>
        <v>2</v>
      </c>
      <c r="E32" s="21"/>
      <c r="F32" s="54"/>
      <c r="G32" s="271" t="str">
        <f t="shared" si="1"/>
        <v/>
      </c>
      <c r="H32" s="21"/>
      <c r="I32" s="21"/>
    </row>
    <row r="33" spans="2:9">
      <c r="B33" s="12" t="s">
        <v>22</v>
      </c>
      <c r="C33" s="20">
        <f t="shared" si="2"/>
        <v>2</v>
      </c>
      <c r="D33" s="20">
        <f t="shared" si="3"/>
        <v>2</v>
      </c>
      <c r="E33" s="21">
        <v>905900</v>
      </c>
      <c r="F33" s="54">
        <v>127</v>
      </c>
      <c r="G33" s="271">
        <f t="shared" si="1"/>
        <v>0.14019207418037311</v>
      </c>
      <c r="H33" s="21"/>
      <c r="I33" s="21"/>
    </row>
    <row r="34" spans="2:9">
      <c r="B34" s="12" t="s">
        <v>23</v>
      </c>
      <c r="C34" s="20">
        <f t="shared" si="2"/>
        <v>0</v>
      </c>
      <c r="D34" s="20">
        <f t="shared" si="3"/>
        <v>0</v>
      </c>
      <c r="E34" s="21">
        <v>2330537</v>
      </c>
      <c r="F34" s="54">
        <v>49</v>
      </c>
      <c r="G34" s="271">
        <f t="shared" si="1"/>
        <v>2.1025197197040855E-2</v>
      </c>
      <c r="H34" s="21"/>
      <c r="I34" s="21"/>
    </row>
    <row r="35" spans="2:9">
      <c r="B35" s="12" t="s">
        <v>24</v>
      </c>
      <c r="C35" s="20">
        <f t="shared" si="2"/>
        <v>0</v>
      </c>
      <c r="D35" s="20">
        <f t="shared" si="3"/>
        <v>0</v>
      </c>
      <c r="E35" s="21">
        <v>905464</v>
      </c>
      <c r="F35" s="54">
        <v>19</v>
      </c>
      <c r="G35" s="271">
        <f t="shared" si="1"/>
        <v>2.0983716635890548E-2</v>
      </c>
      <c r="H35" s="21"/>
      <c r="I35" s="21"/>
    </row>
    <row r="36" spans="2:9">
      <c r="B36" s="12" t="s">
        <v>25</v>
      </c>
      <c r="C36" s="20">
        <f t="shared" si="2"/>
        <v>0</v>
      </c>
      <c r="D36" s="20">
        <f t="shared" si="3"/>
        <v>0</v>
      </c>
      <c r="E36" s="21">
        <v>1033914</v>
      </c>
      <c r="F36" s="54">
        <v>69</v>
      </c>
      <c r="G36" s="271">
        <f t="shared" si="1"/>
        <v>6.6736691833169867E-2</v>
      </c>
      <c r="H36" s="21"/>
      <c r="I36" s="21"/>
    </row>
    <row r="37" spans="2:9">
      <c r="B37" s="12" t="s">
        <v>26</v>
      </c>
      <c r="C37" s="20">
        <f t="shared" si="2"/>
        <v>2</v>
      </c>
      <c r="D37" s="20">
        <f t="shared" si="3"/>
        <v>2</v>
      </c>
      <c r="E37" s="21">
        <v>1068410</v>
      </c>
      <c r="F37" s="54">
        <v>169</v>
      </c>
      <c r="G37" s="271">
        <f t="shared" si="1"/>
        <v>0.15817897623571475</v>
      </c>
      <c r="H37" s="21"/>
      <c r="I37" s="21"/>
    </row>
    <row r="38" spans="2:9">
      <c r="B38" s="12" t="s">
        <v>27</v>
      </c>
      <c r="C38" s="20">
        <f t="shared" si="2"/>
        <v>1</v>
      </c>
      <c r="D38" s="20">
        <f t="shared" si="3"/>
        <v>1</v>
      </c>
      <c r="E38" s="21">
        <v>288947</v>
      </c>
      <c r="F38" s="54">
        <v>22</v>
      </c>
      <c r="G38" s="271">
        <f t="shared" si="1"/>
        <v>7.6138530595576348E-2</v>
      </c>
      <c r="H38" s="21"/>
      <c r="I38" s="21"/>
    </row>
    <row r="39" spans="2:9">
      <c r="B39" s="12" t="s">
        <v>28</v>
      </c>
      <c r="C39" s="20">
        <f t="shared" si="2"/>
        <v>2</v>
      </c>
      <c r="D39" s="20">
        <f t="shared" si="3"/>
        <v>2</v>
      </c>
      <c r="E39" s="21">
        <v>468322</v>
      </c>
      <c r="F39" s="54">
        <v>26</v>
      </c>
      <c r="G39" s="271">
        <f t="shared" si="1"/>
        <v>5.5517357715418027E-2</v>
      </c>
      <c r="H39" s="21"/>
      <c r="I39" s="21"/>
    </row>
    <row r="40" spans="2:9">
      <c r="B40" s="12" t="s">
        <v>29</v>
      </c>
      <c r="C40" s="20">
        <f t="shared" si="2"/>
        <v>2</v>
      </c>
      <c r="D40" s="20">
        <f t="shared" si="3"/>
        <v>2</v>
      </c>
      <c r="E40" s="21">
        <v>2547684</v>
      </c>
      <c r="F40" s="54">
        <v>94</v>
      </c>
      <c r="G40" s="271">
        <f t="shared" si="1"/>
        <v>3.6896255579577375E-2</v>
      </c>
      <c r="H40" s="21"/>
      <c r="I40" s="21"/>
    </row>
    <row r="41" spans="2:9">
      <c r="B41" s="12" t="s">
        <v>30</v>
      </c>
      <c r="C41" s="20">
        <f t="shared" si="2"/>
        <v>1</v>
      </c>
      <c r="D41" s="20">
        <f t="shared" si="3"/>
        <v>1</v>
      </c>
      <c r="E41" s="21">
        <v>1129935</v>
      </c>
      <c r="F41" s="54">
        <v>37</v>
      </c>
      <c r="G41" s="271">
        <f t="shared" si="1"/>
        <v>3.2745246407979219E-2</v>
      </c>
      <c r="H41" s="21"/>
      <c r="I41" s="21"/>
    </row>
    <row r="42" spans="2:9">
      <c r="B42" s="12" t="s">
        <v>31</v>
      </c>
      <c r="C42" s="20">
        <f t="shared" si="2"/>
        <v>1</v>
      </c>
      <c r="D42" s="20">
        <f t="shared" si="3"/>
        <v>1</v>
      </c>
      <c r="E42" s="21">
        <v>566266</v>
      </c>
      <c r="F42" s="54">
        <v>33</v>
      </c>
      <c r="G42" s="271">
        <f t="shared" si="1"/>
        <v>5.8276499030490973E-2</v>
      </c>
      <c r="H42" s="21"/>
      <c r="I42" s="21"/>
    </row>
    <row r="43" spans="2:9">
      <c r="B43" s="12" t="s">
        <v>32</v>
      </c>
      <c r="C43" s="20">
        <f t="shared" si="2"/>
        <v>2</v>
      </c>
      <c r="D43" s="20">
        <f t="shared" si="3"/>
        <v>2</v>
      </c>
      <c r="E43" s="21">
        <v>5833002</v>
      </c>
      <c r="F43" s="54">
        <v>634</v>
      </c>
      <c r="G43" s="271">
        <f t="shared" si="1"/>
        <v>0.10869188798495183</v>
      </c>
      <c r="H43" s="21"/>
      <c r="I43" s="21"/>
    </row>
    <row r="44" spans="2:9">
      <c r="B44" s="12" t="s">
        <v>33</v>
      </c>
      <c r="C44" s="20">
        <f t="shared" si="2"/>
        <v>2</v>
      </c>
      <c r="D44" s="20">
        <f t="shared" si="3"/>
        <v>2</v>
      </c>
      <c r="E44" s="21">
        <v>2846120</v>
      </c>
      <c r="F44" s="54">
        <v>90</v>
      </c>
      <c r="G44" s="271">
        <f t="shared" si="1"/>
        <v>3.1621997666999281E-2</v>
      </c>
      <c r="H44" s="21"/>
      <c r="I44" s="21"/>
    </row>
    <row r="45" spans="2:9">
      <c r="B45" s="12" t="s">
        <v>34</v>
      </c>
      <c r="C45" s="20">
        <f t="shared" si="2"/>
        <v>0</v>
      </c>
      <c r="D45" s="20">
        <f t="shared" si="3"/>
        <v>0</v>
      </c>
      <c r="E45" s="21">
        <v>753002</v>
      </c>
      <c r="F45" s="54">
        <v>34</v>
      </c>
      <c r="G45" s="271">
        <f t="shared" si="1"/>
        <v>4.515260251632798E-2</v>
      </c>
      <c r="H45" s="21"/>
      <c r="I45" s="21"/>
    </row>
    <row r="46" spans="2:9">
      <c r="B46" s="12" t="s">
        <v>35</v>
      </c>
      <c r="C46" s="20">
        <f t="shared" si="2"/>
        <v>0</v>
      </c>
      <c r="D46" s="20">
        <f t="shared" si="3"/>
        <v>0</v>
      </c>
      <c r="E46" s="21">
        <v>1060892</v>
      </c>
      <c r="F46" s="54">
        <v>53</v>
      </c>
      <c r="G46" s="271">
        <f t="shared" si="1"/>
        <v>4.9957959905438061E-2</v>
      </c>
      <c r="H46" s="21"/>
      <c r="I46" s="21"/>
    </row>
    <row r="47" spans="2:9">
      <c r="B47" s="12" t="s">
        <v>36</v>
      </c>
      <c r="C47" s="20">
        <f t="shared" si="2"/>
        <v>2</v>
      </c>
      <c r="D47" s="20">
        <f t="shared" si="3"/>
        <v>2</v>
      </c>
      <c r="E47" s="21">
        <v>2035762</v>
      </c>
      <c r="F47" s="54">
        <v>409</v>
      </c>
      <c r="G47" s="271">
        <f t="shared" si="1"/>
        <v>0.20090757171024903</v>
      </c>
      <c r="H47" s="21"/>
      <c r="I47" s="21"/>
    </row>
    <row r="48" spans="2:9">
      <c r="B48" s="12" t="s">
        <v>37</v>
      </c>
      <c r="C48" s="20">
        <f t="shared" si="2"/>
        <v>2</v>
      </c>
      <c r="D48" s="20">
        <f t="shared" si="3"/>
        <v>2</v>
      </c>
      <c r="E48" s="21">
        <v>1116265</v>
      </c>
      <c r="F48" s="54">
        <v>94</v>
      </c>
      <c r="G48" s="271">
        <f t="shared" si="1"/>
        <v>8.4209394722579323E-2</v>
      </c>
      <c r="H48" s="21"/>
      <c r="I48" s="21"/>
    </row>
    <row r="49" spans="2:9">
      <c r="B49" s="12" t="s">
        <v>581</v>
      </c>
      <c r="C49" s="20">
        <f t="shared" si="2"/>
        <v>2</v>
      </c>
      <c r="D49" s="20">
        <f t="shared" si="3"/>
        <v>2</v>
      </c>
      <c r="E49" s="21"/>
      <c r="F49" s="54"/>
      <c r="G49" s="271" t="str">
        <f t="shared" si="1"/>
        <v/>
      </c>
      <c r="H49" s="21"/>
      <c r="I49" s="21"/>
    </row>
    <row r="50" spans="2:9">
      <c r="B50" s="12" t="s">
        <v>38</v>
      </c>
      <c r="C50" s="20">
        <f t="shared" si="2"/>
        <v>0</v>
      </c>
      <c r="D50" s="20">
        <f t="shared" si="3"/>
        <v>0</v>
      </c>
      <c r="E50" s="21">
        <v>133387</v>
      </c>
      <c r="F50" s="54">
        <v>3</v>
      </c>
      <c r="G50" s="271">
        <f t="shared" si="1"/>
        <v>2.2490947393674045E-2</v>
      </c>
      <c r="H50" s="21"/>
      <c r="I50" s="21"/>
    </row>
    <row r="51" spans="2:9">
      <c r="B51" s="12" t="s">
        <v>39</v>
      </c>
      <c r="C51" s="20">
        <f t="shared" si="2"/>
        <v>2</v>
      </c>
      <c r="D51" s="20">
        <f t="shared" si="3"/>
        <v>2</v>
      </c>
      <c r="E51" s="21">
        <v>8651260</v>
      </c>
      <c r="F51" s="54">
        <v>943</v>
      </c>
      <c r="G51" s="271">
        <f t="shared" si="1"/>
        <v>0.10900146337065353</v>
      </c>
      <c r="H51" s="21"/>
      <c r="I51" s="21"/>
    </row>
    <row r="52" spans="2:9">
      <c r="B52" s="12" t="s">
        <v>40</v>
      </c>
      <c r="C52" s="20">
        <f t="shared" si="2"/>
        <v>1</v>
      </c>
      <c r="D52" s="20">
        <f t="shared" si="3"/>
        <v>1</v>
      </c>
      <c r="E52" s="21">
        <v>656438</v>
      </c>
      <c r="F52" s="54">
        <v>43</v>
      </c>
      <c r="G52" s="271">
        <f t="shared" si="1"/>
        <v>6.5505043888379411E-2</v>
      </c>
      <c r="H52" s="21"/>
      <c r="I52" s="21"/>
    </row>
    <row r="53" spans="2:9">
      <c r="B53" s="12" t="s">
        <v>41</v>
      </c>
      <c r="C53" s="20">
        <f t="shared" si="2"/>
        <v>2</v>
      </c>
      <c r="D53" s="20">
        <f t="shared" si="3"/>
        <v>2</v>
      </c>
      <c r="E53" s="21">
        <v>42224</v>
      </c>
      <c r="F53" s="54">
        <v>306</v>
      </c>
      <c r="G53" s="271">
        <f t="shared" si="1"/>
        <v>7.2470632815460405</v>
      </c>
      <c r="H53" s="21"/>
      <c r="I53" s="21"/>
    </row>
    <row r="54" spans="2:9">
      <c r="B54" s="12" t="s">
        <v>42</v>
      </c>
      <c r="C54" s="20">
        <f t="shared" si="2"/>
        <v>0</v>
      </c>
      <c r="D54" s="20">
        <f t="shared" si="3"/>
        <v>0</v>
      </c>
      <c r="E54" s="21">
        <v>3060335</v>
      </c>
      <c r="F54" s="54">
        <v>26</v>
      </c>
      <c r="G54" s="271">
        <f t="shared" si="1"/>
        <v>8.4958019301808463E-3</v>
      </c>
      <c r="H54" s="21"/>
      <c r="I54" s="21"/>
    </row>
    <row r="55" spans="2:9">
      <c r="B55" s="12" t="s">
        <v>43</v>
      </c>
      <c r="C55" s="20">
        <f t="shared" si="2"/>
        <v>2</v>
      </c>
      <c r="D55" s="20">
        <f t="shared" si="3"/>
        <v>2</v>
      </c>
      <c r="E55" s="21">
        <v>571447</v>
      </c>
      <c r="F55" s="54">
        <v>115</v>
      </c>
      <c r="G55" s="271">
        <f t="shared" si="1"/>
        <v>0.20124350989680584</v>
      </c>
      <c r="H55" s="21"/>
      <c r="I55" s="21"/>
    </row>
    <row r="56" spans="2:9">
      <c r="B56" s="12" t="s">
        <v>44</v>
      </c>
      <c r="C56" s="20">
        <f t="shared" si="2"/>
        <v>0</v>
      </c>
      <c r="D56" s="20">
        <f t="shared" si="3"/>
        <v>0</v>
      </c>
      <c r="E56" s="21">
        <v>2789532</v>
      </c>
      <c r="F56" s="54">
        <v>91</v>
      </c>
      <c r="G56" s="271">
        <f t="shared" si="1"/>
        <v>3.2621959525827277E-2</v>
      </c>
      <c r="H56" s="21"/>
      <c r="I56" s="21"/>
    </row>
    <row r="57" spans="2:9">
      <c r="B57" s="12" t="s">
        <v>45</v>
      </c>
      <c r="C57" s="20">
        <f t="shared" si="2"/>
        <v>2</v>
      </c>
      <c r="D57" s="20">
        <f t="shared" si="3"/>
        <v>2</v>
      </c>
      <c r="E57" s="21">
        <v>1818093</v>
      </c>
      <c r="F57" s="54">
        <v>302</v>
      </c>
      <c r="G57" s="271">
        <f t="shared" si="1"/>
        <v>0.16610811438138753</v>
      </c>
      <c r="H57" s="21"/>
      <c r="I57" s="21"/>
    </row>
    <row r="58" spans="2:9">
      <c r="B58" s="12" t="s">
        <v>46</v>
      </c>
      <c r="C58" s="20">
        <f t="shared" si="2"/>
        <v>1</v>
      </c>
      <c r="D58" s="20">
        <f t="shared" si="3"/>
        <v>1</v>
      </c>
      <c r="E58" s="21">
        <v>1828656</v>
      </c>
      <c r="F58" s="54">
        <v>201</v>
      </c>
      <c r="G58" s="271">
        <f t="shared" si="1"/>
        <v>0.10991679134840013</v>
      </c>
      <c r="H58" s="21"/>
      <c r="I58" s="21"/>
    </row>
    <row r="59" spans="2:9">
      <c r="B59" s="12" t="s">
        <v>47</v>
      </c>
      <c r="C59" s="20">
        <f t="shared" si="2"/>
        <v>2</v>
      </c>
      <c r="D59" s="20">
        <f t="shared" si="3"/>
        <v>2</v>
      </c>
      <c r="E59" s="21">
        <v>692486</v>
      </c>
      <c r="F59" s="54">
        <v>75</v>
      </c>
      <c r="G59" s="271">
        <f t="shared" si="1"/>
        <v>0.10830543866590804</v>
      </c>
      <c r="H59" s="21"/>
      <c r="I59" s="21"/>
    </row>
    <row r="60" spans="2:9">
      <c r="B60" s="12" t="s">
        <v>48</v>
      </c>
      <c r="C60" s="20">
        <f t="shared" si="2"/>
        <v>0</v>
      </c>
      <c r="D60" s="20">
        <f t="shared" si="3"/>
        <v>0</v>
      </c>
      <c r="E60" s="21">
        <v>1236113</v>
      </c>
      <c r="F60" s="54">
        <v>111</v>
      </c>
      <c r="G60" s="271">
        <f t="shared" si="1"/>
        <v>8.9797615590160446E-2</v>
      </c>
      <c r="H60" s="21"/>
      <c r="I60" s="21"/>
    </row>
    <row r="61" spans="2:9">
      <c r="B61" s="12" t="s">
        <v>49</v>
      </c>
      <c r="C61" s="20">
        <f t="shared" si="2"/>
        <v>2</v>
      </c>
      <c r="D61" s="20">
        <f t="shared" si="3"/>
        <v>2</v>
      </c>
      <c r="E61" s="21">
        <v>2495266</v>
      </c>
      <c r="F61" s="54">
        <v>181</v>
      </c>
      <c r="G61" s="271">
        <f t="shared" si="1"/>
        <v>7.2537356738720443E-2</v>
      </c>
      <c r="H61" s="21"/>
      <c r="I61" s="21"/>
    </row>
    <row r="62" spans="2:9">
      <c r="B62" s="12" t="s">
        <v>50</v>
      </c>
      <c r="C62" s="20">
        <f t="shared" si="2"/>
        <v>0</v>
      </c>
      <c r="D62" s="20">
        <f t="shared" si="3"/>
        <v>0</v>
      </c>
      <c r="E62" s="21">
        <v>1806393</v>
      </c>
      <c r="F62" s="54">
        <v>99</v>
      </c>
      <c r="G62" s="271">
        <f t="shared" si="1"/>
        <v>5.4805349666434709E-2</v>
      </c>
      <c r="H62" s="21"/>
      <c r="I62" s="21"/>
    </row>
    <row r="63" spans="2:9">
      <c r="B63" s="12" t="s">
        <v>51</v>
      </c>
      <c r="C63" s="20">
        <f t="shared" si="2"/>
        <v>2</v>
      </c>
      <c r="D63" s="20">
        <f t="shared" si="3"/>
        <v>2</v>
      </c>
      <c r="E63" s="21">
        <v>581147</v>
      </c>
      <c r="F63" s="54">
        <v>15</v>
      </c>
      <c r="G63" s="271">
        <f t="shared" si="1"/>
        <v>2.5811025437625937E-2</v>
      </c>
      <c r="H63" s="21"/>
      <c r="I63" s="21"/>
    </row>
    <row r="64" spans="2:9">
      <c r="B64" s="12" t="s">
        <v>52</v>
      </c>
      <c r="C64" s="20">
        <f t="shared" si="2"/>
        <v>0</v>
      </c>
      <c r="D64" s="20">
        <f t="shared" si="3"/>
        <v>0</v>
      </c>
      <c r="E64" s="21">
        <v>500591</v>
      </c>
      <c r="F64" s="54">
        <v>46</v>
      </c>
      <c r="G64" s="271">
        <f t="shared" si="1"/>
        <v>9.1891384383658514E-2</v>
      </c>
      <c r="H64" s="21"/>
      <c r="I64" s="21"/>
    </row>
    <row r="65" spans="2:9">
      <c r="B65" s="12" t="s">
        <v>53</v>
      </c>
      <c r="C65" s="20">
        <f t="shared" si="2"/>
        <v>2</v>
      </c>
      <c r="D65" s="20">
        <f t="shared" si="3"/>
        <v>2</v>
      </c>
      <c r="E65" s="21">
        <v>210765</v>
      </c>
      <c r="F65" s="54">
        <v>190</v>
      </c>
      <c r="G65" s="271">
        <f t="shared" si="1"/>
        <v>0.90147794937489623</v>
      </c>
      <c r="H65" s="21"/>
      <c r="I65" s="21"/>
    </row>
    <row r="66" spans="2:9">
      <c r="B66" s="12" t="s">
        <v>3</v>
      </c>
      <c r="C66" s="20">
        <f t="shared" si="2"/>
        <v>0</v>
      </c>
      <c r="D66" s="20">
        <f t="shared" si="3"/>
        <v>0</v>
      </c>
      <c r="E66" s="21">
        <v>4064361</v>
      </c>
      <c r="F66" s="54">
        <v>12</v>
      </c>
      <c r="G66" s="271">
        <f t="shared" si="1"/>
        <v>2.952493639221516E-3</v>
      </c>
      <c r="H66" s="21"/>
      <c r="I66" s="21"/>
    </row>
    <row r="67" spans="2:9">
      <c r="B67" s="12" t="s">
        <v>54</v>
      </c>
      <c r="C67" s="20">
        <f t="shared" si="2"/>
        <v>1</v>
      </c>
      <c r="D67" s="20">
        <f t="shared" si="3"/>
        <v>1</v>
      </c>
      <c r="E67" s="21">
        <v>971922</v>
      </c>
      <c r="F67" s="54">
        <v>89</v>
      </c>
      <c r="G67" s="271">
        <f t="shared" si="1"/>
        <v>9.1571134309131802E-2</v>
      </c>
      <c r="H67" s="21"/>
      <c r="I67" s="21"/>
    </row>
    <row r="68" spans="2:9">
      <c r="B68" s="12" t="s">
        <v>55</v>
      </c>
      <c r="C68" s="20">
        <f t="shared" si="2"/>
        <v>0</v>
      </c>
      <c r="D68" s="20">
        <f t="shared" si="3"/>
        <v>0</v>
      </c>
      <c r="E68" s="21">
        <v>3232224</v>
      </c>
      <c r="F68" s="54">
        <v>2</v>
      </c>
      <c r="G68" s="271">
        <f t="shared" si="1"/>
        <v>6.1876899620818366E-4</v>
      </c>
      <c r="H68" s="21"/>
      <c r="I68" s="21"/>
    </row>
    <row r="69" spans="2:9">
      <c r="B69" s="12" t="s">
        <v>56</v>
      </c>
      <c r="C69" s="20">
        <f t="shared" si="2"/>
        <v>0</v>
      </c>
      <c r="D69" s="20">
        <f t="shared" si="3"/>
        <v>0</v>
      </c>
      <c r="E69" s="21">
        <v>527220</v>
      </c>
      <c r="F69" s="54">
        <v>26</v>
      </c>
      <c r="G69" s="271">
        <f t="shared" si="1"/>
        <v>4.9315276355221732E-2</v>
      </c>
      <c r="H69" s="21"/>
      <c r="I69" s="21"/>
    </row>
    <row r="70" spans="2:9">
      <c r="B70" s="12" t="s">
        <v>57</v>
      </c>
      <c r="C70" s="20">
        <f t="shared" si="2"/>
        <v>2</v>
      </c>
      <c r="D70" s="20">
        <f t="shared" si="3"/>
        <v>2</v>
      </c>
      <c r="E70" s="21">
        <v>266770</v>
      </c>
      <c r="F70" s="54">
        <v>79</v>
      </c>
      <c r="G70" s="271">
        <f t="shared" si="1"/>
        <v>0.29613524759155824</v>
      </c>
      <c r="H70" s="21"/>
      <c r="I70" s="21"/>
    </row>
    <row r="71" spans="2:9">
      <c r="B71" s="12" t="s">
        <v>58</v>
      </c>
      <c r="C71" s="20">
        <f t="shared" si="2"/>
        <v>2</v>
      </c>
      <c r="D71" s="20">
        <f t="shared" si="3"/>
        <v>2</v>
      </c>
      <c r="E71" s="21">
        <v>523856</v>
      </c>
      <c r="F71" s="54">
        <v>44</v>
      </c>
      <c r="G71" s="271">
        <f t="shared" si="1"/>
        <v>8.3992547570324677E-2</v>
      </c>
      <c r="H71" s="21"/>
      <c r="I71" s="21"/>
    </row>
    <row r="72" spans="2:9">
      <c r="B72" s="12" t="s">
        <v>59</v>
      </c>
      <c r="C72" s="20">
        <f t="shared" si="2"/>
        <v>2</v>
      </c>
      <c r="D72" s="20">
        <f t="shared" si="3"/>
        <v>2</v>
      </c>
      <c r="E72" s="21">
        <v>720610</v>
      </c>
      <c r="F72" s="54">
        <v>47</v>
      </c>
      <c r="G72" s="271">
        <f t="shared" si="1"/>
        <v>6.522251980960575E-2</v>
      </c>
      <c r="H72" s="21"/>
      <c r="I72" s="21"/>
    </row>
    <row r="73" spans="2:9">
      <c r="B73" s="12" t="s">
        <v>60</v>
      </c>
      <c r="C73" s="20">
        <f t="shared" si="2"/>
        <v>1</v>
      </c>
      <c r="D73" s="20">
        <f t="shared" si="3"/>
        <v>1</v>
      </c>
      <c r="E73" s="21">
        <v>1909499</v>
      </c>
      <c r="F73" s="54">
        <v>63</v>
      </c>
      <c r="G73" s="271">
        <f t="shared" si="1"/>
        <v>3.2992947364727604E-2</v>
      </c>
      <c r="H73" s="21"/>
      <c r="I73" s="21"/>
    </row>
    <row r="74" spans="2:9">
      <c r="B74" s="12" t="s">
        <v>61</v>
      </c>
      <c r="C74" s="20">
        <f t="shared" si="2"/>
        <v>0</v>
      </c>
      <c r="D74" s="20">
        <f t="shared" si="3"/>
        <v>0</v>
      </c>
      <c r="E74" s="21">
        <v>669854</v>
      </c>
      <c r="F74" s="54">
        <v>16</v>
      </c>
      <c r="G74" s="271">
        <f t="shared" si="1"/>
        <v>2.3885801980730127E-2</v>
      </c>
      <c r="H74" s="21"/>
      <c r="I74" s="21"/>
    </row>
    <row r="75" spans="2:9">
      <c r="B75" s="12" t="s">
        <v>62</v>
      </c>
      <c r="C75" s="20">
        <f t="shared" si="2"/>
        <v>2</v>
      </c>
      <c r="D75" s="20">
        <f t="shared" si="3"/>
        <v>2</v>
      </c>
      <c r="E75" s="21">
        <v>765891</v>
      </c>
      <c r="F75" s="54">
        <v>16</v>
      </c>
      <c r="G75" s="271">
        <f t="shared" si="1"/>
        <v>2.0890701157214277E-2</v>
      </c>
      <c r="H75" s="21"/>
      <c r="I75" s="21"/>
    </row>
    <row r="76" spans="2:9">
      <c r="B76" s="12" t="s">
        <v>63</v>
      </c>
      <c r="C76" s="20">
        <f t="shared" si="2"/>
        <v>0</v>
      </c>
      <c r="D76" s="20">
        <f t="shared" si="3"/>
        <v>0</v>
      </c>
      <c r="E76" s="21">
        <v>1001664</v>
      </c>
      <c r="F76" s="54">
        <v>10</v>
      </c>
      <c r="G76" s="271">
        <f t="shared" si="1"/>
        <v>9.9833876429621122E-3</v>
      </c>
      <c r="H76" s="21"/>
      <c r="I76" s="21"/>
    </row>
    <row r="77" spans="2:9">
      <c r="B77" s="12" t="s">
        <v>64</v>
      </c>
      <c r="C77" s="20">
        <f t="shared" si="2"/>
        <v>2</v>
      </c>
      <c r="D77" s="20">
        <f t="shared" si="3"/>
        <v>2</v>
      </c>
      <c r="E77" s="21">
        <v>678879</v>
      </c>
      <c r="F77" s="54">
        <v>463</v>
      </c>
      <c r="G77" s="271">
        <f t="shared" si="1"/>
        <v>0.68200666098082274</v>
      </c>
      <c r="H77" s="21"/>
      <c r="I77" s="21"/>
    </row>
    <row r="78" spans="2:9">
      <c r="B78" s="12" t="s">
        <v>65</v>
      </c>
      <c r="C78" s="20">
        <f t="shared" si="2"/>
        <v>0</v>
      </c>
      <c r="D78" s="20">
        <f t="shared" si="3"/>
        <v>0</v>
      </c>
      <c r="E78" s="21">
        <v>4003016</v>
      </c>
      <c r="F78" s="54">
        <v>8</v>
      </c>
      <c r="G78" s="271">
        <f t="shared" si="1"/>
        <v>1.9984931361753237E-3</v>
      </c>
      <c r="H78" s="21"/>
      <c r="I78" s="21"/>
    </row>
    <row r="79" spans="2:9">
      <c r="B79" s="12" t="s">
        <v>66</v>
      </c>
      <c r="C79" s="20">
        <f t="shared" si="2"/>
        <v>2</v>
      </c>
      <c r="D79" s="20">
        <f t="shared" si="3"/>
        <v>2</v>
      </c>
      <c r="E79" s="21">
        <v>337544</v>
      </c>
      <c r="F79" s="54">
        <v>187</v>
      </c>
      <c r="G79" s="271">
        <f t="shared" si="1"/>
        <v>0.55400184864787994</v>
      </c>
      <c r="H79" s="21"/>
      <c r="I79" s="21"/>
    </row>
    <row r="80" spans="2:9">
      <c r="B80" s="12" t="s">
        <v>67</v>
      </c>
      <c r="C80" s="20">
        <f t="shared" si="2"/>
        <v>2</v>
      </c>
      <c r="D80" s="20">
        <f t="shared" si="3"/>
        <v>2</v>
      </c>
      <c r="E80" s="21">
        <v>528175</v>
      </c>
      <c r="F80" s="54">
        <v>387</v>
      </c>
      <c r="G80" s="271">
        <f t="shared" ref="G80:G104" si="4">IF(F80&gt;0,F80/E80*1000,"")</f>
        <v>0.73271169593411278</v>
      </c>
      <c r="H80" s="21"/>
      <c r="I80" s="21"/>
    </row>
    <row r="81" spans="2:9">
      <c r="B81" s="12" t="s">
        <v>68</v>
      </c>
      <c r="C81" s="20">
        <f t="shared" ref="C81:C104" si="5">IF(D81&gt;$D$8,2,IF(D81&gt;$D$9,1,0))</f>
        <v>1</v>
      </c>
      <c r="D81" s="20">
        <f t="shared" ref="D81:D104" si="6">IF(G81&gt;G72,2,IF(G81&gt;G74,1,0))</f>
        <v>1</v>
      </c>
      <c r="E81" s="21">
        <v>4152518</v>
      </c>
      <c r="F81" s="54">
        <v>107</v>
      </c>
      <c r="G81" s="271">
        <f t="shared" si="4"/>
        <v>2.5767498178213794E-2</v>
      </c>
      <c r="H81" s="21"/>
      <c r="I81" s="21"/>
    </row>
    <row r="82" spans="2:9">
      <c r="B82" s="12" t="s">
        <v>69</v>
      </c>
      <c r="C82" s="20">
        <f t="shared" si="5"/>
        <v>2</v>
      </c>
      <c r="D82" s="20">
        <f t="shared" si="6"/>
        <v>2</v>
      </c>
      <c r="E82" s="21">
        <v>1082231</v>
      </c>
      <c r="F82" s="54">
        <v>560</v>
      </c>
      <c r="G82" s="271">
        <f t="shared" si="4"/>
        <v>0.51744960179481092</v>
      </c>
      <c r="H82" s="21"/>
      <c r="I82" s="21"/>
    </row>
    <row r="83" spans="2:9">
      <c r="B83" s="12" t="s">
        <v>70</v>
      </c>
      <c r="C83" s="20">
        <f t="shared" si="5"/>
        <v>0</v>
      </c>
      <c r="D83" s="20">
        <f t="shared" si="6"/>
        <v>0</v>
      </c>
      <c r="E83" s="21">
        <v>3127842</v>
      </c>
      <c r="F83" s="54">
        <v>1</v>
      </c>
      <c r="G83" s="271">
        <f t="shared" si="4"/>
        <v>3.1970924362547727E-4</v>
      </c>
      <c r="H83" s="21"/>
      <c r="I83" s="21"/>
    </row>
    <row r="84" spans="2:9">
      <c r="B84" s="12" t="s">
        <v>71</v>
      </c>
      <c r="C84" s="20">
        <f t="shared" si="5"/>
        <v>2</v>
      </c>
      <c r="D84" s="20">
        <f t="shared" si="6"/>
        <v>2</v>
      </c>
      <c r="E84" s="21">
        <v>2385163</v>
      </c>
      <c r="F84" s="54">
        <v>169</v>
      </c>
      <c r="G84" s="271">
        <f t="shared" si="4"/>
        <v>7.0854696303774625E-2</v>
      </c>
      <c r="H84" s="21"/>
      <c r="I84" s="21"/>
    </row>
    <row r="85" spans="2:9">
      <c r="B85" s="12" t="s">
        <v>72</v>
      </c>
      <c r="C85" s="20">
        <f t="shared" si="5"/>
        <v>2</v>
      </c>
      <c r="D85" s="20">
        <f t="shared" si="6"/>
        <v>2</v>
      </c>
      <c r="E85" s="21">
        <v>457590</v>
      </c>
      <c r="F85" s="54">
        <v>8</v>
      </c>
      <c r="G85" s="271">
        <f t="shared" si="4"/>
        <v>1.7482899538888527E-2</v>
      </c>
      <c r="H85" s="21"/>
      <c r="I85" s="21"/>
    </row>
    <row r="86" spans="2:9">
      <c r="B86" s="12" t="s">
        <v>73</v>
      </c>
      <c r="C86" s="20">
        <f t="shared" si="5"/>
        <v>0</v>
      </c>
      <c r="D86" s="20">
        <f t="shared" si="6"/>
        <v>0</v>
      </c>
      <c r="E86" s="21">
        <v>4222695</v>
      </c>
      <c r="F86" s="54">
        <v>10</v>
      </c>
      <c r="G86" s="271">
        <f t="shared" si="4"/>
        <v>2.3681558814927432E-3</v>
      </c>
      <c r="H86" s="21"/>
      <c r="I86" s="21"/>
    </row>
    <row r="87" spans="2:9">
      <c r="B87" s="12" t="s">
        <v>74</v>
      </c>
      <c r="C87" s="20">
        <f t="shared" si="5"/>
        <v>2</v>
      </c>
      <c r="D87" s="20">
        <f t="shared" si="6"/>
        <v>2</v>
      </c>
      <c r="E87" s="21">
        <v>863987</v>
      </c>
      <c r="F87" s="54">
        <v>541</v>
      </c>
      <c r="G87" s="271">
        <f t="shared" si="4"/>
        <v>0.62616682889904596</v>
      </c>
      <c r="H87" s="21"/>
      <c r="I87" s="21"/>
    </row>
    <row r="88" spans="2:9">
      <c r="B88" s="12" t="s">
        <v>75</v>
      </c>
      <c r="C88" s="20">
        <f t="shared" si="5"/>
        <v>0</v>
      </c>
      <c r="D88" s="20">
        <f t="shared" si="6"/>
        <v>0</v>
      </c>
      <c r="E88" s="21">
        <v>2886108</v>
      </c>
      <c r="F88" s="54">
        <v>51</v>
      </c>
      <c r="G88" s="271">
        <f t="shared" si="4"/>
        <v>1.7670856392068487E-2</v>
      </c>
      <c r="H88" s="21"/>
      <c r="I88" s="21"/>
    </row>
    <row r="89" spans="2:9">
      <c r="B89" s="12" t="s">
        <v>76</v>
      </c>
      <c r="C89" s="20">
        <f t="shared" si="5"/>
        <v>0</v>
      </c>
      <c r="D89" s="20">
        <f t="shared" si="6"/>
        <v>0</v>
      </c>
      <c r="E89" s="21">
        <v>956292</v>
      </c>
      <c r="F89" s="54">
        <v>51</v>
      </c>
      <c r="G89" s="271">
        <f t="shared" si="4"/>
        <v>5.3330990952554239E-2</v>
      </c>
      <c r="H89" s="21"/>
      <c r="I89" s="21"/>
    </row>
    <row r="90" spans="2:9">
      <c r="B90" s="12" t="s">
        <v>77</v>
      </c>
      <c r="C90" s="20">
        <f t="shared" si="5"/>
        <v>2</v>
      </c>
      <c r="D90" s="20">
        <f t="shared" si="6"/>
        <v>2</v>
      </c>
      <c r="E90" s="21">
        <v>1199747</v>
      </c>
      <c r="F90" s="54">
        <v>109</v>
      </c>
      <c r="G90" s="271">
        <f t="shared" si="4"/>
        <v>9.0852488066233972E-2</v>
      </c>
      <c r="H90" s="21"/>
      <c r="I90" s="21"/>
    </row>
    <row r="91" spans="2:9">
      <c r="B91" s="12" t="s">
        <v>78</v>
      </c>
      <c r="C91" s="20">
        <f t="shared" si="5"/>
        <v>1</v>
      </c>
      <c r="D91" s="20">
        <f t="shared" si="6"/>
        <v>1</v>
      </c>
      <c r="E91" s="21">
        <v>1043385</v>
      </c>
      <c r="F91" s="54">
        <v>196</v>
      </c>
      <c r="G91" s="271">
        <f t="shared" si="4"/>
        <v>0.18785012243802623</v>
      </c>
      <c r="H91" s="21"/>
      <c r="I91" s="21"/>
    </row>
    <row r="92" spans="2:9">
      <c r="B92" s="12" t="s">
        <v>79</v>
      </c>
      <c r="C92" s="20">
        <f t="shared" si="5"/>
        <v>2</v>
      </c>
      <c r="D92" s="20">
        <f t="shared" si="6"/>
        <v>2</v>
      </c>
      <c r="E92" s="21">
        <v>1471140</v>
      </c>
      <c r="F92" s="54">
        <v>45</v>
      </c>
      <c r="G92" s="271">
        <f t="shared" si="4"/>
        <v>3.0588523186100575E-2</v>
      </c>
      <c r="H92" s="21"/>
      <c r="I92" s="21"/>
    </row>
    <row r="93" spans="2:9">
      <c r="B93" s="12" t="s">
        <v>80</v>
      </c>
      <c r="C93" s="20">
        <f t="shared" si="5"/>
        <v>1</v>
      </c>
      <c r="D93" s="20">
        <f t="shared" si="6"/>
        <v>1</v>
      </c>
      <c r="E93" s="21">
        <v>1615454</v>
      </c>
      <c r="F93" s="54">
        <v>89</v>
      </c>
      <c r="G93" s="271">
        <f t="shared" si="4"/>
        <v>5.5092871725223994E-2</v>
      </c>
      <c r="H93" s="21"/>
      <c r="I93" s="21"/>
    </row>
    <row r="94" spans="2:9">
      <c r="B94" s="12" t="s">
        <v>81</v>
      </c>
      <c r="C94" s="20">
        <f t="shared" si="5"/>
        <v>2</v>
      </c>
      <c r="D94" s="20">
        <f t="shared" si="6"/>
        <v>2</v>
      </c>
      <c r="E94" s="21">
        <v>1434557</v>
      </c>
      <c r="F94" s="54">
        <v>50</v>
      </c>
      <c r="G94" s="271">
        <f t="shared" si="4"/>
        <v>3.4853965370494171E-2</v>
      </c>
      <c r="H94" s="21"/>
      <c r="I94" s="21"/>
    </row>
    <row r="95" spans="2:9">
      <c r="B95" s="12" t="s">
        <v>82</v>
      </c>
      <c r="C95" s="20">
        <f t="shared" si="5"/>
        <v>2</v>
      </c>
      <c r="D95" s="20">
        <f t="shared" si="6"/>
        <v>2</v>
      </c>
      <c r="E95" s="21">
        <v>1172782</v>
      </c>
      <c r="F95" s="54">
        <v>107</v>
      </c>
      <c r="G95" s="271">
        <f t="shared" si="4"/>
        <v>9.1236052395074277E-2</v>
      </c>
      <c r="H95" s="21"/>
      <c r="I95" s="21"/>
    </row>
    <row r="96" spans="2:9">
      <c r="B96" s="12" t="s">
        <v>83</v>
      </c>
      <c r="C96" s="20">
        <f t="shared" si="5"/>
        <v>0</v>
      </c>
      <c r="D96" s="20">
        <f t="shared" si="6"/>
        <v>0</v>
      </c>
      <c r="E96" s="21">
        <v>1278132</v>
      </c>
      <c r="F96" s="54">
        <v>63</v>
      </c>
      <c r="G96" s="271">
        <f t="shared" si="4"/>
        <v>4.9290683591366145E-2</v>
      </c>
      <c r="H96" s="21"/>
      <c r="I96" s="21"/>
    </row>
    <row r="97" spans="2:9">
      <c r="B97" s="12" t="s">
        <v>84</v>
      </c>
      <c r="C97" s="20">
        <f t="shared" si="5"/>
        <v>0</v>
      </c>
      <c r="D97" s="20">
        <f t="shared" si="6"/>
        <v>0</v>
      </c>
      <c r="E97" s="21">
        <v>1759386</v>
      </c>
      <c r="F97" s="54">
        <v>11</v>
      </c>
      <c r="G97" s="271">
        <f t="shared" si="4"/>
        <v>6.252181158654212E-3</v>
      </c>
      <c r="H97" s="21"/>
      <c r="I97" s="21"/>
    </row>
    <row r="98" spans="2:9">
      <c r="B98" s="12" t="s">
        <v>166</v>
      </c>
      <c r="C98" s="20">
        <f t="shared" si="5"/>
        <v>2</v>
      </c>
      <c r="D98" s="20">
        <f t="shared" si="6"/>
        <v>2</v>
      </c>
      <c r="E98" s="21"/>
      <c r="F98" s="54"/>
      <c r="G98" s="271" t="str">
        <f t="shared" si="4"/>
        <v/>
      </c>
      <c r="H98" s="21"/>
      <c r="I98" s="21"/>
    </row>
    <row r="99" spans="2:9">
      <c r="B99" s="12" t="s">
        <v>85</v>
      </c>
      <c r="C99" s="20">
        <f t="shared" si="5"/>
        <v>0</v>
      </c>
      <c r="D99" s="20">
        <f t="shared" si="6"/>
        <v>0</v>
      </c>
      <c r="E99" s="21">
        <v>3395798</v>
      </c>
      <c r="F99" s="54">
        <v>54</v>
      </c>
      <c r="G99" s="271">
        <f t="shared" si="4"/>
        <v>1.5902005949706078E-2</v>
      </c>
      <c r="H99" s="21"/>
      <c r="I99" s="21"/>
    </row>
    <row r="100" spans="2:9">
      <c r="B100" s="12" t="s">
        <v>86</v>
      </c>
      <c r="C100" s="20">
        <f t="shared" si="5"/>
        <v>2</v>
      </c>
      <c r="D100" s="20">
        <f t="shared" si="6"/>
        <v>2</v>
      </c>
      <c r="E100" s="21">
        <v>1552866</v>
      </c>
      <c r="F100" s="54">
        <v>345</v>
      </c>
      <c r="G100" s="271">
        <f t="shared" si="4"/>
        <v>0.22216984594936073</v>
      </c>
      <c r="H100" s="21"/>
      <c r="I100" s="21"/>
    </row>
    <row r="101" spans="2:9">
      <c r="B101" s="12" t="s">
        <v>87</v>
      </c>
      <c r="C101" s="20">
        <f t="shared" si="5"/>
        <v>0</v>
      </c>
      <c r="D101" s="20">
        <f t="shared" si="6"/>
        <v>0</v>
      </c>
      <c r="E101" s="21">
        <v>1167061</v>
      </c>
      <c r="F101" s="54">
        <v>1</v>
      </c>
      <c r="G101" s="271">
        <f t="shared" si="4"/>
        <v>8.5685324074748442E-4</v>
      </c>
      <c r="H101" s="21"/>
      <c r="I101" s="21"/>
    </row>
    <row r="102" spans="2:9">
      <c r="B102" s="12" t="s">
        <v>88</v>
      </c>
      <c r="C102" s="20">
        <f t="shared" si="5"/>
        <v>2</v>
      </c>
      <c r="D102" s="20">
        <f t="shared" si="6"/>
        <v>2</v>
      </c>
      <c r="E102" s="21">
        <v>48029</v>
      </c>
      <c r="F102" s="54">
        <v>142</v>
      </c>
      <c r="G102" s="271">
        <f t="shared" si="4"/>
        <v>2.9565470861354597</v>
      </c>
      <c r="H102" s="21"/>
      <c r="I102" s="21"/>
    </row>
    <row r="103" spans="2:9">
      <c r="B103" s="12" t="s">
        <v>89</v>
      </c>
      <c r="C103" s="20">
        <f t="shared" si="5"/>
        <v>2</v>
      </c>
      <c r="D103" s="20">
        <f t="shared" si="6"/>
        <v>2</v>
      </c>
      <c r="E103" s="21">
        <v>515960</v>
      </c>
      <c r="F103" s="54">
        <v>19</v>
      </c>
      <c r="G103" s="271">
        <f t="shared" si="4"/>
        <v>3.6824560043414216E-2</v>
      </c>
      <c r="H103" s="21"/>
      <c r="I103" s="21"/>
    </row>
    <row r="104" spans="2:9">
      <c r="B104" s="12" t="s">
        <v>90</v>
      </c>
      <c r="C104" s="20">
        <f t="shared" si="5"/>
        <v>2</v>
      </c>
      <c r="D104" s="20">
        <f t="shared" si="6"/>
        <v>2</v>
      </c>
      <c r="E104" s="21">
        <v>1187558</v>
      </c>
      <c r="F104" s="54">
        <v>160</v>
      </c>
      <c r="G104" s="271">
        <f t="shared" si="4"/>
        <v>0.13473026159564416</v>
      </c>
      <c r="H104" s="21"/>
      <c r="I104" s="21"/>
    </row>
    <row r="105" spans="2:9">
      <c r="F105" s="21"/>
    </row>
    <row r="106" spans="2:9">
      <c r="F106" s="21"/>
    </row>
    <row r="107" spans="2:9">
      <c r="B107" s="12"/>
      <c r="F107" s="21"/>
    </row>
    <row r="108" spans="2:9">
      <c r="F108" s="21"/>
    </row>
    <row r="109" spans="2:9">
      <c r="E109" s="17"/>
      <c r="H109" s="17"/>
      <c r="I109" s="17"/>
    </row>
    <row r="113" spans="6:6">
      <c r="F113" s="17"/>
    </row>
  </sheetData>
  <pageMargins left="0.7" right="0.7" top="0.75" bottom="0.75" header="0.3" footer="0.3"/>
  <pageSetup paperSize="9"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AK110"/>
  <sheetViews>
    <sheetView workbookViewId="0">
      <pane xSplit="2" ySplit="15" topLeftCell="C91" activePane="bottomRight" state="frozen"/>
      <selection pane="topRight"/>
      <selection pane="bottomLeft"/>
      <selection pane="bottomRight" activeCell="J116" sqref="J116"/>
    </sheetView>
  </sheetViews>
  <sheetFormatPr defaultColWidth="10.8984375" defaultRowHeight="15"/>
  <cols>
    <col min="1" max="1" width="10.8984375" style="9"/>
    <col min="2" max="2" width="30.59765625" style="9" customWidth="1"/>
    <col min="3" max="4" width="13.5" style="13" customWidth="1"/>
    <col min="5" max="6" width="15.09765625" style="38" customWidth="1"/>
    <col min="7" max="7" width="47.8984375" style="13" customWidth="1"/>
    <col min="8" max="16" width="13.5" style="8" customWidth="1"/>
    <col min="17" max="19" width="13.5" style="69" customWidth="1"/>
    <col min="20" max="22" width="13.5" style="8" customWidth="1"/>
    <col min="23" max="28" width="13.5" style="14" customWidth="1"/>
    <col min="29" max="29" width="58.5" style="14" customWidth="1"/>
    <col min="30" max="30" width="32" style="9" customWidth="1"/>
    <col min="31" max="31" width="42.8984375" style="9" customWidth="1"/>
    <col min="32" max="32" width="61.59765625" style="9" customWidth="1"/>
    <col min="33" max="33" width="12.09765625" style="9" customWidth="1"/>
    <col min="34" max="34" width="12" style="9" customWidth="1"/>
    <col min="35" max="35" width="48.5" style="9" customWidth="1"/>
    <col min="36" max="36" width="56.3984375" style="9" customWidth="1"/>
    <col min="37" max="16384" width="10.8984375" style="9"/>
  </cols>
  <sheetData>
    <row r="2" spans="2:37" ht="15.6">
      <c r="B2" s="7" t="s">
        <v>557</v>
      </c>
    </row>
    <row r="4" spans="2:37" s="7" customFormat="1" ht="15.6">
      <c r="B4" s="7" t="s">
        <v>574</v>
      </c>
      <c r="C4" s="50" t="s">
        <v>573</v>
      </c>
      <c r="D4" s="50"/>
      <c r="E4" s="51"/>
      <c r="F4" s="51"/>
      <c r="G4" s="50"/>
      <c r="H4" s="52"/>
      <c r="I4" s="52"/>
      <c r="J4" s="52"/>
      <c r="K4" s="52"/>
      <c r="L4" s="52"/>
      <c r="M4" s="52"/>
      <c r="N4" s="52"/>
      <c r="O4" s="52"/>
      <c r="P4" s="52"/>
      <c r="Q4" s="70"/>
      <c r="R4" s="70"/>
      <c r="S4" s="70"/>
      <c r="T4" s="52"/>
      <c r="U4" s="52"/>
      <c r="V4" s="52"/>
      <c r="W4" s="53"/>
      <c r="X4" s="53"/>
      <c r="Y4" s="53"/>
      <c r="Z4" s="53"/>
      <c r="AA4" s="53"/>
      <c r="AB4" s="53"/>
      <c r="AC4" s="53"/>
    </row>
    <row r="5" spans="2:37">
      <c r="B5" s="9" t="s">
        <v>595</v>
      </c>
      <c r="C5" s="59">
        <v>45566</v>
      </c>
    </row>
    <row r="7" spans="2:37">
      <c r="B7" s="9" t="s">
        <v>92</v>
      </c>
      <c r="AA7" s="15"/>
      <c r="AB7" s="15"/>
    </row>
    <row r="8" spans="2:37">
      <c r="B8" s="9" t="s">
        <v>93</v>
      </c>
      <c r="D8" s="14">
        <v>1.5</v>
      </c>
      <c r="H8" s="9"/>
      <c r="I8" s="9"/>
      <c r="J8" s="9"/>
      <c r="K8" s="9"/>
      <c r="L8" s="9"/>
      <c r="M8" s="9"/>
      <c r="N8" s="9"/>
      <c r="O8" s="9"/>
      <c r="P8" s="9"/>
      <c r="T8" s="9"/>
      <c r="X8" s="16"/>
      <c r="Z8" s="9"/>
      <c r="AA8" s="15"/>
    </row>
    <row r="9" spans="2:37">
      <c r="B9" s="9" t="s">
        <v>94</v>
      </c>
      <c r="D9" s="14">
        <v>0.5</v>
      </c>
      <c r="AB9" s="15"/>
    </row>
    <row r="10" spans="2:37">
      <c r="B10" s="9" t="s">
        <v>95</v>
      </c>
      <c r="H10" s="17"/>
      <c r="I10" s="17"/>
      <c r="J10" s="17"/>
      <c r="K10" s="17"/>
      <c r="L10" s="17"/>
      <c r="M10" s="17"/>
      <c r="N10" s="17"/>
      <c r="O10" s="17"/>
      <c r="P10" s="17"/>
      <c r="T10" s="17"/>
      <c r="AA10" s="15"/>
    </row>
    <row r="11" spans="2:37">
      <c r="B11" s="9" t="s">
        <v>96</v>
      </c>
      <c r="C11" s="15"/>
      <c r="E11" s="39"/>
      <c r="F11" s="39"/>
      <c r="G11" s="15"/>
    </row>
    <row r="12" spans="2:37">
      <c r="C12" s="15"/>
      <c r="E12" s="39"/>
      <c r="F12" s="39"/>
      <c r="G12" s="15"/>
      <c r="H12" s="9"/>
      <c r="I12" s="9"/>
      <c r="J12" s="9"/>
      <c r="K12" s="9"/>
      <c r="L12" s="9"/>
      <c r="M12" s="9"/>
      <c r="N12" s="9"/>
      <c r="O12" s="9"/>
      <c r="P12" s="9"/>
      <c r="T12" s="9"/>
      <c r="X12" s="9"/>
      <c r="Z12" s="9"/>
    </row>
    <row r="14" spans="2:37" s="11" customFormat="1" ht="60">
      <c r="B14" s="11" t="s">
        <v>0</v>
      </c>
      <c r="C14" s="18" t="s">
        <v>118</v>
      </c>
      <c r="D14" s="18" t="s">
        <v>117</v>
      </c>
      <c r="E14" s="40" t="s">
        <v>558</v>
      </c>
      <c r="F14" s="40" t="s">
        <v>559</v>
      </c>
      <c r="G14" s="18" t="s">
        <v>550</v>
      </c>
      <c r="H14" s="10"/>
      <c r="I14" s="10"/>
      <c r="J14" s="10"/>
      <c r="K14" s="10"/>
      <c r="L14" s="10"/>
      <c r="M14" s="10"/>
      <c r="N14" s="10"/>
      <c r="O14" s="10"/>
      <c r="P14" s="10"/>
      <c r="Q14" s="40" t="s">
        <v>592</v>
      </c>
      <c r="R14" s="40" t="s">
        <v>593</v>
      </c>
      <c r="S14" s="40" t="s">
        <v>594</v>
      </c>
      <c r="T14" s="10"/>
      <c r="U14" s="10"/>
      <c r="V14" s="10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</row>
    <row r="15" spans="2:37" s="11" customFormat="1">
      <c r="B15" s="11" t="s">
        <v>105</v>
      </c>
      <c r="C15" s="20"/>
      <c r="D15" s="20"/>
      <c r="E15" s="41"/>
      <c r="F15" s="41" t="str">
        <f>_xlfn.TEXTJOIN(,0,COUNTIF($F$16:$F$104,$F$106)," / ",COUNTIF($F$16:$F$104,$F$107)," / ",COUNTIF($F$16:$F$104,$F$110))</f>
        <v>14 / 19 / 13</v>
      </c>
      <c r="G15" s="20"/>
      <c r="H15" s="21"/>
      <c r="I15" s="21"/>
      <c r="J15" s="21"/>
      <c r="K15" s="21"/>
      <c r="L15" s="21"/>
      <c r="M15" s="21"/>
      <c r="N15" s="21"/>
      <c r="O15" s="21"/>
      <c r="P15" s="21"/>
      <c r="Q15" s="71"/>
      <c r="R15" s="71"/>
      <c r="S15" s="71"/>
      <c r="T15" s="21"/>
      <c r="U15" s="21"/>
      <c r="V15" s="21"/>
      <c r="W15" s="22"/>
      <c r="X15" s="22"/>
      <c r="Y15" s="22"/>
      <c r="Z15" s="22"/>
      <c r="AA15" s="23"/>
      <c r="AB15" s="23"/>
      <c r="AC15" s="23"/>
      <c r="AK15" s="9"/>
    </row>
    <row r="16" spans="2:37">
      <c r="B16" s="12" t="s">
        <v>1</v>
      </c>
      <c r="C16" s="20">
        <f>IF(D16&gt;$D$8,2,IF(D16&gt;$D$9,1,0))</f>
        <v>0</v>
      </c>
      <c r="D16" s="20">
        <f t="shared" ref="D16:D79" si="0">IF(F16=$F$106,2,IF(F16=$F$107,1,0))</f>
        <v>0</v>
      </c>
      <c r="E16" s="42" t="s">
        <v>158</v>
      </c>
      <c r="F16" s="42" t="s">
        <v>596</v>
      </c>
      <c r="G16" s="20" t="str">
        <f t="shared" ref="G16:G79" si="1">IF(F16=$F$106,"Существенное отствание по дорожной карте",IF(F16=$F$107,"Среднее отставание по дорожной карте",IF(E16=$E$108,"Дорожная карта не требуется","Дорожная карта исполняется")))</f>
        <v>Дорожная карта исполняется</v>
      </c>
      <c r="H16" s="21"/>
      <c r="I16" s="21"/>
      <c r="J16" s="21"/>
      <c r="K16" s="21"/>
      <c r="L16" s="21"/>
      <c r="M16" s="21"/>
      <c r="N16" s="21"/>
      <c r="O16" s="21"/>
      <c r="P16" s="21"/>
      <c r="Q16" s="41">
        <v>6</v>
      </c>
      <c r="R16" s="41">
        <v>9</v>
      </c>
      <c r="S16" s="41">
        <f>AVERAGE(Q16:R16)</f>
        <v>7.5</v>
      </c>
      <c r="T16" s="21"/>
      <c r="U16" s="21"/>
      <c r="V16" s="21"/>
      <c r="W16" s="22"/>
      <c r="X16" s="22"/>
      <c r="Y16" s="22"/>
      <c r="Z16" s="22"/>
      <c r="AA16" s="23"/>
      <c r="AB16" s="23"/>
      <c r="AC16" s="9"/>
      <c r="AE16" s="25"/>
    </row>
    <row r="17" spans="2:31">
      <c r="B17" s="12" t="s">
        <v>9</v>
      </c>
      <c r="C17" s="20">
        <f t="shared" ref="C17:C80" si="2">IF(D17&gt;$D$8,2,IF(D17&gt;$D$9,1,0))</f>
        <v>1</v>
      </c>
      <c r="D17" s="20">
        <f t="shared" si="0"/>
        <v>1</v>
      </c>
      <c r="E17" s="42" t="s">
        <v>158</v>
      </c>
      <c r="F17" s="42" t="s">
        <v>562</v>
      </c>
      <c r="G17" s="20" t="str">
        <f t="shared" si="1"/>
        <v>Среднее отставание по дорожной карте</v>
      </c>
      <c r="H17" s="21"/>
      <c r="I17" s="21"/>
      <c r="J17" s="21"/>
      <c r="K17" s="21"/>
      <c r="L17" s="21"/>
      <c r="M17" s="21"/>
      <c r="N17" s="21"/>
      <c r="O17" s="21"/>
      <c r="P17" s="21"/>
      <c r="Q17" s="41">
        <v>12</v>
      </c>
      <c r="R17" s="41">
        <v>26</v>
      </c>
      <c r="S17" s="41">
        <f>AVERAGE(Q17:R17)</f>
        <v>19</v>
      </c>
      <c r="T17" s="21"/>
      <c r="U17" s="21"/>
      <c r="V17" s="21"/>
      <c r="W17" s="22"/>
      <c r="X17" s="22"/>
      <c r="Y17" s="22"/>
      <c r="Z17" s="22"/>
      <c r="AA17" s="23"/>
      <c r="AB17" s="23"/>
      <c r="AC17" s="9"/>
      <c r="AE17" s="25"/>
    </row>
    <row r="18" spans="2:31">
      <c r="B18" s="12" t="s">
        <v>10</v>
      </c>
      <c r="C18" s="20">
        <f t="shared" si="2"/>
        <v>0</v>
      </c>
      <c r="D18" s="20">
        <f t="shared" si="0"/>
        <v>0</v>
      </c>
      <c r="E18" s="42" t="s">
        <v>158</v>
      </c>
      <c r="F18" s="42" t="s">
        <v>596</v>
      </c>
      <c r="G18" s="20" t="str">
        <f t="shared" si="1"/>
        <v>Дорожная карта исполняется</v>
      </c>
      <c r="H18" s="21"/>
      <c r="I18" s="21"/>
      <c r="J18" s="21"/>
      <c r="K18" s="21"/>
      <c r="L18" s="21"/>
      <c r="M18" s="21"/>
      <c r="N18" s="21"/>
      <c r="O18" s="21"/>
      <c r="P18" s="21"/>
      <c r="Q18" s="41">
        <v>4.5999999999999996</v>
      </c>
      <c r="R18" s="41">
        <v>19</v>
      </c>
      <c r="S18" s="41">
        <f>AVERAGE(Q18:R18)</f>
        <v>11.8</v>
      </c>
      <c r="T18" s="21"/>
      <c r="U18" s="21"/>
      <c r="V18" s="21"/>
      <c r="W18" s="22"/>
      <c r="X18" s="22"/>
      <c r="Y18" s="22"/>
      <c r="Z18" s="22"/>
      <c r="AA18" s="23"/>
      <c r="AB18" s="23"/>
      <c r="AC18" s="9"/>
      <c r="AE18" s="25"/>
    </row>
    <row r="19" spans="2:31">
      <c r="B19" s="12" t="s">
        <v>2</v>
      </c>
      <c r="C19" s="20">
        <f t="shared" si="2"/>
        <v>2</v>
      </c>
      <c r="D19" s="20">
        <f t="shared" si="0"/>
        <v>2</v>
      </c>
      <c r="E19" s="42" t="s">
        <v>158</v>
      </c>
      <c r="F19" s="42" t="s">
        <v>561</v>
      </c>
      <c r="G19" s="20" t="str">
        <f t="shared" si="1"/>
        <v>Существенное отствание по дорожной карте</v>
      </c>
      <c r="H19" s="21"/>
      <c r="I19" s="21"/>
      <c r="J19" s="21"/>
      <c r="K19" s="21"/>
      <c r="L19" s="21"/>
      <c r="M19" s="21"/>
      <c r="N19" s="21"/>
      <c r="O19" s="21"/>
      <c r="P19" s="21"/>
      <c r="Q19" s="41">
        <v>14</v>
      </c>
      <c r="R19" s="41">
        <v>16</v>
      </c>
      <c r="S19" s="41">
        <f>AVERAGE(Q19:R19)</f>
        <v>15</v>
      </c>
      <c r="T19" s="21"/>
      <c r="U19" s="21"/>
      <c r="V19" s="21"/>
      <c r="W19" s="22"/>
      <c r="X19" s="22"/>
      <c r="Y19" s="22"/>
      <c r="Z19" s="22"/>
      <c r="AA19" s="23"/>
      <c r="AB19" s="23"/>
      <c r="AC19" s="9"/>
      <c r="AE19" s="25"/>
    </row>
    <row r="20" spans="2:31">
      <c r="B20" s="12" t="s">
        <v>11</v>
      </c>
      <c r="C20" s="20">
        <f t="shared" si="2"/>
        <v>0</v>
      </c>
      <c r="D20" s="20">
        <f t="shared" si="0"/>
        <v>0</v>
      </c>
      <c r="E20" s="42" t="s">
        <v>560</v>
      </c>
      <c r="F20" s="42" t="s">
        <v>560</v>
      </c>
      <c r="G20" s="20" t="str">
        <f t="shared" si="1"/>
        <v>Дорожная карта исполняется</v>
      </c>
      <c r="H20" s="21"/>
      <c r="I20" s="21"/>
      <c r="J20" s="21"/>
      <c r="K20" s="21"/>
      <c r="L20" s="21"/>
      <c r="M20" s="21"/>
      <c r="N20" s="21"/>
      <c r="O20" s="21"/>
      <c r="P20" s="21"/>
      <c r="Q20" s="41" t="s">
        <v>560</v>
      </c>
      <c r="R20" s="41" t="s">
        <v>560</v>
      </c>
      <c r="S20" s="41" t="s">
        <v>560</v>
      </c>
      <c r="T20" s="21"/>
      <c r="U20" s="21"/>
      <c r="V20" s="21"/>
      <c r="W20" s="22"/>
      <c r="X20" s="22"/>
      <c r="Y20" s="22"/>
      <c r="Z20" s="22"/>
      <c r="AA20" s="23"/>
      <c r="AB20" s="23"/>
      <c r="AC20" s="9"/>
      <c r="AE20" s="25"/>
    </row>
    <row r="21" spans="2:31">
      <c r="B21" s="12" t="s">
        <v>12</v>
      </c>
      <c r="C21" s="20">
        <f t="shared" si="2"/>
        <v>0</v>
      </c>
      <c r="D21" s="20">
        <f t="shared" si="0"/>
        <v>0</v>
      </c>
      <c r="E21" s="42" t="s">
        <v>158</v>
      </c>
      <c r="F21" s="42" t="s">
        <v>596</v>
      </c>
      <c r="G21" s="20" t="str">
        <f t="shared" si="1"/>
        <v>Дорожная карта исполняется</v>
      </c>
      <c r="H21" s="21"/>
      <c r="I21" s="21"/>
      <c r="J21" s="21"/>
      <c r="K21" s="21"/>
      <c r="L21" s="21"/>
      <c r="M21" s="21"/>
      <c r="N21" s="21"/>
      <c r="O21" s="21"/>
      <c r="P21" s="21"/>
      <c r="Q21" s="41">
        <v>22</v>
      </c>
      <c r="R21" s="41">
        <v>24</v>
      </c>
      <c r="S21" s="41">
        <f>AVERAGE(Q21:R21)</f>
        <v>23</v>
      </c>
      <c r="T21" s="21"/>
      <c r="U21" s="21"/>
      <c r="V21" s="21"/>
      <c r="W21" s="22"/>
      <c r="X21" s="22"/>
      <c r="Y21" s="22"/>
      <c r="Z21" s="22"/>
      <c r="AA21" s="23"/>
      <c r="AB21" s="23"/>
      <c r="AC21" s="9"/>
      <c r="AE21" s="25"/>
    </row>
    <row r="22" spans="2:31">
      <c r="B22" s="12" t="s">
        <v>13</v>
      </c>
      <c r="C22" s="20">
        <f t="shared" si="2"/>
        <v>1</v>
      </c>
      <c r="D22" s="20">
        <f t="shared" si="0"/>
        <v>1</v>
      </c>
      <c r="E22" s="42" t="s">
        <v>158</v>
      </c>
      <c r="F22" s="42" t="s">
        <v>562</v>
      </c>
      <c r="G22" s="20" t="str">
        <f t="shared" si="1"/>
        <v>Среднее отставание по дорожной карте</v>
      </c>
      <c r="H22" s="21"/>
      <c r="I22" s="21"/>
      <c r="J22" s="21"/>
      <c r="K22" s="21"/>
      <c r="L22" s="21"/>
      <c r="M22" s="21"/>
      <c r="N22" s="21"/>
      <c r="O22" s="21"/>
      <c r="P22" s="21"/>
      <c r="Q22" s="41">
        <v>11</v>
      </c>
      <c r="R22" s="41">
        <v>22</v>
      </c>
      <c r="S22" s="41">
        <f>AVERAGE(Q22:R22)</f>
        <v>16.5</v>
      </c>
      <c r="T22" s="21"/>
      <c r="U22" s="21"/>
      <c r="V22" s="21"/>
      <c r="W22" s="22"/>
      <c r="X22" s="22"/>
      <c r="Y22" s="22"/>
      <c r="Z22" s="22"/>
      <c r="AA22" s="23"/>
      <c r="AB22" s="23"/>
      <c r="AC22" s="9"/>
      <c r="AE22" s="25"/>
    </row>
    <row r="23" spans="2:31">
      <c r="B23" s="12" t="s">
        <v>14</v>
      </c>
      <c r="C23" s="20">
        <f t="shared" si="2"/>
        <v>0</v>
      </c>
      <c r="D23" s="20">
        <f t="shared" si="0"/>
        <v>0</v>
      </c>
      <c r="E23" s="42" t="s">
        <v>560</v>
      </c>
      <c r="F23" s="42" t="s">
        <v>560</v>
      </c>
      <c r="G23" s="20" t="str">
        <f t="shared" si="1"/>
        <v>Дорожная карта исполняется</v>
      </c>
      <c r="H23" s="21"/>
      <c r="I23" s="21"/>
      <c r="J23" s="21"/>
      <c r="K23" s="21"/>
      <c r="L23" s="21"/>
      <c r="M23" s="21"/>
      <c r="N23" s="21"/>
      <c r="O23" s="21"/>
      <c r="P23" s="21"/>
      <c r="Q23" s="41" t="s">
        <v>560</v>
      </c>
      <c r="R23" s="41" t="s">
        <v>560</v>
      </c>
      <c r="S23" s="41" t="s">
        <v>560</v>
      </c>
      <c r="T23" s="21"/>
      <c r="U23" s="21"/>
      <c r="V23" s="21"/>
      <c r="W23" s="22"/>
      <c r="X23" s="22"/>
      <c r="Y23" s="22"/>
      <c r="Z23" s="22"/>
      <c r="AA23" s="23"/>
      <c r="AB23" s="23"/>
      <c r="AC23" s="9"/>
      <c r="AE23" s="25"/>
    </row>
    <row r="24" spans="2:31">
      <c r="B24" s="12" t="s">
        <v>15</v>
      </c>
      <c r="C24" s="20">
        <f t="shared" si="2"/>
        <v>1</v>
      </c>
      <c r="D24" s="20">
        <f t="shared" si="0"/>
        <v>1</v>
      </c>
      <c r="E24" s="42" t="s">
        <v>158</v>
      </c>
      <c r="F24" s="42" t="s">
        <v>562</v>
      </c>
      <c r="G24" s="20" t="str">
        <f t="shared" si="1"/>
        <v>Среднее отставание по дорожной карте</v>
      </c>
      <c r="H24" s="21"/>
      <c r="I24" s="21"/>
      <c r="J24" s="21"/>
      <c r="K24" s="21"/>
      <c r="L24" s="21"/>
      <c r="M24" s="21"/>
      <c r="N24" s="21"/>
      <c r="O24" s="21"/>
      <c r="P24" s="21"/>
      <c r="Q24" s="41">
        <v>7</v>
      </c>
      <c r="R24" s="41">
        <v>22</v>
      </c>
      <c r="S24" s="41">
        <f>AVERAGE(Q24:R24)</f>
        <v>14.5</v>
      </c>
      <c r="T24" s="21"/>
      <c r="U24" s="21"/>
      <c r="V24" s="21"/>
      <c r="W24" s="22"/>
      <c r="X24" s="22"/>
      <c r="Y24" s="22"/>
      <c r="Z24" s="22"/>
      <c r="AA24" s="23"/>
      <c r="AB24" s="23"/>
      <c r="AC24" s="9"/>
      <c r="AE24" s="25"/>
    </row>
    <row r="25" spans="2:31">
      <c r="B25" s="12" t="s">
        <v>16</v>
      </c>
      <c r="C25" s="20">
        <f t="shared" si="2"/>
        <v>2</v>
      </c>
      <c r="D25" s="20">
        <f t="shared" si="0"/>
        <v>2</v>
      </c>
      <c r="E25" s="42" t="s">
        <v>158</v>
      </c>
      <c r="F25" s="42" t="s">
        <v>561</v>
      </c>
      <c r="G25" s="20" t="str">
        <f t="shared" si="1"/>
        <v>Существенное отствание по дорожной карте</v>
      </c>
      <c r="H25" s="21"/>
      <c r="I25" s="21"/>
      <c r="J25" s="21"/>
      <c r="K25" s="21"/>
      <c r="L25" s="21"/>
      <c r="M25" s="21"/>
      <c r="N25" s="21"/>
      <c r="O25" s="21"/>
      <c r="P25" s="21"/>
      <c r="Q25" s="41">
        <v>7.2</v>
      </c>
      <c r="R25" s="41">
        <v>17.7</v>
      </c>
      <c r="S25" s="41">
        <f>AVERAGE(Q25:R25)</f>
        <v>12.45</v>
      </c>
      <c r="T25" s="21"/>
      <c r="U25" s="21"/>
      <c r="V25" s="21"/>
      <c r="W25" s="22"/>
      <c r="X25" s="22"/>
      <c r="Y25" s="22"/>
      <c r="Z25" s="22"/>
      <c r="AA25" s="23"/>
      <c r="AB25" s="23"/>
      <c r="AC25" s="9"/>
      <c r="AE25" s="25"/>
    </row>
    <row r="26" spans="2:31">
      <c r="B26" s="12" t="s">
        <v>17</v>
      </c>
      <c r="C26" s="20">
        <f t="shared" si="2"/>
        <v>0</v>
      </c>
      <c r="D26" s="20">
        <f t="shared" si="0"/>
        <v>0</v>
      </c>
      <c r="E26" s="42" t="s">
        <v>560</v>
      </c>
      <c r="F26" s="42" t="s">
        <v>560</v>
      </c>
      <c r="G26" s="20" t="str">
        <f t="shared" si="1"/>
        <v>Дорожная карта исполняется</v>
      </c>
      <c r="H26" s="21"/>
      <c r="I26" s="21"/>
      <c r="J26" s="21"/>
      <c r="K26" s="21"/>
      <c r="L26" s="21"/>
      <c r="M26" s="21"/>
      <c r="N26" s="21"/>
      <c r="O26" s="21"/>
      <c r="P26" s="21"/>
      <c r="Q26" s="41" t="s">
        <v>560</v>
      </c>
      <c r="R26" s="41" t="s">
        <v>560</v>
      </c>
      <c r="S26" s="41" t="s">
        <v>560</v>
      </c>
      <c r="T26" s="21"/>
      <c r="U26" s="21"/>
      <c r="V26" s="21"/>
      <c r="W26" s="22"/>
      <c r="X26" s="22"/>
      <c r="Y26" s="22"/>
      <c r="Z26" s="22"/>
      <c r="AA26" s="23"/>
      <c r="AB26" s="23"/>
      <c r="AC26" s="9"/>
      <c r="AE26" s="25"/>
    </row>
    <row r="27" spans="2:31">
      <c r="B27" s="12" t="s">
        <v>18</v>
      </c>
      <c r="C27" s="20">
        <f t="shared" si="2"/>
        <v>0</v>
      </c>
      <c r="D27" s="20">
        <f t="shared" si="0"/>
        <v>0</v>
      </c>
      <c r="E27" s="42" t="s">
        <v>158</v>
      </c>
      <c r="F27" s="42" t="s">
        <v>563</v>
      </c>
      <c r="G27" s="20" t="str">
        <f t="shared" si="1"/>
        <v>Дорожная карта исполняется</v>
      </c>
      <c r="H27" s="21"/>
      <c r="I27" s="21"/>
      <c r="J27" s="21"/>
      <c r="K27" s="21"/>
      <c r="L27" s="21"/>
      <c r="M27" s="21"/>
      <c r="N27" s="21"/>
      <c r="O27" s="21"/>
      <c r="P27" s="21"/>
      <c r="Q27" s="41">
        <v>0</v>
      </c>
      <c r="R27" s="41">
        <v>0</v>
      </c>
      <c r="S27" s="41">
        <f>AVERAGE(Q27:R27)</f>
        <v>0</v>
      </c>
      <c r="T27" s="21"/>
      <c r="U27" s="21"/>
      <c r="V27" s="21"/>
      <c r="W27" s="22"/>
      <c r="X27" s="22"/>
      <c r="Y27" s="22"/>
      <c r="Z27" s="22"/>
      <c r="AA27" s="23"/>
      <c r="AB27" s="23"/>
      <c r="AC27" s="9"/>
      <c r="AE27" s="25"/>
    </row>
    <row r="28" spans="2:31">
      <c r="B28" s="12" t="s">
        <v>19</v>
      </c>
      <c r="C28" s="20">
        <f t="shared" si="2"/>
        <v>2</v>
      </c>
      <c r="D28" s="20">
        <f t="shared" si="0"/>
        <v>2</v>
      </c>
      <c r="E28" s="42" t="s">
        <v>158</v>
      </c>
      <c r="F28" s="42" t="s">
        <v>561</v>
      </c>
      <c r="G28" s="20" t="str">
        <f t="shared" si="1"/>
        <v>Существенное отствание по дорожной карте</v>
      </c>
      <c r="H28" s="21"/>
      <c r="I28" s="21"/>
      <c r="J28" s="21"/>
      <c r="K28" s="21"/>
      <c r="L28" s="21"/>
      <c r="M28" s="21"/>
      <c r="N28" s="21"/>
      <c r="O28" s="21"/>
      <c r="P28" s="21"/>
      <c r="Q28" s="41">
        <v>18</v>
      </c>
      <c r="R28" s="41">
        <v>29</v>
      </c>
      <c r="S28" s="41">
        <f>AVERAGE(Q28:R28)</f>
        <v>23.5</v>
      </c>
      <c r="T28" s="21"/>
      <c r="U28" s="21"/>
      <c r="V28" s="21"/>
      <c r="W28" s="22"/>
      <c r="X28" s="22"/>
      <c r="Y28" s="22"/>
      <c r="Z28" s="22"/>
      <c r="AA28" s="23"/>
      <c r="AB28" s="23"/>
      <c r="AC28" s="9"/>
      <c r="AE28" s="25"/>
    </row>
    <row r="29" spans="2:31">
      <c r="B29" s="12" t="s">
        <v>580</v>
      </c>
      <c r="C29" s="20">
        <f t="shared" si="2"/>
        <v>0</v>
      </c>
      <c r="D29" s="20">
        <f t="shared" si="0"/>
        <v>0</v>
      </c>
      <c r="E29" s="42" t="s">
        <v>560</v>
      </c>
      <c r="F29" s="42" t="s">
        <v>560</v>
      </c>
      <c r="G29" s="20" t="str">
        <f t="shared" si="1"/>
        <v>Дорожная карта исполняется</v>
      </c>
      <c r="H29" s="21"/>
      <c r="I29" s="21"/>
      <c r="J29" s="21"/>
      <c r="K29" s="21"/>
      <c r="L29" s="21"/>
      <c r="M29" s="21"/>
      <c r="N29" s="21"/>
      <c r="O29" s="21"/>
      <c r="P29" s="21"/>
      <c r="Q29" s="41" t="s">
        <v>560</v>
      </c>
      <c r="R29" s="41" t="s">
        <v>560</v>
      </c>
      <c r="S29" s="41" t="s">
        <v>560</v>
      </c>
      <c r="T29" s="21"/>
      <c r="U29" s="21"/>
      <c r="V29" s="21"/>
      <c r="W29" s="22"/>
      <c r="X29" s="22"/>
      <c r="Y29" s="22"/>
      <c r="Z29" s="22"/>
      <c r="AA29" s="23"/>
      <c r="AB29" s="23"/>
      <c r="AC29" s="9"/>
      <c r="AE29" s="25"/>
    </row>
    <row r="30" spans="2:31">
      <c r="B30" s="12" t="s">
        <v>20</v>
      </c>
      <c r="C30" s="20">
        <f t="shared" si="2"/>
        <v>2</v>
      </c>
      <c r="D30" s="20">
        <f t="shared" si="0"/>
        <v>2</v>
      </c>
      <c r="E30" s="42" t="s">
        <v>158</v>
      </c>
      <c r="F30" s="42" t="s">
        <v>561</v>
      </c>
      <c r="G30" s="20" t="str">
        <f t="shared" si="1"/>
        <v>Существенное отствание по дорожной карте</v>
      </c>
      <c r="H30" s="21"/>
      <c r="I30" s="21"/>
      <c r="J30" s="21"/>
      <c r="K30" s="21"/>
      <c r="L30" s="21"/>
      <c r="M30" s="21"/>
      <c r="N30" s="21"/>
      <c r="O30" s="21"/>
      <c r="P30" s="21"/>
      <c r="Q30" s="41">
        <v>16</v>
      </c>
      <c r="R30" s="41">
        <v>27</v>
      </c>
      <c r="S30" s="41">
        <f>AVERAGE(Q30:R30)</f>
        <v>21.5</v>
      </c>
      <c r="T30" s="21"/>
      <c r="U30" s="21"/>
      <c r="V30" s="21"/>
      <c r="W30" s="22"/>
      <c r="X30" s="22"/>
      <c r="Y30" s="22"/>
      <c r="Z30" s="22"/>
      <c r="AA30" s="23"/>
      <c r="AB30" s="23"/>
      <c r="AC30" s="9"/>
      <c r="AE30" s="25"/>
    </row>
    <row r="31" spans="2:31">
      <c r="B31" s="12" t="s">
        <v>21</v>
      </c>
      <c r="C31" s="20">
        <f t="shared" si="2"/>
        <v>2</v>
      </c>
      <c r="D31" s="20">
        <f t="shared" si="0"/>
        <v>2</v>
      </c>
      <c r="E31" s="42" t="s">
        <v>158</v>
      </c>
      <c r="F31" s="42" t="s">
        <v>561</v>
      </c>
      <c r="G31" s="20" t="str">
        <f t="shared" si="1"/>
        <v>Существенное отствание по дорожной карте</v>
      </c>
      <c r="H31" s="21"/>
      <c r="I31" s="21"/>
      <c r="J31" s="21"/>
      <c r="K31" s="21"/>
      <c r="L31" s="21"/>
      <c r="M31" s="21"/>
      <c r="N31" s="21"/>
      <c r="O31" s="21"/>
      <c r="P31" s="21"/>
      <c r="Q31" s="41">
        <v>12</v>
      </c>
      <c r="R31" s="41">
        <v>16</v>
      </c>
      <c r="S31" s="41">
        <f>AVERAGE(Q31:R31)</f>
        <v>14</v>
      </c>
      <c r="T31" s="21"/>
      <c r="U31" s="21"/>
      <c r="V31" s="21"/>
      <c r="W31" s="22"/>
      <c r="X31" s="22"/>
      <c r="Y31" s="22"/>
      <c r="Z31" s="22"/>
      <c r="AA31" s="23"/>
      <c r="AB31" s="23"/>
      <c r="AC31" s="9"/>
      <c r="AE31" s="25"/>
    </row>
    <row r="32" spans="2:31">
      <c r="B32" s="12" t="s">
        <v>163</v>
      </c>
      <c r="C32" s="20">
        <f t="shared" si="2"/>
        <v>0</v>
      </c>
      <c r="D32" s="20">
        <f t="shared" si="0"/>
        <v>0</v>
      </c>
      <c r="E32" s="42" t="s">
        <v>560</v>
      </c>
      <c r="F32" s="42" t="s">
        <v>560</v>
      </c>
      <c r="G32" s="20" t="str">
        <f t="shared" si="1"/>
        <v>Дорожная карта исполняется</v>
      </c>
      <c r="H32" s="21"/>
      <c r="I32" s="21"/>
      <c r="J32" s="21"/>
      <c r="K32" s="21"/>
      <c r="L32" s="21"/>
      <c r="M32" s="21"/>
      <c r="N32" s="21"/>
      <c r="O32" s="21"/>
      <c r="P32" s="21"/>
      <c r="Q32" s="41" t="s">
        <v>560</v>
      </c>
      <c r="R32" s="41" t="s">
        <v>560</v>
      </c>
      <c r="S32" s="41" t="s">
        <v>560</v>
      </c>
      <c r="T32" s="21"/>
      <c r="U32" s="21"/>
      <c r="V32" s="21"/>
      <c r="W32" s="22"/>
      <c r="X32" s="22"/>
      <c r="Y32" s="22"/>
      <c r="Z32" s="22"/>
      <c r="AA32" s="23"/>
      <c r="AB32" s="23"/>
      <c r="AC32" s="9"/>
      <c r="AE32" s="25"/>
    </row>
    <row r="33" spans="2:31">
      <c r="B33" s="12" t="s">
        <v>22</v>
      </c>
      <c r="C33" s="20">
        <f t="shared" si="2"/>
        <v>0</v>
      </c>
      <c r="D33" s="20">
        <f t="shared" si="0"/>
        <v>0</v>
      </c>
      <c r="E33" s="42" t="s">
        <v>158</v>
      </c>
      <c r="F33" s="42" t="s">
        <v>596</v>
      </c>
      <c r="G33" s="20" t="str">
        <f t="shared" si="1"/>
        <v>Дорожная карта исполняется</v>
      </c>
      <c r="H33" s="21"/>
      <c r="I33" s="21"/>
      <c r="J33" s="21"/>
      <c r="K33" s="21"/>
      <c r="L33" s="21"/>
      <c r="M33" s="21"/>
      <c r="N33" s="21"/>
      <c r="O33" s="21"/>
      <c r="P33" s="21"/>
      <c r="Q33" s="41">
        <v>5</v>
      </c>
      <c r="R33" s="41">
        <v>16</v>
      </c>
      <c r="S33" s="41">
        <f>AVERAGE(S30:S31)</f>
        <v>17.75</v>
      </c>
      <c r="T33" s="21"/>
      <c r="U33" s="21"/>
      <c r="V33" s="21"/>
      <c r="W33" s="22"/>
      <c r="X33" s="22"/>
      <c r="Y33" s="22"/>
      <c r="Z33" s="22"/>
      <c r="AA33" s="23"/>
      <c r="AB33" s="23"/>
      <c r="AC33" s="9"/>
      <c r="AE33" s="25"/>
    </row>
    <row r="34" spans="2:31">
      <c r="B34" s="12" t="s">
        <v>23</v>
      </c>
      <c r="C34" s="20">
        <f t="shared" si="2"/>
        <v>0</v>
      </c>
      <c r="D34" s="20">
        <f t="shared" si="0"/>
        <v>0</v>
      </c>
      <c r="E34" s="42" t="s">
        <v>158</v>
      </c>
      <c r="F34" s="42" t="s">
        <v>563</v>
      </c>
      <c r="G34" s="20" t="str">
        <f t="shared" si="1"/>
        <v>Дорожная карта исполняется</v>
      </c>
      <c r="H34" s="21"/>
      <c r="I34" s="21"/>
      <c r="J34" s="21"/>
      <c r="K34" s="21"/>
      <c r="L34" s="21"/>
      <c r="M34" s="21"/>
      <c r="N34" s="21"/>
      <c r="O34" s="21"/>
      <c r="P34" s="21"/>
      <c r="Q34" s="41">
        <v>0</v>
      </c>
      <c r="R34" s="41">
        <v>12</v>
      </c>
      <c r="S34" s="41">
        <f t="shared" ref="S34:S39" si="3">AVERAGE(Q34:R34)</f>
        <v>6</v>
      </c>
      <c r="T34" s="21"/>
      <c r="U34" s="21"/>
      <c r="V34" s="21"/>
      <c r="W34" s="22"/>
      <c r="X34" s="22"/>
      <c r="Y34" s="22"/>
      <c r="Z34" s="22"/>
      <c r="AA34" s="23"/>
      <c r="AB34" s="23"/>
      <c r="AC34" s="9"/>
      <c r="AE34" s="25"/>
    </row>
    <row r="35" spans="2:31">
      <c r="B35" s="12" t="s">
        <v>24</v>
      </c>
      <c r="C35" s="20">
        <f t="shared" si="2"/>
        <v>0</v>
      </c>
      <c r="D35" s="20">
        <f t="shared" si="0"/>
        <v>0</v>
      </c>
      <c r="E35" s="42" t="s">
        <v>158</v>
      </c>
      <c r="F35" s="42" t="s">
        <v>596</v>
      </c>
      <c r="G35" s="20" t="str">
        <f t="shared" si="1"/>
        <v>Дорожная карта исполняется</v>
      </c>
      <c r="H35" s="21"/>
      <c r="I35" s="21"/>
      <c r="J35" s="21"/>
      <c r="K35" s="21"/>
      <c r="L35" s="21"/>
      <c r="M35" s="21"/>
      <c r="N35" s="21"/>
      <c r="O35" s="21"/>
      <c r="P35" s="21"/>
      <c r="Q35" s="41">
        <v>10</v>
      </c>
      <c r="R35" s="41">
        <v>14</v>
      </c>
      <c r="S35" s="41">
        <f t="shared" si="3"/>
        <v>12</v>
      </c>
      <c r="T35" s="21"/>
      <c r="U35" s="21"/>
      <c r="V35" s="21"/>
      <c r="W35" s="22"/>
      <c r="X35" s="22"/>
      <c r="Y35" s="22"/>
      <c r="Z35" s="22"/>
      <c r="AA35" s="23"/>
      <c r="AB35" s="23"/>
      <c r="AC35" s="9"/>
      <c r="AE35" s="25"/>
    </row>
    <row r="36" spans="2:31">
      <c r="B36" s="12" t="s">
        <v>25</v>
      </c>
      <c r="C36" s="20">
        <f t="shared" si="2"/>
        <v>1</v>
      </c>
      <c r="D36" s="20">
        <f t="shared" si="0"/>
        <v>1</v>
      </c>
      <c r="E36" s="42" t="s">
        <v>158</v>
      </c>
      <c r="F36" s="42" t="s">
        <v>562</v>
      </c>
      <c r="G36" s="20" t="str">
        <f t="shared" si="1"/>
        <v>Среднее отставание по дорожной карте</v>
      </c>
      <c r="H36" s="21"/>
      <c r="I36" s="21"/>
      <c r="J36" s="21"/>
      <c r="K36" s="21"/>
      <c r="L36" s="21"/>
      <c r="M36" s="21"/>
      <c r="N36" s="21"/>
      <c r="O36" s="21"/>
      <c r="P36" s="21"/>
      <c r="Q36" s="41">
        <v>0</v>
      </c>
      <c r="R36" s="41">
        <v>0</v>
      </c>
      <c r="S36" s="41">
        <f t="shared" si="3"/>
        <v>0</v>
      </c>
      <c r="T36" s="21"/>
      <c r="U36" s="21"/>
      <c r="V36" s="21"/>
      <c r="W36" s="22"/>
      <c r="X36" s="22"/>
      <c r="Y36" s="22"/>
      <c r="Z36" s="22"/>
      <c r="AA36" s="23"/>
      <c r="AB36" s="23"/>
      <c r="AC36" s="9"/>
      <c r="AE36" s="25"/>
    </row>
    <row r="37" spans="2:31">
      <c r="B37" s="12" t="s">
        <v>26</v>
      </c>
      <c r="C37" s="20">
        <f t="shared" si="2"/>
        <v>1</v>
      </c>
      <c r="D37" s="20">
        <f t="shared" si="0"/>
        <v>1</v>
      </c>
      <c r="E37" s="42" t="s">
        <v>158</v>
      </c>
      <c r="F37" s="42" t="s">
        <v>562</v>
      </c>
      <c r="G37" s="20" t="str">
        <f t="shared" si="1"/>
        <v>Среднее отставание по дорожной карте</v>
      </c>
      <c r="H37" s="21"/>
      <c r="I37" s="21"/>
      <c r="J37" s="21"/>
      <c r="K37" s="21"/>
      <c r="L37" s="21"/>
      <c r="M37" s="21"/>
      <c r="N37" s="21"/>
      <c r="O37" s="21"/>
      <c r="P37" s="21"/>
      <c r="Q37" s="41">
        <v>5</v>
      </c>
      <c r="R37" s="41">
        <v>10</v>
      </c>
      <c r="S37" s="41">
        <f t="shared" si="3"/>
        <v>7.5</v>
      </c>
      <c r="T37" s="21"/>
      <c r="U37" s="21"/>
      <c r="V37" s="21"/>
      <c r="W37" s="22"/>
      <c r="X37" s="22"/>
      <c r="Y37" s="22"/>
      <c r="Z37" s="22"/>
      <c r="AA37" s="23"/>
      <c r="AB37" s="23"/>
      <c r="AC37" s="9"/>
      <c r="AE37" s="25"/>
    </row>
    <row r="38" spans="2:31">
      <c r="B38" s="12" t="s">
        <v>27</v>
      </c>
      <c r="C38" s="20">
        <f t="shared" si="2"/>
        <v>1</v>
      </c>
      <c r="D38" s="20">
        <f t="shared" si="0"/>
        <v>1</v>
      </c>
      <c r="E38" s="42" t="s">
        <v>158</v>
      </c>
      <c r="F38" s="42" t="s">
        <v>562</v>
      </c>
      <c r="G38" s="20" t="str">
        <f t="shared" si="1"/>
        <v>Среднее отставание по дорожной карте</v>
      </c>
      <c r="H38" s="21"/>
      <c r="I38" s="21"/>
      <c r="J38" s="21"/>
      <c r="K38" s="21"/>
      <c r="L38" s="21"/>
      <c r="M38" s="21"/>
      <c r="N38" s="21"/>
      <c r="O38" s="21"/>
      <c r="P38" s="21"/>
      <c r="Q38" s="41">
        <v>9</v>
      </c>
      <c r="R38" s="41">
        <v>13</v>
      </c>
      <c r="S38" s="41">
        <f t="shared" si="3"/>
        <v>11</v>
      </c>
      <c r="T38" s="21"/>
      <c r="U38" s="21"/>
      <c r="V38" s="21"/>
      <c r="W38" s="22"/>
      <c r="X38" s="22"/>
      <c r="Y38" s="22"/>
      <c r="Z38" s="22"/>
      <c r="AA38" s="23"/>
      <c r="AB38" s="23"/>
      <c r="AC38" s="9"/>
      <c r="AE38" s="25"/>
    </row>
    <row r="39" spans="2:31">
      <c r="B39" s="12" t="s">
        <v>28</v>
      </c>
      <c r="C39" s="20">
        <f t="shared" si="2"/>
        <v>2</v>
      </c>
      <c r="D39" s="20">
        <f t="shared" si="0"/>
        <v>2</v>
      </c>
      <c r="E39" s="42" t="s">
        <v>158</v>
      </c>
      <c r="F39" s="42" t="s">
        <v>561</v>
      </c>
      <c r="G39" s="20" t="str">
        <f t="shared" si="1"/>
        <v>Существенное отствание по дорожной карте</v>
      </c>
      <c r="H39" s="21"/>
      <c r="I39" s="21"/>
      <c r="J39" s="21"/>
      <c r="K39" s="21"/>
      <c r="L39" s="21"/>
      <c r="M39" s="21"/>
      <c r="N39" s="21"/>
      <c r="O39" s="21"/>
      <c r="P39" s="21"/>
      <c r="Q39" s="41">
        <v>11</v>
      </c>
      <c r="R39" s="41">
        <v>26</v>
      </c>
      <c r="S39" s="41">
        <f t="shared" si="3"/>
        <v>18.5</v>
      </c>
      <c r="T39" s="21"/>
      <c r="U39" s="21"/>
      <c r="V39" s="21"/>
      <c r="W39" s="22"/>
      <c r="X39" s="22"/>
      <c r="Y39" s="22"/>
      <c r="Z39" s="22"/>
      <c r="AA39" s="23"/>
      <c r="AB39" s="23"/>
      <c r="AC39" s="9"/>
      <c r="AE39" s="25"/>
    </row>
    <row r="40" spans="2:31">
      <c r="B40" s="12" t="s">
        <v>29</v>
      </c>
      <c r="C40" s="20">
        <f t="shared" si="2"/>
        <v>0</v>
      </c>
      <c r="D40" s="20">
        <f t="shared" si="0"/>
        <v>0</v>
      </c>
      <c r="E40" s="42" t="s">
        <v>158</v>
      </c>
      <c r="F40" s="42" t="s">
        <v>563</v>
      </c>
      <c r="G40" s="20" t="str">
        <f t="shared" si="1"/>
        <v>Дорожная карта исполняется</v>
      </c>
      <c r="H40" s="21"/>
      <c r="I40" s="21"/>
      <c r="J40" s="21"/>
      <c r="K40" s="21"/>
      <c r="L40" s="21"/>
      <c r="M40" s="21"/>
      <c r="N40" s="21"/>
      <c r="O40" s="21"/>
      <c r="P40" s="21"/>
      <c r="Q40" s="41">
        <v>0</v>
      </c>
      <c r="R40" s="41">
        <v>0</v>
      </c>
      <c r="S40" s="41">
        <v>0</v>
      </c>
      <c r="T40" s="21"/>
      <c r="U40" s="21"/>
      <c r="V40" s="21"/>
      <c r="W40" s="22"/>
      <c r="X40" s="22"/>
      <c r="Y40" s="22"/>
      <c r="Z40" s="22"/>
      <c r="AA40" s="23"/>
      <c r="AB40" s="23"/>
      <c r="AC40" s="9"/>
      <c r="AE40" s="25"/>
    </row>
    <row r="41" spans="2:31">
      <c r="B41" s="12" t="s">
        <v>30</v>
      </c>
      <c r="C41" s="20">
        <f t="shared" si="2"/>
        <v>0</v>
      </c>
      <c r="D41" s="20">
        <f t="shared" si="0"/>
        <v>0</v>
      </c>
      <c r="E41" s="42" t="s">
        <v>158</v>
      </c>
      <c r="F41" s="42" t="s">
        <v>596</v>
      </c>
      <c r="G41" s="20" t="str">
        <f t="shared" si="1"/>
        <v>Дорожная карта исполняется</v>
      </c>
      <c r="H41" s="21"/>
      <c r="I41" s="21"/>
      <c r="J41" s="21"/>
      <c r="K41" s="21"/>
      <c r="L41" s="21"/>
      <c r="M41" s="21"/>
      <c r="N41" s="21"/>
      <c r="O41" s="21"/>
      <c r="P41" s="21"/>
      <c r="Q41" s="41">
        <v>0</v>
      </c>
      <c r="R41" s="41">
        <v>13</v>
      </c>
      <c r="S41" s="41">
        <f t="shared" ref="S41:S46" si="4">AVERAGE(Q41:R41)</f>
        <v>6.5</v>
      </c>
      <c r="T41" s="21"/>
      <c r="U41" s="21"/>
      <c r="V41" s="21"/>
      <c r="W41" s="22"/>
      <c r="X41" s="22"/>
      <c r="Y41" s="22"/>
      <c r="Z41" s="22"/>
      <c r="AA41" s="23"/>
      <c r="AB41" s="23"/>
      <c r="AC41" s="9"/>
      <c r="AE41" s="25"/>
    </row>
    <row r="42" spans="2:31">
      <c r="B42" s="12" t="s">
        <v>31</v>
      </c>
      <c r="C42" s="20">
        <f t="shared" si="2"/>
        <v>0</v>
      </c>
      <c r="D42" s="20">
        <f t="shared" si="0"/>
        <v>0</v>
      </c>
      <c r="E42" s="42" t="s">
        <v>158</v>
      </c>
      <c r="F42" s="42" t="s">
        <v>596</v>
      </c>
      <c r="G42" s="20" t="str">
        <f t="shared" si="1"/>
        <v>Дорожная карта исполняется</v>
      </c>
      <c r="H42" s="21"/>
      <c r="I42" s="21"/>
      <c r="J42" s="21"/>
      <c r="K42" s="21"/>
      <c r="L42" s="21"/>
      <c r="M42" s="21"/>
      <c r="N42" s="21"/>
      <c r="O42" s="21"/>
      <c r="P42" s="21"/>
      <c r="Q42" s="41">
        <v>16</v>
      </c>
      <c r="R42" s="41">
        <v>16</v>
      </c>
      <c r="S42" s="41">
        <f t="shared" si="4"/>
        <v>16</v>
      </c>
      <c r="T42" s="21"/>
      <c r="U42" s="21"/>
      <c r="V42" s="21"/>
      <c r="W42" s="22"/>
      <c r="X42" s="22"/>
      <c r="Y42" s="22"/>
      <c r="Z42" s="22"/>
      <c r="AA42" s="23"/>
      <c r="AB42" s="23"/>
      <c r="AC42" s="9"/>
      <c r="AE42" s="25"/>
    </row>
    <row r="43" spans="2:31">
      <c r="B43" s="12" t="s">
        <v>32</v>
      </c>
      <c r="C43" s="20">
        <f t="shared" si="2"/>
        <v>0</v>
      </c>
      <c r="D43" s="20">
        <f t="shared" si="0"/>
        <v>0</v>
      </c>
      <c r="E43" s="42" t="s">
        <v>158</v>
      </c>
      <c r="F43" s="42" t="s">
        <v>596</v>
      </c>
      <c r="G43" s="20" t="str">
        <f t="shared" si="1"/>
        <v>Дорожная карта исполняется</v>
      </c>
      <c r="H43" s="21"/>
      <c r="I43" s="21"/>
      <c r="J43" s="21"/>
      <c r="K43" s="21"/>
      <c r="L43" s="21"/>
      <c r="M43" s="21"/>
      <c r="N43" s="21"/>
      <c r="O43" s="21"/>
      <c r="P43" s="21"/>
      <c r="Q43" s="41">
        <v>4</v>
      </c>
      <c r="R43" s="41">
        <v>14</v>
      </c>
      <c r="S43" s="41">
        <f t="shared" si="4"/>
        <v>9</v>
      </c>
      <c r="T43" s="21"/>
      <c r="U43" s="21"/>
      <c r="V43" s="21"/>
      <c r="W43" s="22"/>
      <c r="X43" s="22"/>
      <c r="Y43" s="22"/>
      <c r="Z43" s="22"/>
      <c r="AA43" s="23"/>
      <c r="AB43" s="23"/>
      <c r="AC43" s="9"/>
      <c r="AE43" s="25"/>
    </row>
    <row r="44" spans="2:31">
      <c r="B44" s="12" t="s">
        <v>33</v>
      </c>
      <c r="C44" s="20">
        <f t="shared" si="2"/>
        <v>1</v>
      </c>
      <c r="D44" s="20">
        <f t="shared" si="0"/>
        <v>1</v>
      </c>
      <c r="E44" s="42" t="s">
        <v>158</v>
      </c>
      <c r="F44" s="42" t="s">
        <v>562</v>
      </c>
      <c r="G44" s="20" t="str">
        <f t="shared" si="1"/>
        <v>Среднее отставание по дорожной карте</v>
      </c>
      <c r="H44" s="21"/>
      <c r="I44" s="21"/>
      <c r="J44" s="21"/>
      <c r="K44" s="21"/>
      <c r="L44" s="21"/>
      <c r="M44" s="21"/>
      <c r="N44" s="21"/>
      <c r="O44" s="21"/>
      <c r="P44" s="21"/>
      <c r="Q44" s="41">
        <v>12</v>
      </c>
      <c r="R44" s="41">
        <v>23</v>
      </c>
      <c r="S44" s="41">
        <f t="shared" si="4"/>
        <v>17.5</v>
      </c>
      <c r="T44" s="21"/>
      <c r="U44" s="21"/>
      <c r="V44" s="21"/>
      <c r="W44" s="22"/>
      <c r="X44" s="22"/>
      <c r="Y44" s="22"/>
      <c r="Z44" s="22"/>
      <c r="AA44" s="23"/>
      <c r="AB44" s="23"/>
      <c r="AC44" s="9"/>
      <c r="AE44" s="25"/>
    </row>
    <row r="45" spans="2:31">
      <c r="B45" s="12" t="s">
        <v>34</v>
      </c>
      <c r="C45" s="20">
        <f t="shared" si="2"/>
        <v>1</v>
      </c>
      <c r="D45" s="20">
        <f t="shared" si="0"/>
        <v>1</v>
      </c>
      <c r="E45" s="42" t="s">
        <v>158</v>
      </c>
      <c r="F45" s="42" t="s">
        <v>562</v>
      </c>
      <c r="G45" s="20" t="str">
        <f t="shared" si="1"/>
        <v>Среднее отставание по дорожной карте</v>
      </c>
      <c r="H45" s="21"/>
      <c r="I45" s="21"/>
      <c r="J45" s="21"/>
      <c r="K45" s="21"/>
      <c r="L45" s="21"/>
      <c r="M45" s="21"/>
      <c r="N45" s="21"/>
      <c r="O45" s="21"/>
      <c r="P45" s="21"/>
      <c r="Q45" s="41">
        <v>2</v>
      </c>
      <c r="R45" s="41">
        <v>13</v>
      </c>
      <c r="S45" s="41">
        <f t="shared" si="4"/>
        <v>7.5</v>
      </c>
      <c r="T45" s="21"/>
      <c r="U45" s="21"/>
      <c r="V45" s="21"/>
      <c r="W45" s="22"/>
      <c r="X45" s="22"/>
      <c r="Y45" s="22"/>
      <c r="Z45" s="22"/>
      <c r="AA45" s="23"/>
      <c r="AB45" s="23"/>
      <c r="AC45" s="9"/>
      <c r="AE45" s="25"/>
    </row>
    <row r="46" spans="2:31">
      <c r="B46" s="12" t="s">
        <v>35</v>
      </c>
      <c r="C46" s="20">
        <f t="shared" si="2"/>
        <v>0</v>
      </c>
      <c r="D46" s="20">
        <f t="shared" si="0"/>
        <v>0</v>
      </c>
      <c r="E46" s="42" t="s">
        <v>158</v>
      </c>
      <c r="F46" s="42" t="s">
        <v>563</v>
      </c>
      <c r="G46" s="20" t="str">
        <f t="shared" si="1"/>
        <v>Дорожная карта исполняется</v>
      </c>
      <c r="H46" s="21"/>
      <c r="I46" s="21"/>
      <c r="J46" s="21"/>
      <c r="K46" s="21"/>
      <c r="L46" s="21"/>
      <c r="M46" s="21"/>
      <c r="N46" s="21"/>
      <c r="O46" s="21"/>
      <c r="P46" s="21"/>
      <c r="Q46" s="41">
        <v>0</v>
      </c>
      <c r="R46" s="41">
        <v>4</v>
      </c>
      <c r="S46" s="41">
        <f t="shared" si="4"/>
        <v>2</v>
      </c>
      <c r="T46" s="21"/>
      <c r="U46" s="21"/>
      <c r="V46" s="21"/>
      <c r="W46" s="22"/>
      <c r="X46" s="22"/>
      <c r="Y46" s="22"/>
      <c r="Z46" s="22"/>
      <c r="AA46" s="23"/>
      <c r="AB46" s="23"/>
      <c r="AC46" s="9"/>
      <c r="AE46" s="25"/>
    </row>
    <row r="47" spans="2:31">
      <c r="B47" s="12" t="s">
        <v>36</v>
      </c>
      <c r="C47" s="20">
        <f t="shared" si="2"/>
        <v>0</v>
      </c>
      <c r="D47" s="20">
        <f t="shared" si="0"/>
        <v>0</v>
      </c>
      <c r="E47" s="42" t="s">
        <v>560</v>
      </c>
      <c r="F47" s="42" t="s">
        <v>560</v>
      </c>
      <c r="G47" s="20" t="str">
        <f t="shared" si="1"/>
        <v>Дорожная карта исполняется</v>
      </c>
      <c r="H47" s="21"/>
      <c r="I47" s="21"/>
      <c r="J47" s="21"/>
      <c r="K47" s="21"/>
      <c r="L47" s="21"/>
      <c r="M47" s="21"/>
      <c r="N47" s="21"/>
      <c r="O47" s="21"/>
      <c r="P47" s="21"/>
      <c r="Q47" s="41" t="s">
        <v>560</v>
      </c>
      <c r="R47" s="41" t="s">
        <v>560</v>
      </c>
      <c r="S47" s="41" t="s">
        <v>560</v>
      </c>
      <c r="T47" s="21"/>
      <c r="U47" s="21"/>
      <c r="V47" s="21"/>
      <c r="W47" s="22"/>
      <c r="X47" s="22"/>
      <c r="Y47" s="22"/>
      <c r="Z47" s="22"/>
      <c r="AA47" s="23"/>
      <c r="AB47" s="23"/>
      <c r="AC47" s="9"/>
      <c r="AE47" s="25"/>
    </row>
    <row r="48" spans="2:31">
      <c r="B48" s="12" t="s">
        <v>37</v>
      </c>
      <c r="C48" s="20">
        <f t="shared" si="2"/>
        <v>0</v>
      </c>
      <c r="D48" s="20">
        <f t="shared" si="0"/>
        <v>0</v>
      </c>
      <c r="E48" s="42" t="s">
        <v>158</v>
      </c>
      <c r="F48" s="42" t="s">
        <v>563</v>
      </c>
      <c r="G48" s="20" t="str">
        <f t="shared" si="1"/>
        <v>Дорожная карта исполняется</v>
      </c>
      <c r="H48" s="21"/>
      <c r="I48" s="21"/>
      <c r="J48" s="21"/>
      <c r="K48" s="21"/>
      <c r="L48" s="21"/>
      <c r="M48" s="21"/>
      <c r="N48" s="21"/>
      <c r="O48" s="21"/>
      <c r="P48" s="21"/>
      <c r="Q48" s="41">
        <v>0</v>
      </c>
      <c r="R48" s="41">
        <v>0</v>
      </c>
      <c r="S48" s="41">
        <v>0</v>
      </c>
      <c r="T48" s="21"/>
      <c r="U48" s="21"/>
      <c r="V48" s="21"/>
      <c r="W48" s="22"/>
      <c r="X48" s="22"/>
      <c r="Y48" s="22"/>
      <c r="Z48" s="22"/>
      <c r="AA48" s="23"/>
      <c r="AB48" s="23"/>
      <c r="AC48" s="9"/>
      <c r="AE48" s="25"/>
    </row>
    <row r="49" spans="2:31">
      <c r="B49" s="12" t="s">
        <v>581</v>
      </c>
      <c r="C49" s="20">
        <f t="shared" si="2"/>
        <v>0</v>
      </c>
      <c r="D49" s="20">
        <f t="shared" si="0"/>
        <v>0</v>
      </c>
      <c r="E49" s="42" t="s">
        <v>560</v>
      </c>
      <c r="F49" s="42" t="s">
        <v>563</v>
      </c>
      <c r="G49" s="20" t="str">
        <f t="shared" si="1"/>
        <v>Дорожная карта исполняется</v>
      </c>
      <c r="H49" s="21"/>
      <c r="I49" s="21"/>
      <c r="J49" s="21"/>
      <c r="K49" s="21"/>
      <c r="L49" s="21"/>
      <c r="M49" s="21"/>
      <c r="N49" s="21"/>
      <c r="O49" s="21"/>
      <c r="P49" s="21"/>
      <c r="Q49" s="41" t="s">
        <v>560</v>
      </c>
      <c r="R49" s="41" t="s">
        <v>560</v>
      </c>
      <c r="S49" s="41" t="s">
        <v>560</v>
      </c>
      <c r="T49" s="21"/>
      <c r="U49" s="21"/>
      <c r="V49" s="21"/>
      <c r="W49" s="22"/>
      <c r="X49" s="22"/>
      <c r="Y49" s="22"/>
      <c r="Z49" s="22"/>
      <c r="AA49" s="23"/>
      <c r="AB49" s="23"/>
      <c r="AC49" s="9"/>
      <c r="AE49" s="25"/>
    </row>
    <row r="50" spans="2:31">
      <c r="B50" s="12" t="s">
        <v>38</v>
      </c>
      <c r="C50" s="20">
        <f t="shared" si="2"/>
        <v>0</v>
      </c>
      <c r="D50" s="20">
        <f t="shared" si="0"/>
        <v>0</v>
      </c>
      <c r="E50" s="42" t="s">
        <v>158</v>
      </c>
      <c r="F50" s="42" t="s">
        <v>563</v>
      </c>
      <c r="G50" s="20" t="str">
        <f t="shared" si="1"/>
        <v>Дорожная карта исполняется</v>
      </c>
      <c r="H50" s="21"/>
      <c r="I50" s="21"/>
      <c r="J50" s="21"/>
      <c r="K50" s="21"/>
      <c r="L50" s="21"/>
      <c r="M50" s="21"/>
      <c r="N50" s="21"/>
      <c r="O50" s="21"/>
      <c r="P50" s="21"/>
      <c r="Q50" s="41">
        <v>1</v>
      </c>
      <c r="R50" s="41">
        <v>6.1</v>
      </c>
      <c r="S50" s="41">
        <f>AVERAGE(Q50:R50)</f>
        <v>3.55</v>
      </c>
      <c r="T50" s="21"/>
      <c r="U50" s="21"/>
      <c r="V50" s="21"/>
      <c r="W50" s="22"/>
      <c r="X50" s="22"/>
      <c r="Y50" s="22"/>
      <c r="Z50" s="22"/>
      <c r="AA50" s="23"/>
      <c r="AB50" s="23"/>
      <c r="AC50" s="9"/>
      <c r="AE50" s="25"/>
    </row>
    <row r="51" spans="2:31">
      <c r="B51" s="12" t="s">
        <v>39</v>
      </c>
      <c r="C51" s="20">
        <f t="shared" si="2"/>
        <v>0</v>
      </c>
      <c r="D51" s="20">
        <f t="shared" si="0"/>
        <v>0</v>
      </c>
      <c r="E51" s="42" t="s">
        <v>560</v>
      </c>
      <c r="F51" s="42" t="s">
        <v>560</v>
      </c>
      <c r="G51" s="20" t="str">
        <f t="shared" si="1"/>
        <v>Дорожная карта исполняется</v>
      </c>
      <c r="H51" s="21"/>
      <c r="I51" s="21"/>
      <c r="J51" s="21"/>
      <c r="K51" s="21"/>
      <c r="L51" s="21"/>
      <c r="M51" s="21"/>
      <c r="N51" s="21"/>
      <c r="O51" s="21"/>
      <c r="P51" s="21"/>
      <c r="Q51" s="41" t="s">
        <v>560</v>
      </c>
      <c r="R51" s="41" t="s">
        <v>560</v>
      </c>
      <c r="S51" s="41" t="s">
        <v>560</v>
      </c>
      <c r="T51" s="21"/>
      <c r="U51" s="21"/>
      <c r="V51" s="21"/>
      <c r="W51" s="22"/>
      <c r="X51" s="22"/>
      <c r="Y51" s="22"/>
      <c r="Z51" s="22"/>
      <c r="AA51" s="23"/>
      <c r="AB51" s="23"/>
      <c r="AC51" s="9"/>
      <c r="AE51" s="25"/>
    </row>
    <row r="52" spans="2:31">
      <c r="B52" s="12" t="s">
        <v>40</v>
      </c>
      <c r="C52" s="20">
        <f t="shared" si="2"/>
        <v>0</v>
      </c>
      <c r="D52" s="20">
        <f t="shared" si="0"/>
        <v>0</v>
      </c>
      <c r="E52" s="42" t="s">
        <v>560</v>
      </c>
      <c r="F52" s="42" t="s">
        <v>560</v>
      </c>
      <c r="G52" s="20" t="str">
        <f t="shared" si="1"/>
        <v>Дорожная карта исполняется</v>
      </c>
      <c r="H52" s="21"/>
      <c r="I52" s="21"/>
      <c r="J52" s="21"/>
      <c r="K52" s="21"/>
      <c r="L52" s="21"/>
      <c r="M52" s="21"/>
      <c r="N52" s="21"/>
      <c r="O52" s="21"/>
      <c r="P52" s="21"/>
      <c r="Q52" s="41" t="s">
        <v>560</v>
      </c>
      <c r="R52" s="41" t="s">
        <v>560</v>
      </c>
      <c r="S52" s="41" t="s">
        <v>560</v>
      </c>
      <c r="T52" s="21"/>
      <c r="U52" s="21"/>
      <c r="V52" s="21"/>
      <c r="W52" s="22"/>
      <c r="X52" s="22"/>
      <c r="Y52" s="22"/>
      <c r="Z52" s="22"/>
      <c r="AA52" s="23"/>
      <c r="AB52" s="23"/>
      <c r="AC52" s="9"/>
      <c r="AE52" s="25"/>
    </row>
    <row r="53" spans="2:31">
      <c r="B53" s="12" t="s">
        <v>41</v>
      </c>
      <c r="C53" s="20">
        <f t="shared" si="2"/>
        <v>0</v>
      </c>
      <c r="D53" s="20">
        <f t="shared" si="0"/>
        <v>0</v>
      </c>
      <c r="E53" s="42" t="s">
        <v>158</v>
      </c>
      <c r="F53" s="42" t="s">
        <v>563</v>
      </c>
      <c r="G53" s="20" t="str">
        <f t="shared" si="1"/>
        <v>Дорожная карта исполняется</v>
      </c>
      <c r="H53" s="21"/>
      <c r="I53" s="21"/>
      <c r="J53" s="21"/>
      <c r="K53" s="21"/>
      <c r="L53" s="21"/>
      <c r="M53" s="21"/>
      <c r="N53" s="21"/>
      <c r="O53" s="21"/>
      <c r="P53" s="21"/>
      <c r="Q53" s="41">
        <v>0</v>
      </c>
      <c r="R53" s="41">
        <v>0</v>
      </c>
      <c r="S53" s="41">
        <f t="shared" ref="S53:S61" si="5">AVERAGE(Q53:R53)</f>
        <v>0</v>
      </c>
      <c r="T53" s="21"/>
      <c r="U53" s="21"/>
      <c r="V53" s="21"/>
      <c r="W53" s="22"/>
      <c r="X53" s="22"/>
      <c r="Y53" s="22"/>
      <c r="Z53" s="22"/>
      <c r="AA53" s="23"/>
      <c r="AB53" s="23"/>
      <c r="AC53" s="9"/>
      <c r="AE53" s="25"/>
    </row>
    <row r="54" spans="2:31">
      <c r="B54" s="12" t="s">
        <v>42</v>
      </c>
      <c r="C54" s="20">
        <f t="shared" si="2"/>
        <v>0</v>
      </c>
      <c r="D54" s="20">
        <f t="shared" si="0"/>
        <v>0</v>
      </c>
      <c r="E54" s="42" t="s">
        <v>158</v>
      </c>
      <c r="F54" s="42" t="s">
        <v>596</v>
      </c>
      <c r="G54" s="20" t="str">
        <f t="shared" si="1"/>
        <v>Дорожная карта исполняется</v>
      </c>
      <c r="H54" s="21"/>
      <c r="I54" s="21"/>
      <c r="J54" s="21"/>
      <c r="K54" s="21"/>
      <c r="L54" s="21"/>
      <c r="M54" s="21"/>
      <c r="N54" s="21"/>
      <c r="O54" s="21"/>
      <c r="P54" s="21"/>
      <c r="Q54" s="41">
        <v>0</v>
      </c>
      <c r="R54" s="41">
        <v>12</v>
      </c>
      <c r="S54" s="41">
        <f t="shared" si="5"/>
        <v>6</v>
      </c>
      <c r="T54" s="21"/>
      <c r="U54" s="21"/>
      <c r="V54" s="21"/>
      <c r="W54" s="22"/>
      <c r="X54" s="22"/>
      <c r="Y54" s="22"/>
      <c r="Z54" s="22"/>
      <c r="AA54" s="23"/>
      <c r="AB54" s="23"/>
      <c r="AC54" s="9"/>
      <c r="AE54" s="25"/>
    </row>
    <row r="55" spans="2:31">
      <c r="B55" s="12" t="s">
        <v>43</v>
      </c>
      <c r="C55" s="20">
        <f t="shared" si="2"/>
        <v>0</v>
      </c>
      <c r="D55" s="20">
        <f t="shared" si="0"/>
        <v>0</v>
      </c>
      <c r="E55" s="42" t="s">
        <v>158</v>
      </c>
      <c r="F55" s="42" t="s">
        <v>596</v>
      </c>
      <c r="G55" s="20" t="str">
        <f t="shared" si="1"/>
        <v>Дорожная карта исполняется</v>
      </c>
      <c r="H55" s="21"/>
      <c r="I55" s="21"/>
      <c r="J55" s="21"/>
      <c r="K55" s="21"/>
      <c r="L55" s="21"/>
      <c r="M55" s="21"/>
      <c r="N55" s="21"/>
      <c r="O55" s="21"/>
      <c r="P55" s="21"/>
      <c r="Q55" s="41">
        <v>9</v>
      </c>
      <c r="R55" s="41">
        <v>16</v>
      </c>
      <c r="S55" s="41">
        <f t="shared" si="5"/>
        <v>12.5</v>
      </c>
      <c r="T55" s="21"/>
      <c r="U55" s="21"/>
      <c r="V55" s="21"/>
      <c r="W55" s="22"/>
      <c r="X55" s="22"/>
      <c r="Y55" s="22"/>
      <c r="Z55" s="22"/>
      <c r="AA55" s="23"/>
      <c r="AB55" s="23"/>
      <c r="AC55" s="9"/>
      <c r="AE55" s="25"/>
    </row>
    <row r="56" spans="2:31">
      <c r="B56" s="12" t="s">
        <v>44</v>
      </c>
      <c r="C56" s="20">
        <f t="shared" si="2"/>
        <v>0</v>
      </c>
      <c r="D56" s="20">
        <f t="shared" si="0"/>
        <v>0</v>
      </c>
      <c r="E56" s="42" t="s">
        <v>158</v>
      </c>
      <c r="F56" s="42" t="s">
        <v>596</v>
      </c>
      <c r="G56" s="20" t="str">
        <f t="shared" si="1"/>
        <v>Дорожная карта исполняется</v>
      </c>
      <c r="H56" s="21"/>
      <c r="I56" s="21"/>
      <c r="J56" s="21"/>
      <c r="K56" s="21"/>
      <c r="L56" s="21"/>
      <c r="M56" s="21"/>
      <c r="N56" s="21"/>
      <c r="O56" s="21"/>
      <c r="P56" s="21"/>
      <c r="Q56" s="41">
        <v>3</v>
      </c>
      <c r="R56" s="41">
        <v>6</v>
      </c>
      <c r="S56" s="41">
        <f t="shared" si="5"/>
        <v>4.5</v>
      </c>
      <c r="T56" s="21"/>
      <c r="U56" s="21"/>
      <c r="V56" s="21"/>
      <c r="W56" s="22"/>
      <c r="X56" s="22"/>
      <c r="Y56" s="22"/>
      <c r="Z56" s="22"/>
      <c r="AA56" s="23"/>
      <c r="AB56" s="23"/>
      <c r="AC56" s="9"/>
      <c r="AE56" s="25"/>
    </row>
    <row r="57" spans="2:31">
      <c r="B57" s="12" t="s">
        <v>45</v>
      </c>
      <c r="C57" s="20">
        <f t="shared" si="2"/>
        <v>2</v>
      </c>
      <c r="D57" s="20">
        <f t="shared" si="0"/>
        <v>2</v>
      </c>
      <c r="E57" s="42" t="s">
        <v>158</v>
      </c>
      <c r="F57" s="42" t="s">
        <v>561</v>
      </c>
      <c r="G57" s="20" t="str">
        <f t="shared" si="1"/>
        <v>Существенное отствание по дорожной карте</v>
      </c>
      <c r="H57" s="21"/>
      <c r="I57" s="21"/>
      <c r="J57" s="21"/>
      <c r="K57" s="21"/>
      <c r="L57" s="21"/>
      <c r="M57" s="21"/>
      <c r="N57" s="21"/>
      <c r="O57" s="21"/>
      <c r="P57" s="21"/>
      <c r="Q57" s="41">
        <v>9.5</v>
      </c>
      <c r="R57" s="41">
        <v>20.5</v>
      </c>
      <c r="S57" s="41">
        <f t="shared" si="5"/>
        <v>15</v>
      </c>
      <c r="T57" s="21"/>
      <c r="U57" s="21"/>
      <c r="V57" s="21"/>
      <c r="W57" s="22"/>
      <c r="X57" s="22"/>
      <c r="Y57" s="22"/>
      <c r="Z57" s="22"/>
      <c r="AA57" s="23"/>
      <c r="AB57" s="23"/>
      <c r="AC57" s="9"/>
      <c r="AE57" s="25"/>
    </row>
    <row r="58" spans="2:31">
      <c r="B58" s="12" t="s">
        <v>46</v>
      </c>
      <c r="C58" s="20">
        <f t="shared" si="2"/>
        <v>1</v>
      </c>
      <c r="D58" s="20">
        <f t="shared" si="0"/>
        <v>1</v>
      </c>
      <c r="E58" s="42" t="s">
        <v>158</v>
      </c>
      <c r="F58" s="42" t="s">
        <v>562</v>
      </c>
      <c r="G58" s="20" t="str">
        <f t="shared" si="1"/>
        <v>Среднее отставание по дорожной карте</v>
      </c>
      <c r="H58" s="21"/>
      <c r="I58" s="21"/>
      <c r="J58" s="21"/>
      <c r="K58" s="21"/>
      <c r="L58" s="21"/>
      <c r="M58" s="21"/>
      <c r="N58" s="21"/>
      <c r="O58" s="21"/>
      <c r="P58" s="21"/>
      <c r="Q58" s="41">
        <v>9</v>
      </c>
      <c r="R58" s="41">
        <v>20</v>
      </c>
      <c r="S58" s="41">
        <f t="shared" si="5"/>
        <v>14.5</v>
      </c>
      <c r="T58" s="21"/>
      <c r="U58" s="21"/>
      <c r="V58" s="21"/>
      <c r="W58" s="22"/>
      <c r="X58" s="22"/>
      <c r="Y58" s="22"/>
      <c r="Z58" s="22"/>
      <c r="AA58" s="23"/>
      <c r="AB58" s="23"/>
      <c r="AC58" s="9"/>
      <c r="AE58" s="25"/>
    </row>
    <row r="59" spans="2:31">
      <c r="B59" s="12" t="s">
        <v>47</v>
      </c>
      <c r="C59" s="20">
        <f t="shared" si="2"/>
        <v>2</v>
      </c>
      <c r="D59" s="20">
        <f t="shared" si="0"/>
        <v>2</v>
      </c>
      <c r="E59" s="42" t="s">
        <v>158</v>
      </c>
      <c r="F59" s="42" t="s">
        <v>561</v>
      </c>
      <c r="G59" s="20" t="str">
        <f t="shared" si="1"/>
        <v>Существенное отствание по дорожной карте</v>
      </c>
      <c r="H59" s="21"/>
      <c r="I59" s="21"/>
      <c r="J59" s="21"/>
      <c r="K59" s="21"/>
      <c r="L59" s="21"/>
      <c r="M59" s="21"/>
      <c r="N59" s="21"/>
      <c r="O59" s="21"/>
      <c r="P59" s="21"/>
      <c r="Q59" s="41">
        <v>20.3</v>
      </c>
      <c r="R59" s="41">
        <v>27.3</v>
      </c>
      <c r="S59" s="41">
        <f t="shared" si="5"/>
        <v>23.8</v>
      </c>
      <c r="T59" s="21"/>
      <c r="U59" s="21"/>
      <c r="V59" s="21"/>
      <c r="W59" s="22"/>
      <c r="X59" s="22"/>
      <c r="Y59" s="22"/>
      <c r="Z59" s="22"/>
      <c r="AA59" s="23"/>
      <c r="AB59" s="23"/>
      <c r="AC59" s="9"/>
      <c r="AE59" s="25"/>
    </row>
    <row r="60" spans="2:31">
      <c r="B60" s="12" t="s">
        <v>48</v>
      </c>
      <c r="C60" s="20">
        <f t="shared" si="2"/>
        <v>1</v>
      </c>
      <c r="D60" s="20">
        <f t="shared" si="0"/>
        <v>1</v>
      </c>
      <c r="E60" s="42" t="s">
        <v>158</v>
      </c>
      <c r="F60" s="42" t="s">
        <v>562</v>
      </c>
      <c r="G60" s="20" t="str">
        <f t="shared" si="1"/>
        <v>Среднее отставание по дорожной карте</v>
      </c>
      <c r="H60" s="21"/>
      <c r="I60" s="21"/>
      <c r="J60" s="21"/>
      <c r="K60" s="21"/>
      <c r="L60" s="21"/>
      <c r="M60" s="21"/>
      <c r="N60" s="21"/>
      <c r="O60" s="21"/>
      <c r="P60" s="21"/>
      <c r="Q60" s="41">
        <v>9</v>
      </c>
      <c r="R60" s="41">
        <v>13</v>
      </c>
      <c r="S60" s="41">
        <f t="shared" si="5"/>
        <v>11</v>
      </c>
      <c r="T60" s="21"/>
      <c r="U60" s="21"/>
      <c r="V60" s="21"/>
      <c r="W60" s="22"/>
      <c r="X60" s="22"/>
      <c r="Y60" s="22"/>
      <c r="Z60" s="22"/>
      <c r="AA60" s="23"/>
      <c r="AB60" s="23"/>
      <c r="AC60" s="9"/>
      <c r="AE60" s="25"/>
    </row>
    <row r="61" spans="2:31">
      <c r="B61" s="12" t="s">
        <v>49</v>
      </c>
      <c r="C61" s="20">
        <f t="shared" si="2"/>
        <v>0</v>
      </c>
      <c r="D61" s="20">
        <f t="shared" si="0"/>
        <v>0</v>
      </c>
      <c r="E61" s="42" t="s">
        <v>158</v>
      </c>
      <c r="F61" s="42" t="s">
        <v>596</v>
      </c>
      <c r="G61" s="20" t="str">
        <f t="shared" si="1"/>
        <v>Дорожная карта исполняется</v>
      </c>
      <c r="H61" s="21"/>
      <c r="I61" s="21"/>
      <c r="J61" s="21"/>
      <c r="K61" s="21"/>
      <c r="L61" s="21"/>
      <c r="M61" s="21"/>
      <c r="N61" s="21"/>
      <c r="O61" s="21"/>
      <c r="P61" s="21"/>
      <c r="Q61" s="41">
        <v>0</v>
      </c>
      <c r="R61" s="41">
        <v>12</v>
      </c>
      <c r="S61" s="41">
        <f t="shared" si="5"/>
        <v>6</v>
      </c>
      <c r="T61" s="21"/>
      <c r="U61" s="21"/>
      <c r="V61" s="21"/>
      <c r="W61" s="22"/>
      <c r="X61" s="22"/>
      <c r="Y61" s="22"/>
      <c r="Z61" s="22"/>
      <c r="AA61" s="23"/>
      <c r="AB61" s="23"/>
      <c r="AC61" s="9"/>
      <c r="AE61" s="25"/>
    </row>
    <row r="62" spans="2:31">
      <c r="B62" s="12" t="s">
        <v>50</v>
      </c>
      <c r="C62" s="20">
        <f t="shared" si="2"/>
        <v>0</v>
      </c>
      <c r="D62" s="20">
        <f t="shared" si="0"/>
        <v>0</v>
      </c>
      <c r="E62" s="42" t="s">
        <v>158</v>
      </c>
      <c r="F62" s="42" t="s">
        <v>563</v>
      </c>
      <c r="G62" s="20" t="str">
        <f t="shared" si="1"/>
        <v>Дорожная карта исполняется</v>
      </c>
      <c r="H62" s="21"/>
      <c r="I62" s="21"/>
      <c r="J62" s="21"/>
      <c r="K62" s="21"/>
      <c r="L62" s="21"/>
      <c r="M62" s="21"/>
      <c r="N62" s="21"/>
      <c r="O62" s="21"/>
      <c r="P62" s="21"/>
      <c r="Q62" s="41">
        <v>0</v>
      </c>
      <c r="R62" s="41">
        <v>0</v>
      </c>
      <c r="S62" s="41">
        <v>0</v>
      </c>
      <c r="T62" s="21"/>
      <c r="U62" s="21"/>
      <c r="V62" s="21"/>
      <c r="W62" s="22"/>
      <c r="X62" s="22"/>
      <c r="Y62" s="22"/>
      <c r="Z62" s="22"/>
      <c r="AA62" s="23"/>
      <c r="AB62" s="23"/>
      <c r="AC62" s="9"/>
      <c r="AE62" s="25"/>
    </row>
    <row r="63" spans="2:31">
      <c r="B63" s="12" t="s">
        <v>51</v>
      </c>
      <c r="C63" s="20">
        <f t="shared" si="2"/>
        <v>0</v>
      </c>
      <c r="D63" s="20">
        <f t="shared" si="0"/>
        <v>0</v>
      </c>
      <c r="E63" s="42" t="s">
        <v>158</v>
      </c>
      <c r="F63" s="42" t="s">
        <v>596</v>
      </c>
      <c r="G63" s="20" t="str">
        <f t="shared" si="1"/>
        <v>Дорожная карта исполняется</v>
      </c>
      <c r="H63" s="21"/>
      <c r="I63" s="21"/>
      <c r="J63" s="21"/>
      <c r="K63" s="21"/>
      <c r="L63" s="21"/>
      <c r="M63" s="21"/>
      <c r="N63" s="21"/>
      <c r="O63" s="21"/>
      <c r="P63" s="21"/>
      <c r="Q63" s="41">
        <v>0</v>
      </c>
      <c r="R63" s="41">
        <v>9</v>
      </c>
      <c r="S63" s="41">
        <f t="shared" ref="S63:S87" si="6">AVERAGE(Q63:R63)</f>
        <v>4.5</v>
      </c>
      <c r="T63" s="21"/>
      <c r="U63" s="21"/>
      <c r="V63" s="21"/>
      <c r="W63" s="22"/>
      <c r="X63" s="22"/>
      <c r="Y63" s="22"/>
      <c r="Z63" s="22"/>
      <c r="AA63" s="23"/>
      <c r="AB63" s="23"/>
      <c r="AC63" s="9"/>
      <c r="AE63" s="25"/>
    </row>
    <row r="64" spans="2:31">
      <c r="B64" s="12" t="s">
        <v>52</v>
      </c>
      <c r="C64" s="20">
        <f t="shared" si="2"/>
        <v>1</v>
      </c>
      <c r="D64" s="20">
        <f t="shared" si="0"/>
        <v>1</v>
      </c>
      <c r="E64" s="42" t="s">
        <v>158</v>
      </c>
      <c r="F64" s="42" t="s">
        <v>562</v>
      </c>
      <c r="G64" s="20" t="str">
        <f t="shared" si="1"/>
        <v>Среднее отставание по дорожной карте</v>
      </c>
      <c r="H64" s="21"/>
      <c r="I64" s="21"/>
      <c r="J64" s="21"/>
      <c r="K64" s="21"/>
      <c r="L64" s="21"/>
      <c r="M64" s="21"/>
      <c r="N64" s="21"/>
      <c r="O64" s="21"/>
      <c r="P64" s="21"/>
      <c r="Q64" s="41">
        <v>6</v>
      </c>
      <c r="R64" s="41">
        <v>12</v>
      </c>
      <c r="S64" s="41">
        <f t="shared" si="6"/>
        <v>9</v>
      </c>
      <c r="T64" s="21"/>
      <c r="U64" s="21"/>
      <c r="V64" s="21"/>
      <c r="W64" s="22"/>
      <c r="X64" s="22"/>
      <c r="Y64" s="22"/>
      <c r="Z64" s="22"/>
      <c r="AA64" s="23"/>
      <c r="AB64" s="23"/>
      <c r="AC64" s="9"/>
      <c r="AE64" s="25"/>
    </row>
    <row r="65" spans="2:31">
      <c r="B65" s="12" t="s">
        <v>53</v>
      </c>
      <c r="C65" s="20">
        <f t="shared" si="2"/>
        <v>0</v>
      </c>
      <c r="D65" s="20">
        <f t="shared" si="0"/>
        <v>0</v>
      </c>
      <c r="E65" s="42" t="s">
        <v>158</v>
      </c>
      <c r="F65" s="42" t="s">
        <v>596</v>
      </c>
      <c r="G65" s="20" t="str">
        <f t="shared" si="1"/>
        <v>Дорожная карта исполняется</v>
      </c>
      <c r="H65" s="21"/>
      <c r="I65" s="21"/>
      <c r="J65" s="21"/>
      <c r="K65" s="21"/>
      <c r="L65" s="21"/>
      <c r="M65" s="21"/>
      <c r="N65" s="21"/>
      <c r="O65" s="21"/>
      <c r="P65" s="21"/>
      <c r="Q65" s="41">
        <v>2</v>
      </c>
      <c r="R65" s="41">
        <v>21</v>
      </c>
      <c r="S65" s="41">
        <f t="shared" si="6"/>
        <v>11.5</v>
      </c>
      <c r="T65" s="21"/>
      <c r="U65" s="21"/>
      <c r="V65" s="21"/>
      <c r="W65" s="22"/>
      <c r="X65" s="22"/>
      <c r="Y65" s="22"/>
      <c r="Z65" s="22"/>
      <c r="AA65" s="23"/>
      <c r="AB65" s="23"/>
      <c r="AC65" s="9"/>
      <c r="AE65" s="25"/>
    </row>
    <row r="66" spans="2:31">
      <c r="B66" s="12" t="s">
        <v>3</v>
      </c>
      <c r="C66" s="20">
        <f t="shared" si="2"/>
        <v>0</v>
      </c>
      <c r="D66" s="20">
        <f t="shared" si="0"/>
        <v>0</v>
      </c>
      <c r="E66" s="42" t="s">
        <v>158</v>
      </c>
      <c r="F66" s="42" t="s">
        <v>596</v>
      </c>
      <c r="G66" s="20" t="str">
        <f t="shared" si="1"/>
        <v>Дорожная карта исполняется</v>
      </c>
      <c r="H66" s="21"/>
      <c r="I66" s="21"/>
      <c r="J66" s="21"/>
      <c r="K66" s="21"/>
      <c r="L66" s="21"/>
      <c r="M66" s="21"/>
      <c r="N66" s="21"/>
      <c r="O66" s="21"/>
      <c r="P66" s="21"/>
      <c r="Q66" s="41">
        <v>0</v>
      </c>
      <c r="R66" s="41">
        <v>12</v>
      </c>
      <c r="S66" s="41">
        <f t="shared" si="6"/>
        <v>6</v>
      </c>
      <c r="T66" s="21"/>
      <c r="U66" s="21"/>
      <c r="V66" s="21"/>
      <c r="W66" s="22"/>
      <c r="X66" s="22"/>
      <c r="Y66" s="22"/>
      <c r="Z66" s="22"/>
      <c r="AA66" s="23"/>
      <c r="AB66" s="23"/>
      <c r="AC66" s="9"/>
      <c r="AE66" s="25"/>
    </row>
    <row r="67" spans="2:31">
      <c r="B67" s="12" t="s">
        <v>54</v>
      </c>
      <c r="C67" s="20">
        <f t="shared" si="2"/>
        <v>1</v>
      </c>
      <c r="D67" s="20">
        <f t="shared" si="0"/>
        <v>1</v>
      </c>
      <c r="E67" s="42" t="s">
        <v>158</v>
      </c>
      <c r="F67" s="42" t="s">
        <v>562</v>
      </c>
      <c r="G67" s="20" t="str">
        <f t="shared" si="1"/>
        <v>Среднее отставание по дорожной карте</v>
      </c>
      <c r="H67" s="21"/>
      <c r="I67" s="21"/>
      <c r="J67" s="21"/>
      <c r="K67" s="21"/>
      <c r="L67" s="21"/>
      <c r="M67" s="21"/>
      <c r="N67" s="21"/>
      <c r="O67" s="21"/>
      <c r="P67" s="21"/>
      <c r="Q67" s="41">
        <v>4</v>
      </c>
      <c r="R67" s="41">
        <v>29</v>
      </c>
      <c r="S67" s="41">
        <f t="shared" si="6"/>
        <v>16.5</v>
      </c>
      <c r="T67" s="21"/>
      <c r="U67" s="21"/>
      <c r="V67" s="21"/>
      <c r="W67" s="22"/>
      <c r="X67" s="22"/>
      <c r="Y67" s="22"/>
      <c r="Z67" s="22"/>
      <c r="AA67" s="23"/>
      <c r="AB67" s="23"/>
      <c r="AC67" s="9"/>
      <c r="AE67" s="25"/>
    </row>
    <row r="68" spans="2:31">
      <c r="B68" s="12" t="s">
        <v>55</v>
      </c>
      <c r="C68" s="20">
        <f t="shared" si="2"/>
        <v>0</v>
      </c>
      <c r="D68" s="20">
        <f t="shared" si="0"/>
        <v>0</v>
      </c>
      <c r="E68" s="42" t="s">
        <v>158</v>
      </c>
      <c r="F68" s="42" t="s">
        <v>563</v>
      </c>
      <c r="G68" s="20" t="str">
        <f t="shared" si="1"/>
        <v>Дорожная карта исполняется</v>
      </c>
      <c r="H68" s="21"/>
      <c r="I68" s="21"/>
      <c r="J68" s="21"/>
      <c r="K68" s="21"/>
      <c r="L68" s="21"/>
      <c r="M68" s="21"/>
      <c r="N68" s="21"/>
      <c r="O68" s="21"/>
      <c r="P68" s="21"/>
      <c r="Q68" s="41">
        <v>0</v>
      </c>
      <c r="R68" s="41">
        <v>3</v>
      </c>
      <c r="S68" s="41">
        <f t="shared" si="6"/>
        <v>1.5</v>
      </c>
      <c r="T68" s="21"/>
      <c r="U68" s="21"/>
      <c r="V68" s="21"/>
      <c r="W68" s="22"/>
      <c r="X68" s="22"/>
      <c r="Y68" s="22"/>
      <c r="Z68" s="22"/>
      <c r="AA68" s="23"/>
      <c r="AB68" s="23"/>
      <c r="AC68" s="9"/>
      <c r="AE68" s="25"/>
    </row>
    <row r="69" spans="2:31">
      <c r="B69" s="12" t="s">
        <v>56</v>
      </c>
      <c r="C69" s="20">
        <f t="shared" si="2"/>
        <v>2</v>
      </c>
      <c r="D69" s="20">
        <f t="shared" si="0"/>
        <v>2</v>
      </c>
      <c r="E69" s="42" t="s">
        <v>158</v>
      </c>
      <c r="F69" s="42" t="s">
        <v>561</v>
      </c>
      <c r="G69" s="20" t="str">
        <f t="shared" si="1"/>
        <v>Существенное отствание по дорожной карте</v>
      </c>
      <c r="H69" s="21"/>
      <c r="I69" s="21"/>
      <c r="J69" s="21"/>
      <c r="K69" s="21"/>
      <c r="L69" s="21"/>
      <c r="M69" s="21"/>
      <c r="N69" s="21"/>
      <c r="O69" s="21"/>
      <c r="P69" s="21"/>
      <c r="Q69" s="41">
        <v>5</v>
      </c>
      <c r="R69" s="41">
        <v>18</v>
      </c>
      <c r="S69" s="41">
        <f t="shared" si="6"/>
        <v>11.5</v>
      </c>
      <c r="T69" s="21"/>
      <c r="U69" s="21"/>
      <c r="V69" s="21"/>
      <c r="W69" s="22"/>
      <c r="X69" s="22"/>
      <c r="Y69" s="22"/>
      <c r="Z69" s="22"/>
      <c r="AA69" s="23"/>
      <c r="AB69" s="23"/>
      <c r="AC69" s="9"/>
      <c r="AE69" s="25"/>
    </row>
    <row r="70" spans="2:31">
      <c r="B70" s="12" t="s">
        <v>57</v>
      </c>
      <c r="C70" s="20">
        <f t="shared" si="2"/>
        <v>1</v>
      </c>
      <c r="D70" s="20">
        <f t="shared" si="0"/>
        <v>1</v>
      </c>
      <c r="E70" s="42" t="s">
        <v>158</v>
      </c>
      <c r="F70" s="42" t="s">
        <v>562</v>
      </c>
      <c r="G70" s="20" t="str">
        <f t="shared" si="1"/>
        <v>Среднее отставание по дорожной карте</v>
      </c>
      <c r="H70" s="21"/>
      <c r="I70" s="21"/>
      <c r="J70" s="21"/>
      <c r="K70" s="21"/>
      <c r="L70" s="21"/>
      <c r="M70" s="21"/>
      <c r="N70" s="21"/>
      <c r="O70" s="21"/>
      <c r="P70" s="21"/>
      <c r="Q70" s="41">
        <v>13</v>
      </c>
      <c r="R70" s="41">
        <v>20</v>
      </c>
      <c r="S70" s="41">
        <f t="shared" si="6"/>
        <v>16.5</v>
      </c>
      <c r="T70" s="21"/>
      <c r="U70" s="21"/>
      <c r="V70" s="21"/>
      <c r="W70" s="22"/>
      <c r="X70" s="22"/>
      <c r="Y70" s="22"/>
      <c r="Z70" s="22"/>
      <c r="AA70" s="23"/>
      <c r="AB70" s="23"/>
      <c r="AC70" s="9"/>
      <c r="AE70" s="25"/>
    </row>
    <row r="71" spans="2:31">
      <c r="B71" s="12" t="s">
        <v>58</v>
      </c>
      <c r="C71" s="20">
        <f t="shared" si="2"/>
        <v>0</v>
      </c>
      <c r="D71" s="20">
        <f t="shared" si="0"/>
        <v>0</v>
      </c>
      <c r="E71" s="42" t="s">
        <v>158</v>
      </c>
      <c r="F71" s="42" t="s">
        <v>596</v>
      </c>
      <c r="G71" s="20" t="str">
        <f t="shared" si="1"/>
        <v>Дорожная карта исполняется</v>
      </c>
      <c r="H71" s="21"/>
      <c r="I71" s="21"/>
      <c r="J71" s="21"/>
      <c r="K71" s="21"/>
      <c r="L71" s="21"/>
      <c r="M71" s="21"/>
      <c r="N71" s="21"/>
      <c r="O71" s="21"/>
      <c r="P71" s="21"/>
      <c r="Q71" s="41">
        <v>9</v>
      </c>
      <c r="R71" s="41">
        <v>23</v>
      </c>
      <c r="S71" s="41">
        <f t="shared" si="6"/>
        <v>16</v>
      </c>
      <c r="T71" s="21"/>
      <c r="U71" s="21"/>
      <c r="V71" s="21"/>
      <c r="W71" s="22"/>
      <c r="X71" s="22"/>
      <c r="Y71" s="22"/>
      <c r="Z71" s="22"/>
      <c r="AA71" s="23"/>
      <c r="AB71" s="23"/>
      <c r="AC71" s="9"/>
      <c r="AE71" s="25"/>
    </row>
    <row r="72" spans="2:31">
      <c r="B72" s="12" t="s">
        <v>59</v>
      </c>
      <c r="C72" s="20">
        <f t="shared" si="2"/>
        <v>1</v>
      </c>
      <c r="D72" s="20">
        <f t="shared" si="0"/>
        <v>1</v>
      </c>
      <c r="E72" s="42" t="s">
        <v>158</v>
      </c>
      <c r="F72" s="42" t="s">
        <v>562</v>
      </c>
      <c r="G72" s="20" t="str">
        <f t="shared" si="1"/>
        <v>Среднее отставание по дорожной карте</v>
      </c>
      <c r="H72" s="21"/>
      <c r="I72" s="21"/>
      <c r="J72" s="21"/>
      <c r="K72" s="21"/>
      <c r="L72" s="21"/>
      <c r="M72" s="21"/>
      <c r="N72" s="21"/>
      <c r="O72" s="21"/>
      <c r="P72" s="21"/>
      <c r="Q72" s="41">
        <v>9.1</v>
      </c>
      <c r="R72" s="41">
        <v>19</v>
      </c>
      <c r="S72" s="41">
        <f t="shared" si="6"/>
        <v>14.05</v>
      </c>
      <c r="T72" s="21"/>
      <c r="U72" s="21"/>
      <c r="V72" s="21"/>
      <c r="W72" s="22"/>
      <c r="X72" s="22"/>
      <c r="Y72" s="22"/>
      <c r="Z72" s="22"/>
      <c r="AA72" s="23"/>
      <c r="AB72" s="23"/>
      <c r="AC72" s="9"/>
      <c r="AE72" s="25"/>
    </row>
    <row r="73" spans="2:31">
      <c r="B73" s="12" t="s">
        <v>60</v>
      </c>
      <c r="C73" s="20">
        <f t="shared" si="2"/>
        <v>0</v>
      </c>
      <c r="D73" s="20">
        <f t="shared" si="0"/>
        <v>0</v>
      </c>
      <c r="E73" s="42" t="s">
        <v>158</v>
      </c>
      <c r="F73" s="42" t="s">
        <v>596</v>
      </c>
      <c r="G73" s="20" t="str">
        <f t="shared" si="1"/>
        <v>Дорожная карта исполняется</v>
      </c>
      <c r="H73" s="21"/>
      <c r="I73" s="21"/>
      <c r="J73" s="21"/>
      <c r="K73" s="21"/>
      <c r="L73" s="21"/>
      <c r="M73" s="21"/>
      <c r="N73" s="21"/>
      <c r="O73" s="21"/>
      <c r="P73" s="21"/>
      <c r="Q73" s="41">
        <v>0.2</v>
      </c>
      <c r="R73" s="41">
        <v>16</v>
      </c>
      <c r="S73" s="41">
        <f t="shared" si="6"/>
        <v>8.1</v>
      </c>
      <c r="T73" s="21"/>
      <c r="U73" s="21"/>
      <c r="V73" s="21"/>
      <c r="W73" s="22"/>
      <c r="X73" s="22"/>
      <c r="Y73" s="22"/>
      <c r="Z73" s="22"/>
      <c r="AA73" s="23"/>
      <c r="AB73" s="23"/>
      <c r="AC73" s="9"/>
      <c r="AE73" s="25"/>
    </row>
    <row r="74" spans="2:31">
      <c r="B74" s="12" t="s">
        <v>61</v>
      </c>
      <c r="C74" s="20">
        <f t="shared" si="2"/>
        <v>0</v>
      </c>
      <c r="D74" s="20">
        <f t="shared" si="0"/>
        <v>0</v>
      </c>
      <c r="E74" s="42" t="s">
        <v>158</v>
      </c>
      <c r="F74" s="42" t="s">
        <v>563</v>
      </c>
      <c r="G74" s="20" t="str">
        <f t="shared" si="1"/>
        <v>Дорожная карта исполняется</v>
      </c>
      <c r="H74" s="21"/>
      <c r="I74" s="21"/>
      <c r="J74" s="21"/>
      <c r="K74" s="21"/>
      <c r="L74" s="21"/>
      <c r="M74" s="21"/>
      <c r="N74" s="21"/>
      <c r="O74" s="21"/>
      <c r="P74" s="21"/>
      <c r="Q74" s="41">
        <v>0</v>
      </c>
      <c r="R74" s="41">
        <v>0</v>
      </c>
      <c r="S74" s="41">
        <f t="shared" si="6"/>
        <v>0</v>
      </c>
      <c r="T74" s="21"/>
      <c r="U74" s="21"/>
      <c r="V74" s="21"/>
      <c r="W74" s="22"/>
      <c r="X74" s="22"/>
      <c r="Y74" s="22"/>
      <c r="Z74" s="22"/>
      <c r="AA74" s="23"/>
      <c r="AB74" s="23"/>
      <c r="AC74" s="9"/>
      <c r="AE74" s="25"/>
    </row>
    <row r="75" spans="2:31">
      <c r="B75" s="12" t="s">
        <v>62</v>
      </c>
      <c r="C75" s="20">
        <f t="shared" si="2"/>
        <v>0</v>
      </c>
      <c r="D75" s="20">
        <f t="shared" si="0"/>
        <v>0</v>
      </c>
      <c r="E75" s="42" t="s">
        <v>158</v>
      </c>
      <c r="F75" s="42" t="s">
        <v>596</v>
      </c>
      <c r="G75" s="20" t="str">
        <f t="shared" si="1"/>
        <v>Дорожная карта исполняется</v>
      </c>
      <c r="H75" s="21"/>
      <c r="I75" s="21"/>
      <c r="J75" s="21"/>
      <c r="K75" s="21"/>
      <c r="L75" s="21"/>
      <c r="M75" s="21"/>
      <c r="N75" s="21"/>
      <c r="O75" s="21"/>
      <c r="P75" s="21"/>
      <c r="Q75" s="41">
        <v>0</v>
      </c>
      <c r="R75" s="41">
        <v>16</v>
      </c>
      <c r="S75" s="41">
        <f t="shared" si="6"/>
        <v>8</v>
      </c>
      <c r="T75" s="21"/>
      <c r="U75" s="21"/>
      <c r="V75" s="21"/>
      <c r="W75" s="22"/>
      <c r="X75" s="22"/>
      <c r="Y75" s="22"/>
      <c r="Z75" s="22"/>
      <c r="AA75" s="23"/>
      <c r="AB75" s="23"/>
      <c r="AC75" s="9"/>
      <c r="AE75" s="25"/>
    </row>
    <row r="76" spans="2:31">
      <c r="B76" s="12" t="s">
        <v>63</v>
      </c>
      <c r="C76" s="20">
        <f t="shared" si="2"/>
        <v>1</v>
      </c>
      <c r="D76" s="20">
        <f t="shared" si="0"/>
        <v>1</v>
      </c>
      <c r="E76" s="42" t="s">
        <v>158</v>
      </c>
      <c r="F76" s="42" t="s">
        <v>562</v>
      </c>
      <c r="G76" s="20" t="str">
        <f t="shared" si="1"/>
        <v>Среднее отставание по дорожной карте</v>
      </c>
      <c r="H76" s="21"/>
      <c r="I76" s="21"/>
      <c r="J76" s="21"/>
      <c r="K76" s="21"/>
      <c r="L76" s="21"/>
      <c r="M76" s="21"/>
      <c r="N76" s="21"/>
      <c r="O76" s="21"/>
      <c r="P76" s="21"/>
      <c r="Q76" s="41">
        <v>9</v>
      </c>
      <c r="R76" s="41">
        <v>16</v>
      </c>
      <c r="S76" s="41">
        <f t="shared" si="6"/>
        <v>12.5</v>
      </c>
      <c r="T76" s="21"/>
      <c r="U76" s="21"/>
      <c r="V76" s="21"/>
      <c r="W76" s="22"/>
      <c r="X76" s="22"/>
      <c r="Y76" s="22"/>
      <c r="Z76" s="22"/>
      <c r="AA76" s="23"/>
      <c r="AB76" s="23"/>
      <c r="AC76" s="9"/>
      <c r="AE76" s="25"/>
    </row>
    <row r="77" spans="2:31">
      <c r="B77" s="12" t="s">
        <v>64</v>
      </c>
      <c r="C77" s="20">
        <f t="shared" si="2"/>
        <v>1</v>
      </c>
      <c r="D77" s="20">
        <f t="shared" si="0"/>
        <v>1</v>
      </c>
      <c r="E77" s="42" t="s">
        <v>158</v>
      </c>
      <c r="F77" s="42" t="s">
        <v>562</v>
      </c>
      <c r="G77" s="20" t="str">
        <f t="shared" si="1"/>
        <v>Среднее отставание по дорожной карте</v>
      </c>
      <c r="H77" s="21"/>
      <c r="I77" s="21"/>
      <c r="J77" s="21"/>
      <c r="K77" s="21"/>
      <c r="L77" s="21"/>
      <c r="M77" s="21"/>
      <c r="N77" s="21"/>
      <c r="O77" s="21"/>
      <c r="P77" s="21"/>
      <c r="Q77" s="41">
        <v>0</v>
      </c>
      <c r="R77" s="41">
        <v>21</v>
      </c>
      <c r="S77" s="41">
        <f t="shared" si="6"/>
        <v>10.5</v>
      </c>
      <c r="T77" s="21"/>
      <c r="U77" s="21"/>
      <c r="V77" s="21"/>
      <c r="W77" s="22"/>
      <c r="X77" s="22"/>
      <c r="Y77" s="22"/>
      <c r="Z77" s="22"/>
      <c r="AA77" s="23"/>
      <c r="AB77" s="23"/>
      <c r="AC77" s="9"/>
      <c r="AE77" s="25"/>
    </row>
    <row r="78" spans="2:31">
      <c r="B78" s="12" t="s">
        <v>65</v>
      </c>
      <c r="C78" s="20">
        <f t="shared" si="2"/>
        <v>0</v>
      </c>
      <c r="D78" s="20">
        <f t="shared" si="0"/>
        <v>0</v>
      </c>
      <c r="E78" s="42" t="s">
        <v>158</v>
      </c>
      <c r="F78" s="42" t="s">
        <v>596</v>
      </c>
      <c r="G78" s="20" t="str">
        <f t="shared" si="1"/>
        <v>Дорожная карта исполняется</v>
      </c>
      <c r="H78" s="21"/>
      <c r="I78" s="21"/>
      <c r="J78" s="21"/>
      <c r="K78" s="21"/>
      <c r="L78" s="21"/>
      <c r="M78" s="21"/>
      <c r="N78" s="21"/>
      <c r="O78" s="21"/>
      <c r="P78" s="21"/>
      <c r="Q78" s="41">
        <v>7</v>
      </c>
      <c r="R78" s="41">
        <v>17</v>
      </c>
      <c r="S78" s="41">
        <f t="shared" si="6"/>
        <v>12</v>
      </c>
      <c r="T78" s="21"/>
      <c r="U78" s="21"/>
      <c r="V78" s="21"/>
      <c r="W78" s="22"/>
      <c r="X78" s="22"/>
      <c r="Y78" s="22"/>
      <c r="Z78" s="22"/>
      <c r="AA78" s="23"/>
      <c r="AB78" s="23"/>
      <c r="AC78" s="9"/>
      <c r="AE78" s="25"/>
    </row>
    <row r="79" spans="2:31">
      <c r="B79" s="12" t="s">
        <v>66</v>
      </c>
      <c r="C79" s="20">
        <f t="shared" si="2"/>
        <v>0</v>
      </c>
      <c r="D79" s="20">
        <f t="shared" si="0"/>
        <v>0</v>
      </c>
      <c r="E79" s="42" t="s">
        <v>158</v>
      </c>
      <c r="F79" s="42" t="s">
        <v>596</v>
      </c>
      <c r="G79" s="20" t="str">
        <f t="shared" si="1"/>
        <v>Дорожная карта исполняется</v>
      </c>
      <c r="H79" s="21"/>
      <c r="I79" s="21"/>
      <c r="J79" s="21"/>
      <c r="K79" s="21"/>
      <c r="L79" s="21"/>
      <c r="M79" s="21"/>
      <c r="N79" s="21"/>
      <c r="O79" s="21"/>
      <c r="P79" s="21"/>
      <c r="Q79" s="41">
        <v>2</v>
      </c>
      <c r="R79" s="41">
        <v>4</v>
      </c>
      <c r="S79" s="41">
        <f t="shared" si="6"/>
        <v>3</v>
      </c>
      <c r="T79" s="21"/>
      <c r="U79" s="21"/>
      <c r="V79" s="21"/>
      <c r="W79" s="22"/>
      <c r="X79" s="22"/>
      <c r="Y79" s="22"/>
      <c r="Z79" s="22"/>
      <c r="AA79" s="23"/>
      <c r="AB79" s="23"/>
      <c r="AC79" s="9"/>
      <c r="AE79" s="25"/>
    </row>
    <row r="80" spans="2:31">
      <c r="B80" s="12" t="s">
        <v>67</v>
      </c>
      <c r="C80" s="20">
        <f t="shared" si="2"/>
        <v>1</v>
      </c>
      <c r="D80" s="20">
        <f t="shared" ref="D80:D104" si="7">IF(F80=$F$106,2,IF(F80=$F$107,1,0))</f>
        <v>1</v>
      </c>
      <c r="E80" s="42" t="s">
        <v>158</v>
      </c>
      <c r="F80" s="42" t="s">
        <v>562</v>
      </c>
      <c r="G80" s="20" t="str">
        <f t="shared" ref="G80:G104" si="8">IF(F80=$F$106,"Существенное отствание по дорожной карте",IF(F80=$F$107,"Среднее отставание по дорожной карте",IF(E80=$E$108,"Дорожная карта не требуется","Дорожная карта исполняется")))</f>
        <v>Среднее отставание по дорожной карте</v>
      </c>
      <c r="H80" s="21"/>
      <c r="I80" s="21"/>
      <c r="J80" s="21"/>
      <c r="K80" s="21"/>
      <c r="L80" s="21"/>
      <c r="M80" s="21"/>
      <c r="N80" s="21"/>
      <c r="O80" s="21"/>
      <c r="P80" s="21"/>
      <c r="Q80" s="41">
        <v>1</v>
      </c>
      <c r="R80" s="41">
        <v>3.1</v>
      </c>
      <c r="S80" s="41">
        <f t="shared" si="6"/>
        <v>2.0499999999999998</v>
      </c>
      <c r="T80" s="21"/>
      <c r="U80" s="21"/>
      <c r="V80" s="21"/>
      <c r="W80" s="22"/>
      <c r="X80" s="22"/>
      <c r="Y80" s="22"/>
      <c r="Z80" s="22"/>
      <c r="AA80" s="23"/>
      <c r="AB80" s="23"/>
      <c r="AC80" s="9"/>
      <c r="AE80" s="25"/>
    </row>
    <row r="81" spans="2:31">
      <c r="B81" s="12" t="s">
        <v>68</v>
      </c>
      <c r="C81" s="20">
        <f t="shared" ref="C81:C104" si="9">IF(D81&gt;$D$8,2,IF(D81&gt;$D$9,1,0))</f>
        <v>1</v>
      </c>
      <c r="D81" s="20">
        <f t="shared" si="7"/>
        <v>1</v>
      </c>
      <c r="E81" s="42" t="s">
        <v>158</v>
      </c>
      <c r="F81" s="42" t="s">
        <v>562</v>
      </c>
      <c r="G81" s="20" t="str">
        <f t="shared" si="8"/>
        <v>Среднее отставание по дорожной карте</v>
      </c>
      <c r="H81" s="21"/>
      <c r="I81" s="21"/>
      <c r="J81" s="21"/>
      <c r="K81" s="21"/>
      <c r="L81" s="21"/>
      <c r="M81" s="21"/>
      <c r="N81" s="21"/>
      <c r="O81" s="21"/>
      <c r="P81" s="21"/>
      <c r="Q81" s="41">
        <v>9.1</v>
      </c>
      <c r="R81" s="41">
        <v>23</v>
      </c>
      <c r="S81" s="41">
        <f t="shared" si="6"/>
        <v>16.05</v>
      </c>
      <c r="T81" s="21"/>
      <c r="U81" s="21"/>
      <c r="V81" s="21"/>
      <c r="W81" s="22"/>
      <c r="X81" s="22"/>
      <c r="Y81" s="22"/>
      <c r="Z81" s="22"/>
      <c r="AA81" s="23"/>
      <c r="AB81" s="23"/>
      <c r="AC81" s="9"/>
      <c r="AE81" s="25"/>
    </row>
    <row r="82" spans="2:31">
      <c r="B82" s="12" t="s">
        <v>69</v>
      </c>
      <c r="C82" s="20">
        <f t="shared" si="9"/>
        <v>0</v>
      </c>
      <c r="D82" s="20">
        <f t="shared" si="7"/>
        <v>0</v>
      </c>
      <c r="E82" s="42" t="s">
        <v>158</v>
      </c>
      <c r="F82" s="42" t="s">
        <v>596</v>
      </c>
      <c r="G82" s="20" t="str">
        <f t="shared" si="8"/>
        <v>Дорожная карта исполняется</v>
      </c>
      <c r="H82" s="21"/>
      <c r="I82" s="21"/>
      <c r="J82" s="21"/>
      <c r="K82" s="21"/>
      <c r="L82" s="21"/>
      <c r="M82" s="21"/>
      <c r="N82" s="21"/>
      <c r="O82" s="21"/>
      <c r="P82" s="21"/>
      <c r="Q82" s="41">
        <v>11</v>
      </c>
      <c r="R82" s="41">
        <v>15</v>
      </c>
      <c r="S82" s="41">
        <f t="shared" si="6"/>
        <v>13</v>
      </c>
      <c r="T82" s="21"/>
      <c r="U82" s="21"/>
      <c r="V82" s="21"/>
      <c r="W82" s="22"/>
      <c r="X82" s="22"/>
      <c r="Y82" s="22"/>
      <c r="Z82" s="22"/>
      <c r="AA82" s="23"/>
      <c r="AB82" s="23"/>
      <c r="AC82" s="9"/>
      <c r="AE82" s="25"/>
    </row>
    <row r="83" spans="2:31">
      <c r="B83" s="12" t="s">
        <v>70</v>
      </c>
      <c r="C83" s="20">
        <f t="shared" si="9"/>
        <v>0</v>
      </c>
      <c r="D83" s="20">
        <f t="shared" si="7"/>
        <v>0</v>
      </c>
      <c r="E83" s="42" t="s">
        <v>158</v>
      </c>
      <c r="F83" s="42" t="s">
        <v>563</v>
      </c>
      <c r="G83" s="20" t="str">
        <f t="shared" si="8"/>
        <v>Дорожная карта исполняется</v>
      </c>
      <c r="H83" s="21"/>
      <c r="I83" s="21"/>
      <c r="J83" s="21"/>
      <c r="K83" s="21"/>
      <c r="L83" s="21"/>
      <c r="M83" s="21"/>
      <c r="N83" s="21"/>
      <c r="O83" s="21"/>
      <c r="P83" s="21"/>
      <c r="Q83" s="41">
        <v>0</v>
      </c>
      <c r="R83" s="41">
        <v>0</v>
      </c>
      <c r="S83" s="41">
        <f t="shared" si="6"/>
        <v>0</v>
      </c>
      <c r="T83" s="21"/>
      <c r="U83" s="21"/>
      <c r="V83" s="21"/>
      <c r="W83" s="22"/>
      <c r="X83" s="22"/>
      <c r="Y83" s="22"/>
      <c r="Z83" s="22"/>
      <c r="AA83" s="23"/>
      <c r="AB83" s="23"/>
      <c r="AC83" s="9"/>
      <c r="AE83" s="25"/>
    </row>
    <row r="84" spans="2:31">
      <c r="B84" s="12" t="s">
        <v>71</v>
      </c>
      <c r="C84" s="20">
        <f t="shared" si="9"/>
        <v>2</v>
      </c>
      <c r="D84" s="20">
        <f t="shared" si="7"/>
        <v>2</v>
      </c>
      <c r="E84" s="42" t="s">
        <v>158</v>
      </c>
      <c r="F84" s="42" t="s">
        <v>561</v>
      </c>
      <c r="G84" s="20" t="str">
        <f t="shared" si="8"/>
        <v>Существенное отствание по дорожной карте</v>
      </c>
      <c r="H84" s="21"/>
      <c r="I84" s="21"/>
      <c r="J84" s="21"/>
      <c r="K84" s="21"/>
      <c r="L84" s="21"/>
      <c r="M84" s="21"/>
      <c r="N84" s="21"/>
      <c r="O84" s="21"/>
      <c r="P84" s="21"/>
      <c r="Q84" s="41">
        <v>12</v>
      </c>
      <c r="R84" s="41">
        <v>24</v>
      </c>
      <c r="S84" s="41">
        <f t="shared" si="6"/>
        <v>18</v>
      </c>
      <c r="T84" s="21"/>
      <c r="U84" s="21"/>
      <c r="V84" s="21"/>
      <c r="W84" s="22"/>
      <c r="X84" s="22"/>
      <c r="Y84" s="22"/>
      <c r="Z84" s="22"/>
      <c r="AA84" s="23"/>
      <c r="AB84" s="23"/>
      <c r="AC84" s="9"/>
      <c r="AE84" s="25"/>
    </row>
    <row r="85" spans="2:31">
      <c r="B85" s="12" t="s">
        <v>72</v>
      </c>
      <c r="C85" s="20">
        <f t="shared" si="9"/>
        <v>1</v>
      </c>
      <c r="D85" s="20">
        <f t="shared" si="7"/>
        <v>1</v>
      </c>
      <c r="E85" s="42" t="s">
        <v>158</v>
      </c>
      <c r="F85" s="42" t="s">
        <v>562</v>
      </c>
      <c r="G85" s="20" t="str">
        <f t="shared" si="8"/>
        <v>Среднее отставание по дорожной карте</v>
      </c>
      <c r="H85" s="21"/>
      <c r="I85" s="21"/>
      <c r="J85" s="21"/>
      <c r="K85" s="21"/>
      <c r="L85" s="21"/>
      <c r="M85" s="21"/>
      <c r="N85" s="21"/>
      <c r="O85" s="21"/>
      <c r="P85" s="21"/>
      <c r="Q85" s="41">
        <v>0</v>
      </c>
      <c r="R85" s="41">
        <v>13</v>
      </c>
      <c r="S85" s="41">
        <f t="shared" si="6"/>
        <v>6.5</v>
      </c>
      <c r="T85" s="21"/>
      <c r="U85" s="21"/>
      <c r="V85" s="21"/>
      <c r="W85" s="22"/>
      <c r="X85" s="22"/>
      <c r="Y85" s="22"/>
      <c r="Z85" s="22"/>
      <c r="AA85" s="23"/>
      <c r="AB85" s="23"/>
      <c r="AC85" s="9"/>
      <c r="AE85" s="25"/>
    </row>
    <row r="86" spans="2:31">
      <c r="B86" s="12" t="s">
        <v>73</v>
      </c>
      <c r="C86" s="20">
        <f t="shared" si="9"/>
        <v>2</v>
      </c>
      <c r="D86" s="20">
        <f t="shared" si="7"/>
        <v>2</v>
      </c>
      <c r="E86" s="42" t="s">
        <v>158</v>
      </c>
      <c r="F86" s="42" t="s">
        <v>561</v>
      </c>
      <c r="G86" s="20" t="str">
        <f t="shared" si="8"/>
        <v>Существенное отствание по дорожной карте</v>
      </c>
      <c r="H86" s="21"/>
      <c r="I86" s="21"/>
      <c r="J86" s="21"/>
      <c r="K86" s="21"/>
      <c r="L86" s="21"/>
      <c r="M86" s="21"/>
      <c r="N86" s="21"/>
      <c r="O86" s="21"/>
      <c r="P86" s="21"/>
      <c r="Q86" s="41">
        <v>18</v>
      </c>
      <c r="R86" s="41">
        <v>25</v>
      </c>
      <c r="S86" s="41">
        <f t="shared" si="6"/>
        <v>21.5</v>
      </c>
      <c r="T86" s="21"/>
      <c r="U86" s="21"/>
      <c r="V86" s="21"/>
      <c r="W86" s="22"/>
      <c r="X86" s="22"/>
      <c r="Y86" s="22"/>
      <c r="Z86" s="22"/>
      <c r="AA86" s="23"/>
      <c r="AB86" s="23"/>
      <c r="AC86" s="9"/>
      <c r="AE86" s="25"/>
    </row>
    <row r="87" spans="2:31">
      <c r="B87" s="12" t="s">
        <v>74</v>
      </c>
      <c r="C87" s="20">
        <f t="shared" si="9"/>
        <v>2</v>
      </c>
      <c r="D87" s="20">
        <f t="shared" si="7"/>
        <v>2</v>
      </c>
      <c r="E87" s="42" t="s">
        <v>158</v>
      </c>
      <c r="F87" s="42" t="s">
        <v>561</v>
      </c>
      <c r="G87" s="20" t="str">
        <f t="shared" si="8"/>
        <v>Существенное отствание по дорожной карте</v>
      </c>
      <c r="H87" s="21"/>
      <c r="I87" s="21"/>
      <c r="J87" s="21"/>
      <c r="K87" s="21"/>
      <c r="L87" s="21"/>
      <c r="M87" s="21"/>
      <c r="N87" s="21"/>
      <c r="O87" s="21"/>
      <c r="P87" s="21"/>
      <c r="Q87" s="41">
        <v>9</v>
      </c>
      <c r="R87" s="41">
        <v>20</v>
      </c>
      <c r="S87" s="41">
        <f t="shared" si="6"/>
        <v>14.5</v>
      </c>
      <c r="T87" s="21"/>
      <c r="U87" s="21"/>
      <c r="V87" s="21"/>
      <c r="W87" s="22"/>
      <c r="X87" s="22"/>
      <c r="Y87" s="22"/>
      <c r="Z87" s="22"/>
      <c r="AA87" s="23"/>
      <c r="AB87" s="23"/>
      <c r="AC87" s="9"/>
      <c r="AE87" s="25"/>
    </row>
    <row r="88" spans="2:31">
      <c r="B88" s="12" t="s">
        <v>75</v>
      </c>
      <c r="C88" s="20">
        <f t="shared" si="9"/>
        <v>0</v>
      </c>
      <c r="D88" s="20">
        <f t="shared" si="7"/>
        <v>0</v>
      </c>
      <c r="E88" s="42" t="s">
        <v>560</v>
      </c>
      <c r="F88" s="42" t="s">
        <v>560</v>
      </c>
      <c r="G88" s="20" t="str">
        <f t="shared" si="8"/>
        <v>Дорожная карта исполняется</v>
      </c>
      <c r="H88" s="21"/>
      <c r="I88" s="21"/>
      <c r="J88" s="21"/>
      <c r="K88" s="21"/>
      <c r="L88" s="21"/>
      <c r="M88" s="21"/>
      <c r="N88" s="21"/>
      <c r="O88" s="21"/>
      <c r="P88" s="21"/>
      <c r="Q88" s="41" t="s">
        <v>560</v>
      </c>
      <c r="R88" s="41" t="s">
        <v>560</v>
      </c>
      <c r="S88" s="41" t="s">
        <v>560</v>
      </c>
      <c r="T88" s="21"/>
      <c r="U88" s="21"/>
      <c r="V88" s="21"/>
      <c r="W88" s="22"/>
      <c r="X88" s="22"/>
      <c r="Y88" s="22"/>
      <c r="Z88" s="22"/>
      <c r="AA88" s="23"/>
      <c r="AB88" s="23"/>
      <c r="AC88" s="9"/>
      <c r="AE88" s="25"/>
    </row>
    <row r="89" spans="2:31">
      <c r="B89" s="12" t="s">
        <v>76</v>
      </c>
      <c r="C89" s="20">
        <f t="shared" si="9"/>
        <v>0</v>
      </c>
      <c r="D89" s="20">
        <f t="shared" si="7"/>
        <v>0</v>
      </c>
      <c r="E89" s="42" t="s">
        <v>158</v>
      </c>
      <c r="F89" s="42" t="s">
        <v>596</v>
      </c>
      <c r="G89" s="20" t="str">
        <f t="shared" si="8"/>
        <v>Дорожная карта исполняется</v>
      </c>
      <c r="H89" s="21"/>
      <c r="I89" s="21"/>
      <c r="J89" s="21"/>
      <c r="K89" s="21"/>
      <c r="L89" s="21"/>
      <c r="M89" s="21"/>
      <c r="N89" s="21"/>
      <c r="O89" s="21"/>
      <c r="P89" s="21"/>
      <c r="Q89" s="41">
        <v>15</v>
      </c>
      <c r="R89" s="41">
        <v>20</v>
      </c>
      <c r="S89" s="41">
        <f>AVERAGE(Q89:R89)</f>
        <v>17.5</v>
      </c>
      <c r="T89" s="21"/>
      <c r="U89" s="21"/>
      <c r="V89" s="21"/>
      <c r="W89" s="22"/>
      <c r="X89" s="22"/>
      <c r="Y89" s="22"/>
      <c r="Z89" s="22"/>
      <c r="AA89" s="23"/>
      <c r="AB89" s="23"/>
      <c r="AC89" s="9"/>
      <c r="AE89" s="25"/>
    </row>
    <row r="90" spans="2:31">
      <c r="B90" s="12" t="s">
        <v>77</v>
      </c>
      <c r="C90" s="20">
        <f t="shared" si="9"/>
        <v>2</v>
      </c>
      <c r="D90" s="20">
        <f t="shared" si="7"/>
        <v>2</v>
      </c>
      <c r="E90" s="42" t="s">
        <v>158</v>
      </c>
      <c r="F90" s="42" t="s">
        <v>561</v>
      </c>
      <c r="G90" s="20" t="str">
        <f t="shared" si="8"/>
        <v>Существенное отствание по дорожной карте</v>
      </c>
      <c r="H90" s="21"/>
      <c r="I90" s="21"/>
      <c r="J90" s="21"/>
      <c r="K90" s="21"/>
      <c r="L90" s="21"/>
      <c r="M90" s="21"/>
      <c r="N90" s="21"/>
      <c r="O90" s="21"/>
      <c r="P90" s="21"/>
      <c r="Q90" s="41">
        <v>11</v>
      </c>
      <c r="R90" s="41">
        <v>26</v>
      </c>
      <c r="S90" s="41">
        <f>AVERAGE(Q90:R90)</f>
        <v>18.5</v>
      </c>
      <c r="T90" s="21"/>
      <c r="U90" s="21"/>
      <c r="V90" s="21"/>
      <c r="W90" s="22"/>
      <c r="X90" s="22"/>
      <c r="Y90" s="22"/>
      <c r="Z90" s="22"/>
      <c r="AA90" s="23"/>
      <c r="AB90" s="23"/>
      <c r="AC90" s="9"/>
      <c r="AE90" s="25"/>
    </row>
    <row r="91" spans="2:31">
      <c r="B91" s="12" t="s">
        <v>78</v>
      </c>
      <c r="C91" s="20">
        <f t="shared" si="9"/>
        <v>0</v>
      </c>
      <c r="D91" s="20">
        <f t="shared" si="7"/>
        <v>0</v>
      </c>
      <c r="E91" s="42" t="s">
        <v>158</v>
      </c>
      <c r="F91" s="42" t="s">
        <v>563</v>
      </c>
      <c r="G91" s="20" t="str">
        <f t="shared" si="8"/>
        <v>Дорожная карта исполняется</v>
      </c>
      <c r="H91" s="21"/>
      <c r="I91" s="21"/>
      <c r="J91" s="21"/>
      <c r="K91" s="21"/>
      <c r="L91" s="21"/>
      <c r="M91" s="21"/>
      <c r="N91" s="21"/>
      <c r="O91" s="21"/>
      <c r="P91" s="21"/>
      <c r="Q91" s="41">
        <v>0</v>
      </c>
      <c r="R91" s="41">
        <v>2</v>
      </c>
      <c r="S91" s="41">
        <f>AVERAGE(Q91:R91)</f>
        <v>1</v>
      </c>
      <c r="T91" s="21"/>
      <c r="U91" s="21"/>
      <c r="V91" s="21"/>
      <c r="W91" s="22"/>
      <c r="X91" s="22"/>
      <c r="Y91" s="22"/>
      <c r="Z91" s="22"/>
      <c r="AA91" s="23"/>
      <c r="AB91" s="23"/>
      <c r="AC91" s="9"/>
      <c r="AE91" s="25"/>
    </row>
    <row r="92" spans="2:31">
      <c r="B92" s="12" t="s">
        <v>79</v>
      </c>
      <c r="C92" s="20">
        <f t="shared" si="9"/>
        <v>0</v>
      </c>
      <c r="D92" s="20">
        <f t="shared" si="7"/>
        <v>0</v>
      </c>
      <c r="E92" s="42" t="s">
        <v>560</v>
      </c>
      <c r="F92" s="42" t="s">
        <v>560</v>
      </c>
      <c r="G92" s="20" t="str">
        <f t="shared" si="8"/>
        <v>Дорожная карта исполняется</v>
      </c>
      <c r="H92" s="21"/>
      <c r="I92" s="21"/>
      <c r="J92" s="21"/>
      <c r="K92" s="21"/>
      <c r="L92" s="21"/>
      <c r="M92" s="21"/>
      <c r="N92" s="21"/>
      <c r="O92" s="21"/>
      <c r="P92" s="21"/>
      <c r="Q92" s="41" t="s">
        <v>560</v>
      </c>
      <c r="R92" s="41" t="s">
        <v>560</v>
      </c>
      <c r="S92" s="41" t="s">
        <v>560</v>
      </c>
      <c r="T92" s="21"/>
      <c r="U92" s="21"/>
      <c r="V92" s="21"/>
      <c r="W92" s="22"/>
      <c r="X92" s="22"/>
      <c r="Y92" s="22"/>
      <c r="Z92" s="22"/>
      <c r="AA92" s="23"/>
      <c r="AB92" s="23"/>
      <c r="AC92" s="9"/>
      <c r="AE92" s="25"/>
    </row>
    <row r="93" spans="2:31">
      <c r="B93" s="12" t="s">
        <v>80</v>
      </c>
      <c r="C93" s="20">
        <f t="shared" si="9"/>
        <v>0</v>
      </c>
      <c r="D93" s="20">
        <f t="shared" si="7"/>
        <v>0</v>
      </c>
      <c r="E93" s="42" t="s">
        <v>560</v>
      </c>
      <c r="F93" s="42" t="s">
        <v>560</v>
      </c>
      <c r="G93" s="20" t="str">
        <f t="shared" si="8"/>
        <v>Дорожная карта исполняется</v>
      </c>
      <c r="H93" s="21"/>
      <c r="I93" s="21"/>
      <c r="J93" s="21"/>
      <c r="K93" s="21"/>
      <c r="L93" s="21"/>
      <c r="M93" s="21"/>
      <c r="N93" s="21"/>
      <c r="O93" s="21"/>
      <c r="P93" s="21"/>
      <c r="Q93" s="41" t="s">
        <v>560</v>
      </c>
      <c r="R93" s="41" t="s">
        <v>560</v>
      </c>
      <c r="S93" s="41" t="s">
        <v>560</v>
      </c>
      <c r="T93" s="21"/>
      <c r="U93" s="21"/>
      <c r="V93" s="21"/>
      <c r="W93" s="22"/>
      <c r="X93" s="22"/>
      <c r="Y93" s="22"/>
      <c r="Z93" s="22"/>
      <c r="AA93" s="23"/>
      <c r="AB93" s="23"/>
      <c r="AC93" s="9"/>
      <c r="AE93" s="25"/>
    </row>
    <row r="94" spans="2:31">
      <c r="B94" s="12" t="s">
        <v>81</v>
      </c>
      <c r="C94" s="20">
        <f t="shared" si="9"/>
        <v>0</v>
      </c>
      <c r="D94" s="20">
        <f t="shared" si="7"/>
        <v>0</v>
      </c>
      <c r="E94" s="42" t="s">
        <v>158</v>
      </c>
      <c r="F94" s="42" t="s">
        <v>596</v>
      </c>
      <c r="G94" s="20" t="str">
        <f t="shared" si="8"/>
        <v>Дорожная карта исполняется</v>
      </c>
      <c r="H94" s="21"/>
      <c r="I94" s="21"/>
      <c r="J94" s="21"/>
      <c r="K94" s="21"/>
      <c r="L94" s="21"/>
      <c r="M94" s="21"/>
      <c r="N94" s="21"/>
      <c r="O94" s="21"/>
      <c r="P94" s="21"/>
      <c r="Q94" s="41">
        <v>0</v>
      </c>
      <c r="R94" s="41">
        <v>10</v>
      </c>
      <c r="S94" s="41">
        <f>AVERAGE(Q94:R94)</f>
        <v>5</v>
      </c>
      <c r="T94" s="21"/>
      <c r="U94" s="21"/>
      <c r="V94" s="21"/>
      <c r="W94" s="22"/>
      <c r="X94" s="22"/>
      <c r="Y94" s="22"/>
      <c r="Z94" s="22"/>
      <c r="AA94" s="23"/>
      <c r="AB94" s="23"/>
      <c r="AC94" s="9"/>
      <c r="AE94" s="25"/>
    </row>
    <row r="95" spans="2:31">
      <c r="B95" s="12" t="s">
        <v>82</v>
      </c>
      <c r="C95" s="20">
        <f t="shared" si="9"/>
        <v>2</v>
      </c>
      <c r="D95" s="20">
        <f t="shared" si="7"/>
        <v>2</v>
      </c>
      <c r="E95" s="42" t="s">
        <v>158</v>
      </c>
      <c r="F95" s="42" t="s">
        <v>561</v>
      </c>
      <c r="G95" s="20" t="str">
        <f t="shared" si="8"/>
        <v>Существенное отствание по дорожной карте</v>
      </c>
      <c r="H95" s="21"/>
      <c r="I95" s="21"/>
      <c r="J95" s="21"/>
      <c r="K95" s="21"/>
      <c r="L95" s="21"/>
      <c r="M95" s="21"/>
      <c r="N95" s="21"/>
      <c r="O95" s="21"/>
      <c r="P95" s="21"/>
      <c r="Q95" s="41">
        <v>12</v>
      </c>
      <c r="R95" s="41">
        <v>17</v>
      </c>
      <c r="S95" s="41">
        <f>AVERAGE(Q95:R95)</f>
        <v>14.5</v>
      </c>
      <c r="T95" s="21"/>
      <c r="U95" s="21"/>
      <c r="V95" s="21"/>
      <c r="W95" s="22"/>
      <c r="X95" s="22"/>
      <c r="Y95" s="22"/>
      <c r="Z95" s="22"/>
      <c r="AA95" s="23"/>
      <c r="AB95" s="23"/>
      <c r="AC95" s="9"/>
      <c r="AE95" s="25"/>
    </row>
    <row r="96" spans="2:31">
      <c r="B96" s="12" t="s">
        <v>83</v>
      </c>
      <c r="C96" s="20">
        <f t="shared" si="9"/>
        <v>0</v>
      </c>
      <c r="D96" s="20">
        <f t="shared" si="7"/>
        <v>0</v>
      </c>
      <c r="E96" s="42" t="s">
        <v>158</v>
      </c>
      <c r="F96" s="42" t="s">
        <v>596</v>
      </c>
      <c r="G96" s="20" t="str">
        <f t="shared" si="8"/>
        <v>Дорожная карта исполняется</v>
      </c>
      <c r="H96" s="21"/>
      <c r="I96" s="21"/>
      <c r="J96" s="21"/>
      <c r="K96" s="21"/>
      <c r="L96" s="21"/>
      <c r="M96" s="21"/>
      <c r="N96" s="21"/>
      <c r="O96" s="21"/>
      <c r="P96" s="21"/>
      <c r="Q96" s="41">
        <v>5</v>
      </c>
      <c r="R96" s="41">
        <v>21</v>
      </c>
      <c r="S96" s="41">
        <f>AVERAGE(Q96:R96)</f>
        <v>13</v>
      </c>
      <c r="T96" s="21"/>
      <c r="U96" s="21"/>
      <c r="V96" s="21"/>
      <c r="W96" s="22"/>
      <c r="X96" s="22"/>
      <c r="Y96" s="22"/>
      <c r="Z96" s="22"/>
      <c r="AA96" s="23"/>
      <c r="AB96" s="23"/>
      <c r="AC96" s="9"/>
      <c r="AE96" s="25"/>
    </row>
    <row r="97" spans="2:31">
      <c r="B97" s="12" t="s">
        <v>84</v>
      </c>
      <c r="C97" s="20">
        <f t="shared" si="9"/>
        <v>0</v>
      </c>
      <c r="D97" s="20">
        <f t="shared" si="7"/>
        <v>0</v>
      </c>
      <c r="E97" s="42" t="s">
        <v>158</v>
      </c>
      <c r="F97" s="42" t="s">
        <v>596</v>
      </c>
      <c r="G97" s="20" t="str">
        <f t="shared" si="8"/>
        <v>Дорожная карта исполняется</v>
      </c>
      <c r="H97" s="21"/>
      <c r="I97" s="21"/>
      <c r="J97" s="21"/>
      <c r="K97" s="21"/>
      <c r="L97" s="21"/>
      <c r="M97" s="21"/>
      <c r="N97" s="21"/>
      <c r="O97" s="21"/>
      <c r="P97" s="21"/>
      <c r="Q97" s="41">
        <v>9</v>
      </c>
      <c r="R97" s="41">
        <v>13</v>
      </c>
      <c r="S97" s="41">
        <f>AVERAGE(Q97:R97)</f>
        <v>11</v>
      </c>
      <c r="T97" s="21"/>
      <c r="U97" s="21"/>
      <c r="V97" s="21"/>
      <c r="W97" s="22"/>
      <c r="X97" s="22"/>
      <c r="Y97" s="22"/>
      <c r="Z97" s="22"/>
      <c r="AA97" s="23"/>
      <c r="AB97" s="23"/>
      <c r="AC97" s="9"/>
      <c r="AE97" s="25"/>
    </row>
    <row r="98" spans="2:31">
      <c r="B98" s="12" t="s">
        <v>166</v>
      </c>
      <c r="C98" s="20">
        <f t="shared" si="9"/>
        <v>0</v>
      </c>
      <c r="D98" s="20">
        <f t="shared" si="7"/>
        <v>0</v>
      </c>
      <c r="E98" s="42" t="s">
        <v>560</v>
      </c>
      <c r="F98" s="42" t="s">
        <v>560</v>
      </c>
      <c r="G98" s="20" t="str">
        <f t="shared" si="8"/>
        <v>Дорожная карта исполняется</v>
      </c>
      <c r="H98" s="21"/>
      <c r="I98" s="21"/>
      <c r="J98" s="21"/>
      <c r="K98" s="21"/>
      <c r="L98" s="21"/>
      <c r="M98" s="21"/>
      <c r="N98" s="21"/>
      <c r="O98" s="21"/>
      <c r="P98" s="21"/>
      <c r="Q98" s="41" t="s">
        <v>560</v>
      </c>
      <c r="R98" s="41" t="s">
        <v>560</v>
      </c>
      <c r="S98" s="41" t="s">
        <v>560</v>
      </c>
      <c r="T98" s="21"/>
      <c r="U98" s="21"/>
      <c r="V98" s="21"/>
      <c r="W98" s="22"/>
      <c r="X98" s="22"/>
      <c r="Y98" s="22"/>
      <c r="Z98" s="22"/>
      <c r="AA98" s="23"/>
      <c r="AB98" s="23"/>
      <c r="AC98" s="9"/>
      <c r="AE98" s="25"/>
    </row>
    <row r="99" spans="2:31">
      <c r="B99" s="12" t="s">
        <v>85</v>
      </c>
      <c r="C99" s="20">
        <f t="shared" si="9"/>
        <v>0</v>
      </c>
      <c r="D99" s="20">
        <f t="shared" si="7"/>
        <v>0</v>
      </c>
      <c r="E99" s="42" t="s">
        <v>158</v>
      </c>
      <c r="F99" s="42" t="s">
        <v>596</v>
      </c>
      <c r="G99" s="20" t="str">
        <f t="shared" si="8"/>
        <v>Дорожная карта исполняется</v>
      </c>
      <c r="H99" s="21"/>
      <c r="I99" s="21"/>
      <c r="J99" s="21"/>
      <c r="K99" s="21"/>
      <c r="L99" s="21"/>
      <c r="M99" s="21"/>
      <c r="N99" s="21"/>
      <c r="O99" s="21"/>
      <c r="P99" s="21"/>
      <c r="Q99" s="41">
        <v>10</v>
      </c>
      <c r="R99" s="41">
        <v>14</v>
      </c>
      <c r="S99" s="41">
        <f>AVERAGE(Q99:R99)</f>
        <v>12</v>
      </c>
      <c r="T99" s="21"/>
      <c r="U99" s="21"/>
      <c r="V99" s="21"/>
      <c r="W99" s="22"/>
      <c r="X99" s="22"/>
      <c r="Y99" s="22"/>
      <c r="Z99" s="22"/>
      <c r="AA99" s="23"/>
      <c r="AB99" s="23"/>
      <c r="AC99" s="9"/>
      <c r="AE99" s="25"/>
    </row>
    <row r="100" spans="2:31">
      <c r="B100" s="12" t="s">
        <v>86</v>
      </c>
      <c r="C100" s="20">
        <f t="shared" si="9"/>
        <v>0</v>
      </c>
      <c r="D100" s="20">
        <f t="shared" si="7"/>
        <v>0</v>
      </c>
      <c r="E100" s="42" t="s">
        <v>560</v>
      </c>
      <c r="F100" s="42" t="s">
        <v>560</v>
      </c>
      <c r="G100" s="20" t="str">
        <f t="shared" si="8"/>
        <v>Дорожная карта исполняется</v>
      </c>
      <c r="H100" s="21"/>
      <c r="I100" s="21"/>
      <c r="J100" s="21"/>
      <c r="K100" s="21"/>
      <c r="L100" s="21"/>
      <c r="M100" s="21"/>
      <c r="N100" s="21"/>
      <c r="O100" s="21"/>
      <c r="P100" s="21"/>
      <c r="Q100" s="41" t="s">
        <v>560</v>
      </c>
      <c r="R100" s="41" t="s">
        <v>560</v>
      </c>
      <c r="S100" s="41" t="s">
        <v>560</v>
      </c>
      <c r="T100" s="21"/>
      <c r="U100" s="21"/>
      <c r="V100" s="21"/>
      <c r="W100" s="22"/>
      <c r="X100" s="22"/>
      <c r="Y100" s="22"/>
      <c r="Z100" s="22"/>
      <c r="AA100" s="23"/>
      <c r="AB100" s="23"/>
      <c r="AC100" s="9"/>
      <c r="AE100" s="25"/>
    </row>
    <row r="101" spans="2:31">
      <c r="B101" s="12" t="s">
        <v>87</v>
      </c>
      <c r="C101" s="20">
        <f t="shared" si="9"/>
        <v>0</v>
      </c>
      <c r="D101" s="20">
        <f t="shared" si="7"/>
        <v>0</v>
      </c>
      <c r="E101" s="42" t="s">
        <v>158</v>
      </c>
      <c r="F101" s="42" t="s">
        <v>596</v>
      </c>
      <c r="G101" s="20" t="str">
        <f t="shared" si="8"/>
        <v>Дорожная карта исполняется</v>
      </c>
      <c r="H101" s="21"/>
      <c r="I101" s="21"/>
      <c r="J101" s="21"/>
      <c r="K101" s="21"/>
      <c r="L101" s="21"/>
      <c r="M101" s="21"/>
      <c r="N101" s="21"/>
      <c r="O101" s="21"/>
      <c r="P101" s="21"/>
      <c r="Q101" s="41">
        <v>0</v>
      </c>
      <c r="R101" s="41">
        <v>0</v>
      </c>
      <c r="S101" s="41">
        <f>AVERAGE(Q101:R101)</f>
        <v>0</v>
      </c>
      <c r="T101" s="21"/>
      <c r="U101" s="21"/>
      <c r="V101" s="21"/>
      <c r="W101" s="22"/>
      <c r="X101" s="22"/>
      <c r="Y101" s="22"/>
      <c r="Z101" s="22"/>
      <c r="AA101" s="23"/>
      <c r="AB101" s="23"/>
      <c r="AC101" s="9"/>
      <c r="AE101" s="25"/>
    </row>
    <row r="102" spans="2:31">
      <c r="B102" s="12" t="s">
        <v>88</v>
      </c>
      <c r="C102" s="20">
        <f t="shared" si="9"/>
        <v>0</v>
      </c>
      <c r="D102" s="20">
        <f t="shared" si="7"/>
        <v>0</v>
      </c>
      <c r="E102" s="42" t="s">
        <v>158</v>
      </c>
      <c r="F102" s="42" t="s">
        <v>596</v>
      </c>
      <c r="G102" s="20" t="str">
        <f t="shared" si="8"/>
        <v>Дорожная карта исполняется</v>
      </c>
      <c r="H102" s="21"/>
      <c r="I102" s="21"/>
      <c r="J102" s="21"/>
      <c r="K102" s="21"/>
      <c r="L102" s="21"/>
      <c r="M102" s="21"/>
      <c r="N102" s="21"/>
      <c r="O102" s="21"/>
      <c r="P102" s="21"/>
      <c r="Q102" s="41">
        <v>0</v>
      </c>
      <c r="R102" s="41">
        <v>10</v>
      </c>
      <c r="S102" s="41">
        <f>AVERAGE(Q102:R102)</f>
        <v>5</v>
      </c>
      <c r="T102" s="21"/>
      <c r="U102" s="21"/>
      <c r="V102" s="21"/>
      <c r="W102" s="22"/>
      <c r="X102" s="22"/>
      <c r="Y102" s="22"/>
      <c r="Z102" s="22"/>
      <c r="AA102" s="23"/>
      <c r="AB102" s="23"/>
      <c r="AC102" s="9"/>
      <c r="AE102" s="25"/>
    </row>
    <row r="103" spans="2:31">
      <c r="B103" s="12" t="s">
        <v>89</v>
      </c>
      <c r="C103" s="20">
        <f t="shared" si="9"/>
        <v>0</v>
      </c>
      <c r="D103" s="20">
        <f t="shared" si="7"/>
        <v>0</v>
      </c>
      <c r="E103" s="42" t="s">
        <v>158</v>
      </c>
      <c r="F103" s="42" t="s">
        <v>596</v>
      </c>
      <c r="G103" s="20" t="str">
        <f t="shared" si="8"/>
        <v>Дорожная карта исполняется</v>
      </c>
      <c r="H103" s="21"/>
      <c r="I103" s="21"/>
      <c r="J103" s="21"/>
      <c r="K103" s="21"/>
      <c r="L103" s="21"/>
      <c r="M103" s="21"/>
      <c r="N103" s="21"/>
      <c r="O103" s="21"/>
      <c r="P103" s="21"/>
      <c r="Q103" s="41">
        <v>0</v>
      </c>
      <c r="R103" s="41">
        <v>0</v>
      </c>
      <c r="S103" s="41">
        <f>AVERAGE(Q103:R103)</f>
        <v>0</v>
      </c>
      <c r="T103" s="21"/>
      <c r="U103" s="21"/>
      <c r="V103" s="21"/>
      <c r="W103" s="22"/>
      <c r="X103" s="22"/>
      <c r="Y103" s="22"/>
      <c r="Z103" s="22"/>
      <c r="AA103" s="23"/>
      <c r="AB103" s="23"/>
      <c r="AC103" s="9"/>
      <c r="AE103" s="25"/>
    </row>
    <row r="104" spans="2:31">
      <c r="B104" s="12" t="s">
        <v>90</v>
      </c>
      <c r="C104" s="20">
        <f t="shared" si="9"/>
        <v>0</v>
      </c>
      <c r="D104" s="20">
        <f t="shared" si="7"/>
        <v>0</v>
      </c>
      <c r="E104" s="42" t="s">
        <v>158</v>
      </c>
      <c r="F104" s="42" t="s">
        <v>596</v>
      </c>
      <c r="G104" s="20" t="str">
        <f t="shared" si="8"/>
        <v>Дорожная карта исполняется</v>
      </c>
      <c r="H104" s="21"/>
      <c r="I104" s="21"/>
      <c r="J104" s="21"/>
      <c r="K104" s="21"/>
      <c r="L104" s="21"/>
      <c r="M104" s="21"/>
      <c r="N104" s="21"/>
      <c r="O104" s="21"/>
      <c r="P104" s="21"/>
      <c r="Q104" s="41">
        <v>0</v>
      </c>
      <c r="R104" s="41">
        <v>11</v>
      </c>
      <c r="S104" s="41">
        <f>AVERAGE(Q104:R104)</f>
        <v>5.5</v>
      </c>
      <c r="T104" s="21"/>
      <c r="U104" s="21"/>
      <c r="V104" s="21"/>
      <c r="W104" s="22"/>
      <c r="X104" s="22"/>
      <c r="Y104" s="22"/>
      <c r="Z104" s="22"/>
      <c r="AA104" s="23"/>
      <c r="AB104" s="23"/>
      <c r="AC104" s="9"/>
      <c r="AE104" s="25"/>
    </row>
    <row r="106" spans="2:31">
      <c r="E106" s="38" t="s">
        <v>158</v>
      </c>
      <c r="F106" s="38" t="s">
        <v>561</v>
      </c>
    </row>
    <row r="107" spans="2:31">
      <c r="B107" s="12"/>
      <c r="E107" s="38" t="s">
        <v>560</v>
      </c>
      <c r="F107" s="38" t="s">
        <v>562</v>
      </c>
      <c r="AE107" s="12"/>
    </row>
    <row r="108" spans="2:31">
      <c r="E108" s="38" t="s">
        <v>157</v>
      </c>
      <c r="F108" s="38" t="s">
        <v>560</v>
      </c>
      <c r="Q108" s="72"/>
      <c r="AE108" s="12"/>
    </row>
    <row r="109" spans="2:31">
      <c r="F109" s="38" t="s">
        <v>596</v>
      </c>
    </row>
    <row r="110" spans="2:31">
      <c r="F110" s="38" t="s">
        <v>563</v>
      </c>
    </row>
  </sheetData>
  <dataValidations count="2">
    <dataValidation type="list" allowBlank="1" showInputMessage="1" showErrorMessage="1" sqref="E16:E104">
      <formula1>$E$106:$E$108</formula1>
    </dataValidation>
    <dataValidation type="list" allowBlank="1" showInputMessage="1" showErrorMessage="1" sqref="F16:F104">
      <formula1>$F$106:$F$110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2:B86"/>
  <sheetViews>
    <sheetView topLeftCell="A43" workbookViewId="0">
      <selection activeCell="A36" sqref="A36"/>
    </sheetView>
  </sheetViews>
  <sheetFormatPr defaultColWidth="8.8984375" defaultRowHeight="15.6"/>
  <cols>
    <col min="1" max="2" width="19.8984375" customWidth="1"/>
  </cols>
  <sheetData>
    <row r="2" spans="1:2">
      <c r="A2" s="248" t="s">
        <v>1</v>
      </c>
      <c r="B2" s="247" t="s">
        <v>653</v>
      </c>
    </row>
    <row r="3" spans="1:2">
      <c r="A3" s="248" t="s">
        <v>9</v>
      </c>
      <c r="B3" s="247" t="s">
        <v>654</v>
      </c>
    </row>
    <row r="4" spans="1:2">
      <c r="A4" s="248" t="s">
        <v>10</v>
      </c>
      <c r="B4" s="247" t="s">
        <v>655</v>
      </c>
    </row>
    <row r="5" spans="1:2">
      <c r="A5" s="248" t="s">
        <v>2</v>
      </c>
      <c r="B5" s="247" t="s">
        <v>656</v>
      </c>
    </row>
    <row r="6" spans="1:2">
      <c r="A6" s="248" t="s">
        <v>11</v>
      </c>
      <c r="B6" s="247" t="s">
        <v>657</v>
      </c>
    </row>
    <row r="7" spans="1:2">
      <c r="A7" s="248" t="s">
        <v>12</v>
      </c>
      <c r="B7" s="247" t="s">
        <v>657</v>
      </c>
    </row>
    <row r="8" spans="1:2">
      <c r="A8" s="248" t="s">
        <v>13</v>
      </c>
      <c r="B8" s="247" t="s">
        <v>657</v>
      </c>
    </row>
    <row r="9" spans="1:2">
      <c r="A9" s="202" t="s">
        <v>14</v>
      </c>
      <c r="B9" s="247" t="s">
        <v>656</v>
      </c>
    </row>
    <row r="10" spans="1:2">
      <c r="A10" s="248" t="s">
        <v>15</v>
      </c>
      <c r="B10" s="247" t="s">
        <v>655</v>
      </c>
    </row>
    <row r="11" spans="1:2">
      <c r="A11" s="248" t="s">
        <v>16</v>
      </c>
      <c r="B11" s="247" t="s">
        <v>657</v>
      </c>
    </row>
    <row r="12" spans="1:2">
      <c r="A12" s="248" t="s">
        <v>17</v>
      </c>
      <c r="B12" s="247" t="s">
        <v>657</v>
      </c>
    </row>
    <row r="13" spans="1:2">
      <c r="A13" s="248" t="s">
        <v>18</v>
      </c>
      <c r="B13" s="247" t="s">
        <v>655</v>
      </c>
    </row>
    <row r="14" spans="1:2">
      <c r="A14" s="248" t="s">
        <v>19</v>
      </c>
      <c r="B14" s="247" t="s">
        <v>656</v>
      </c>
    </row>
    <row r="15" spans="1:2" ht="26.4">
      <c r="A15" s="248" t="s">
        <v>20</v>
      </c>
      <c r="B15" s="247" t="s">
        <v>654</v>
      </c>
    </row>
    <row r="16" spans="1:2">
      <c r="A16" s="248" t="s">
        <v>21</v>
      </c>
      <c r="B16" s="247" t="s">
        <v>654</v>
      </c>
    </row>
    <row r="17" spans="1:2">
      <c r="A17" s="248" t="s">
        <v>22</v>
      </c>
      <c r="B17" s="247" t="s">
        <v>657</v>
      </c>
    </row>
    <row r="18" spans="1:2">
      <c r="A18" s="248" t="s">
        <v>23</v>
      </c>
      <c r="B18" s="247" t="s">
        <v>653</v>
      </c>
    </row>
    <row r="19" spans="1:2" ht="26.4">
      <c r="A19" s="248" t="s">
        <v>164</v>
      </c>
      <c r="B19" s="247" t="s">
        <v>658</v>
      </c>
    </row>
    <row r="20" spans="1:2">
      <c r="A20" s="248" t="s">
        <v>25</v>
      </c>
      <c r="B20" s="247" t="s">
        <v>655</v>
      </c>
    </row>
    <row r="21" spans="1:2">
      <c r="A21" s="248" t="s">
        <v>26</v>
      </c>
      <c r="B21" s="247" t="s">
        <v>657</v>
      </c>
    </row>
    <row r="22" spans="1:2">
      <c r="A22" s="248" t="s">
        <v>27</v>
      </c>
      <c r="B22" s="247" t="s">
        <v>654</v>
      </c>
    </row>
    <row r="23" spans="1:2" ht="26.4">
      <c r="A23" s="248" t="s">
        <v>28</v>
      </c>
      <c r="B23" s="247" t="s">
        <v>658</v>
      </c>
    </row>
    <row r="24" spans="1:2" ht="26.4">
      <c r="A24" s="248" t="s">
        <v>29</v>
      </c>
      <c r="B24" s="247" t="s">
        <v>653</v>
      </c>
    </row>
    <row r="25" spans="1:2">
      <c r="A25" s="248" t="s">
        <v>30</v>
      </c>
      <c r="B25" s="247" t="s">
        <v>659</v>
      </c>
    </row>
    <row r="26" spans="1:2">
      <c r="A26" s="248" t="s">
        <v>31</v>
      </c>
      <c r="B26" s="247" t="s">
        <v>657</v>
      </c>
    </row>
    <row r="27" spans="1:2">
      <c r="A27" s="248" t="s">
        <v>32</v>
      </c>
      <c r="B27" s="247" t="s">
        <v>656</v>
      </c>
    </row>
    <row r="28" spans="1:2">
      <c r="A28" s="248" t="s">
        <v>33</v>
      </c>
      <c r="B28" s="247" t="s">
        <v>653</v>
      </c>
    </row>
    <row r="29" spans="1:2">
      <c r="A29" s="248" t="s">
        <v>34</v>
      </c>
      <c r="B29" s="247" t="s">
        <v>660</v>
      </c>
    </row>
    <row r="30" spans="1:2">
      <c r="A30" s="248" t="s">
        <v>35</v>
      </c>
      <c r="B30" s="247" t="s">
        <v>657</v>
      </c>
    </row>
    <row r="31" spans="1:2">
      <c r="A31" s="248" t="s">
        <v>36</v>
      </c>
      <c r="B31" s="247" t="s">
        <v>655</v>
      </c>
    </row>
    <row r="32" spans="1:2">
      <c r="A32" s="248" t="s">
        <v>37</v>
      </c>
      <c r="B32" s="247" t="s">
        <v>657</v>
      </c>
    </row>
    <row r="33" spans="1:2">
      <c r="A33" s="248" t="s">
        <v>38</v>
      </c>
      <c r="B33" s="247" t="s">
        <v>654</v>
      </c>
    </row>
    <row r="34" spans="1:2">
      <c r="A34" s="248" t="s">
        <v>39</v>
      </c>
      <c r="B34" s="247" t="s">
        <v>657</v>
      </c>
    </row>
    <row r="35" spans="1:2">
      <c r="A35" s="248" t="s">
        <v>40</v>
      </c>
      <c r="B35" s="247" t="s">
        <v>655</v>
      </c>
    </row>
    <row r="36" spans="1:2" ht="26.4">
      <c r="A36" s="248" t="s">
        <v>41</v>
      </c>
      <c r="B36" s="247" t="s">
        <v>655</v>
      </c>
    </row>
    <row r="37" spans="1:2">
      <c r="A37" s="248" t="s">
        <v>42</v>
      </c>
      <c r="B37" s="247" t="s">
        <v>659</v>
      </c>
    </row>
    <row r="38" spans="1:2">
      <c r="A38" s="248" t="s">
        <v>43</v>
      </c>
      <c r="B38" s="247" t="s">
        <v>655</v>
      </c>
    </row>
    <row r="39" spans="1:2">
      <c r="A39" s="248" t="s">
        <v>44</v>
      </c>
      <c r="B39" s="247" t="s">
        <v>653</v>
      </c>
    </row>
    <row r="40" spans="1:2">
      <c r="A40" s="248" t="s">
        <v>45</v>
      </c>
      <c r="B40" s="247" t="s">
        <v>653</v>
      </c>
    </row>
    <row r="41" spans="1:2">
      <c r="A41" s="248" t="s">
        <v>46</v>
      </c>
      <c r="B41" s="247" t="s">
        <v>659</v>
      </c>
    </row>
    <row r="42" spans="1:2">
      <c r="A42" s="248" t="s">
        <v>47</v>
      </c>
      <c r="B42" s="247" t="s">
        <v>657</v>
      </c>
    </row>
    <row r="43" spans="1:2">
      <c r="A43" s="248" t="s">
        <v>48</v>
      </c>
      <c r="B43" s="247" t="s">
        <v>659</v>
      </c>
    </row>
    <row r="44" spans="1:2">
      <c r="A44" s="248" t="s">
        <v>49</v>
      </c>
      <c r="B44" s="247" t="s">
        <v>659</v>
      </c>
    </row>
    <row r="45" spans="1:2">
      <c r="A45" s="248" t="s">
        <v>50</v>
      </c>
      <c r="B45" s="247" t="s">
        <v>654</v>
      </c>
    </row>
    <row r="46" spans="1:2">
      <c r="A46" s="248" t="s">
        <v>51</v>
      </c>
      <c r="B46" s="247" t="s">
        <v>655</v>
      </c>
    </row>
    <row r="47" spans="1:2">
      <c r="A47" s="248" t="s">
        <v>52</v>
      </c>
      <c r="B47" s="247" t="s">
        <v>656</v>
      </c>
    </row>
    <row r="48" spans="1:2">
      <c r="A48" s="248" t="s">
        <v>53</v>
      </c>
      <c r="B48" s="247" t="s">
        <v>653</v>
      </c>
    </row>
    <row r="49" spans="1:2">
      <c r="A49" s="248" t="s">
        <v>3</v>
      </c>
      <c r="B49" s="247" t="s">
        <v>659</v>
      </c>
    </row>
    <row r="50" spans="1:2">
      <c r="A50" s="248" t="s">
        <v>54</v>
      </c>
      <c r="B50" s="247" t="s">
        <v>654</v>
      </c>
    </row>
    <row r="51" spans="1:2">
      <c r="A51" s="248" t="s">
        <v>55</v>
      </c>
      <c r="B51" s="247" t="s">
        <v>658</v>
      </c>
    </row>
    <row r="52" spans="1:2">
      <c r="A52" s="248" t="s">
        <v>56</v>
      </c>
      <c r="B52" s="247" t="s">
        <v>658</v>
      </c>
    </row>
    <row r="53" spans="1:2">
      <c r="A53" s="248" t="s">
        <v>57</v>
      </c>
      <c r="B53" s="247" t="s">
        <v>656</v>
      </c>
    </row>
    <row r="54" spans="1:2">
      <c r="A54" s="248" t="s">
        <v>58</v>
      </c>
      <c r="B54" s="247" t="s">
        <v>655</v>
      </c>
    </row>
    <row r="55" spans="1:2">
      <c r="A55" s="248" t="s">
        <v>59</v>
      </c>
      <c r="B55" s="247" t="s">
        <v>655</v>
      </c>
    </row>
    <row r="56" spans="1:2">
      <c r="A56" s="248" t="s">
        <v>60</v>
      </c>
      <c r="B56" s="247" t="s">
        <v>656</v>
      </c>
    </row>
    <row r="57" spans="1:2">
      <c r="A57" s="248" t="s">
        <v>61</v>
      </c>
      <c r="B57" s="247" t="s">
        <v>659</v>
      </c>
    </row>
    <row r="58" spans="1:2">
      <c r="A58" s="248" t="s">
        <v>62</v>
      </c>
      <c r="B58" s="247" t="s">
        <v>659</v>
      </c>
    </row>
    <row r="59" spans="1:2">
      <c r="A59" s="248" t="s">
        <v>63</v>
      </c>
      <c r="B59" s="247" t="s">
        <v>654</v>
      </c>
    </row>
    <row r="60" spans="1:2" ht="26.4">
      <c r="A60" s="248" t="s">
        <v>64</v>
      </c>
      <c r="B60" s="247" t="s">
        <v>658</v>
      </c>
    </row>
    <row r="61" spans="1:2">
      <c r="A61" s="248" t="s">
        <v>65</v>
      </c>
      <c r="B61" s="247" t="s">
        <v>659</v>
      </c>
    </row>
    <row r="62" spans="1:2">
      <c r="A62" s="248" t="s">
        <v>66</v>
      </c>
      <c r="B62" s="247" t="s">
        <v>653</v>
      </c>
    </row>
    <row r="63" spans="1:2">
      <c r="A63" s="248" t="s">
        <v>67</v>
      </c>
      <c r="B63" s="247" t="s">
        <v>653</v>
      </c>
    </row>
    <row r="64" spans="1:2">
      <c r="A64" s="248" t="s">
        <v>68</v>
      </c>
      <c r="B64" s="247" t="s">
        <v>656</v>
      </c>
    </row>
    <row r="65" spans="1:2">
      <c r="A65" s="248" t="s">
        <v>69</v>
      </c>
      <c r="B65" s="247" t="s">
        <v>657</v>
      </c>
    </row>
    <row r="66" spans="1:2">
      <c r="A66" s="248" t="s">
        <v>70</v>
      </c>
      <c r="B66" s="247" t="s">
        <v>659</v>
      </c>
    </row>
    <row r="67" spans="1:2">
      <c r="A67" s="248" t="s">
        <v>71</v>
      </c>
      <c r="B67" s="247" t="s">
        <v>659</v>
      </c>
    </row>
    <row r="68" spans="1:2">
      <c r="A68" s="248" t="s">
        <v>72</v>
      </c>
      <c r="B68" s="247" t="s">
        <v>654</v>
      </c>
    </row>
    <row r="69" spans="1:2">
      <c r="A69" s="248" t="s">
        <v>73</v>
      </c>
      <c r="B69" s="247" t="s">
        <v>660</v>
      </c>
    </row>
    <row r="70" spans="1:2">
      <c r="A70" s="248" t="s">
        <v>74</v>
      </c>
      <c r="B70" s="247" t="s">
        <v>657</v>
      </c>
    </row>
    <row r="71" spans="1:2">
      <c r="A71" s="248" t="s">
        <v>75</v>
      </c>
      <c r="B71" s="247" t="s">
        <v>658</v>
      </c>
    </row>
    <row r="72" spans="1:2">
      <c r="A72" s="248" t="s">
        <v>76</v>
      </c>
      <c r="B72" s="247" t="s">
        <v>657</v>
      </c>
    </row>
    <row r="73" spans="1:2">
      <c r="A73" s="248" t="s">
        <v>77</v>
      </c>
      <c r="B73" s="247" t="s">
        <v>657</v>
      </c>
    </row>
    <row r="74" spans="1:2">
      <c r="A74" s="248" t="s">
        <v>78</v>
      </c>
      <c r="B74" s="247" t="s">
        <v>653</v>
      </c>
    </row>
    <row r="75" spans="1:2">
      <c r="A75" s="248" t="s">
        <v>79</v>
      </c>
      <c r="B75" s="247" t="s">
        <v>657</v>
      </c>
    </row>
    <row r="76" spans="1:2">
      <c r="A76" s="248" t="s">
        <v>80</v>
      </c>
      <c r="B76" s="247" t="s">
        <v>660</v>
      </c>
    </row>
    <row r="77" spans="1:2">
      <c r="A77" s="248" t="s">
        <v>81</v>
      </c>
      <c r="B77" s="247" t="s">
        <v>659</v>
      </c>
    </row>
    <row r="78" spans="1:2">
      <c r="A78" s="248" t="s">
        <v>82</v>
      </c>
      <c r="B78" s="247" t="s">
        <v>659</v>
      </c>
    </row>
    <row r="79" spans="1:2">
      <c r="A79" s="248" t="s">
        <v>165</v>
      </c>
      <c r="B79" s="247" t="s">
        <v>654</v>
      </c>
    </row>
    <row r="80" spans="1:2" ht="26.4">
      <c r="A80" s="248" t="s">
        <v>84</v>
      </c>
      <c r="B80" s="247" t="s">
        <v>660</v>
      </c>
    </row>
    <row r="81" spans="1:2">
      <c r="A81" s="248" t="s">
        <v>85</v>
      </c>
      <c r="B81" s="247" t="s">
        <v>660</v>
      </c>
    </row>
    <row r="82" spans="1:2">
      <c r="A82" s="248" t="s">
        <v>86</v>
      </c>
      <c r="B82" s="247" t="s">
        <v>658</v>
      </c>
    </row>
    <row r="83" spans="1:2" ht="26.4">
      <c r="A83" s="248" t="s">
        <v>87</v>
      </c>
      <c r="B83" s="247" t="s">
        <v>659</v>
      </c>
    </row>
    <row r="84" spans="1:2" ht="26.4">
      <c r="A84" s="248" t="s">
        <v>88</v>
      </c>
      <c r="B84" s="247" t="s">
        <v>654</v>
      </c>
    </row>
    <row r="85" spans="1:2" ht="26.4">
      <c r="A85" s="248" t="s">
        <v>89</v>
      </c>
      <c r="B85" s="247" t="s">
        <v>660</v>
      </c>
    </row>
    <row r="86" spans="1:2">
      <c r="A86" s="248" t="s">
        <v>90</v>
      </c>
      <c r="B86" s="247" t="s">
        <v>657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3</vt:i4>
      </vt:variant>
    </vt:vector>
  </HeadingPairs>
  <TitlesOfParts>
    <vt:vector size="20" baseType="lpstr">
      <vt:lpstr>Свод 01.11</vt:lpstr>
      <vt:lpstr>Свод</vt:lpstr>
      <vt:lpstr>Субъект</vt:lpstr>
      <vt:lpstr>Штаб</vt:lpstr>
      <vt:lpstr>Радар олд</vt:lpstr>
      <vt:lpstr>РО - регионы</vt:lpstr>
      <vt:lpstr>Спецтехника</vt:lpstr>
      <vt:lpstr>МНО</vt:lpstr>
      <vt:lpstr>Контейнеры</vt:lpstr>
      <vt:lpstr>ДК МНО</vt:lpstr>
      <vt:lpstr>РО - зоны</vt:lpstr>
      <vt:lpstr>Захоронение</vt:lpstr>
      <vt:lpstr>Обработка</vt:lpstr>
      <vt:lpstr>Утилизация</vt:lpstr>
      <vt:lpstr>Радар</vt:lpstr>
      <vt:lpstr>ДК ИП</vt:lpstr>
      <vt:lpstr>Округа</vt:lpstr>
      <vt:lpstr>'Свод 01.11'!Заголовки_для_печати</vt:lpstr>
      <vt:lpstr>Свод!Область_печати</vt:lpstr>
      <vt:lpstr>'Свод 01.11'!Область_печати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 Макрушин</dc:creator>
  <cp:lastModifiedBy>Анастасия Копачинская</cp:lastModifiedBy>
  <cp:lastPrinted>2024-10-09T15:26:08Z</cp:lastPrinted>
  <dcterms:created xsi:type="dcterms:W3CDTF">2024-09-27T18:50:58Z</dcterms:created>
  <dcterms:modified xsi:type="dcterms:W3CDTF">2024-11-22T10:20:13Z</dcterms:modified>
</cp:coreProperties>
</file>